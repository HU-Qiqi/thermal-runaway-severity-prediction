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17.xml" ContentType="application/vnd.ms-office.chartcolorstyle+xml"/>
  <Override PartName="/xl/charts/colors18.xml" ContentType="application/vnd.ms-office.chartcolorstyle+xml"/>
  <Override PartName="/xl/charts/colors19.xml" ContentType="application/vnd.ms-office.chartcolorstyle+xml"/>
  <Override PartName="/xl/charts/colors2.xml" ContentType="application/vnd.ms-office.chartcolorstyle+xml"/>
  <Override PartName="/xl/charts/colors20.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17.xml" ContentType="application/vnd.ms-office.chartstyle+xml"/>
  <Override PartName="/xl/charts/style18.xml" ContentType="application/vnd.ms-office.chartstyle+xml"/>
  <Override PartName="/xl/charts/style19.xml" ContentType="application/vnd.ms-office.chartstyle+xml"/>
  <Override PartName="/xl/charts/style2.xml" ContentType="application/vnd.ms-office.chartstyle+xml"/>
  <Override PartName="/xl/charts/style20.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187" tabRatio="735" firstSheet="3" activeTab="8"/>
  </bookViews>
  <sheets>
    <sheet name="Read-Me" sheetId="19" r:id="rId1"/>
    <sheet name="Cell-Characteristics" sheetId="23" r:id="rId2"/>
    <sheet name="Fractional-Calorimetry-Data" sheetId="4" r:id="rId3"/>
    <sheet name="V&amp;V-Violence-All" sheetId="31" r:id="rId4"/>
    <sheet name="V&amp;V-SD-All" sheetId="37" r:id="rId5"/>
    <sheet name="V&amp;V Headers" sheetId="40" r:id="rId6"/>
    <sheet name="Sheet1" sheetId="41" r:id="rId7"/>
    <sheet name="V&amp;V-Violence-Global" sheetId="42" r:id="rId8"/>
    <sheet name="V&amp;V-SD-Global" sheetId="38" r:id="rId9"/>
    <sheet name="Publication Images" sheetId="21" r:id="rId10"/>
  </sheets>
  <definedNames>
    <definedName name="_xlnm._FilterDatabase" localSheetId="2" hidden="1">'Fractional-Calorimetry-Data'!$B$3:$E$368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<sst xmlns="http://schemas.openxmlformats.org/spreadsheetml/2006/main" count="6555" uniqueCount="1382">
  <si>
    <t>README: BATTERY FAILURE DATABANK - REVISION 2</t>
  </si>
  <si>
    <r>
      <t>The Battery Failure Databank contains thermal runaway results gathered from nearly 300 small format fractional thermal runaway calorimetry (S-FTRC) experiments. A majority of these experiments were conducted at synchrotron facilities where high-speed x-ray videography was conducted of the cell while tested inside of the S-FTRC. The databank is a two-component system which consists of a Microsoft Excel</t>
    </r>
    <r>
      <rPr>
        <vertAlign val="superscript"/>
        <sz val="11"/>
        <color theme="1"/>
        <rFont val="等线"/>
        <charset val="134"/>
        <scheme val="minor"/>
      </rPr>
      <t>TM</t>
    </r>
    <r>
      <rPr>
        <sz val="11"/>
        <color theme="1"/>
        <rFont val="等线"/>
        <charset val="134"/>
        <scheme val="minor"/>
      </rPr>
      <t xml:space="preserve"> spreadsheet which provides S-FTRC results in tabular format and a radiographic video library containing the high-speed x-ray videos. When applicable, the Test ID is hyperlinked to the corresponding x-ray video. Overall, the databank provides results from S-FTRC experiments conducted on a mixture of commercially available lithium-ion (Li-ion) cells and specialized Li-ion test cells with varying cell format (18650, 21700, and D-cell) and trigger mechanism (heaters, heaters plus internal short circuiting device, and nail penetration). </t>
    </r>
    <r>
      <rPr>
        <b/>
        <sz val="11"/>
        <color rgb="FFFF0000"/>
        <rFont val="等线"/>
        <charset val="134"/>
        <scheme val="minor"/>
      </rPr>
      <t>Please note that trade names and trademarks are used in this report for identification only. Their usage does not constitute an official endorsement, either expressed or implied, by the National Aeronautics and Space Administration.</t>
    </r>
  </si>
  <si>
    <t>Relevant Acronyms and Abbreviations</t>
  </si>
  <si>
    <t>ISC</t>
  </si>
  <si>
    <t>Internal Short Circuit</t>
  </si>
  <si>
    <t>S-FTRC</t>
  </si>
  <si>
    <t>Small-Format Fractional Thermal Runaway Calorimeter</t>
  </si>
  <si>
    <t>Custom Cell Configurations</t>
  </si>
  <si>
    <t>Soteria 18650 (Control)</t>
  </si>
  <si>
    <t>2.1 Ah Li-ion cell, constructed by Coulometrics, with standard separator and current collectors.</t>
  </si>
  <si>
    <t>Soteria 18650 (AL)</t>
  </si>
  <si>
    <t>2.1 Ah Li-ion cell, constructed by Coulometrics, with a Soteria aluminum coated plastic current collector, a standard copper current collector, and a standard separator.</t>
  </si>
  <si>
    <t>Soteria 18650 (CU)</t>
  </si>
  <si>
    <t>2.1 Ah Li-ion cell, constructed by Coulometrics, with a Soteria copper coated plastic current collector, a standard aluminum current collector, and a standard separator.</t>
  </si>
  <si>
    <t>Soteria 18650 (ALCU)</t>
  </si>
  <si>
    <t>2.1 Ah Li-ion cell, constructed by Coulometrics, with both Soteria aluminum and copper coated plastic current collectors and a standard separator.</t>
  </si>
  <si>
    <t>Soteria 18650 (DW)</t>
  </si>
  <si>
    <t>2.1 Ah Li-ion cell, constructed by Coulometrics, with standard current collectors and with a Dreamweaver Gold separator.</t>
  </si>
  <si>
    <t>Soteria 18650 (ALDW)</t>
  </si>
  <si>
    <t>2.1 Ah Li-ion cell, constructed by Coulometrics, with a Soteria aluminum coated plastic current collector, a standard copper current collector, and with a Dreamweaver Gold separator.</t>
  </si>
  <si>
    <t>Soteria 18650 (ALCUDW)</t>
  </si>
  <si>
    <t>2.1 Ah Li-ion cell, constructed by Coulometrics, with both Soteria aluminum and copper coated plastic current collectors and also with a Dreamweaver Gold separator.</t>
  </si>
  <si>
    <t>MOLiCEL 18650-Test Cell</t>
  </si>
  <si>
    <t>2.37 Ah Li-ion cell, constructed by MOLiCEL, with an internal short circuiting (ISC) device built in.</t>
  </si>
  <si>
    <t>MOLiCEL 18650-Test Cell (DW-Gold)</t>
  </si>
  <si>
    <t>2.37 Ah Li-ion cell, constructed by MOLiCEL, with a Dreamweaver Gold Separator and an internal short circuiting (ISC) device built in.</t>
  </si>
  <si>
    <t>MOLiCEL 18650-Test Cell (DW-Silver)</t>
  </si>
  <si>
    <t>2.37 Ah Li-ion cell, constructed by MOLiCEL, with a Dreamweaver Silver Separator and an internal short circuiting (ISC) device built in.</t>
  </si>
  <si>
    <t>LG 18650-Test Cell (BV-250)</t>
  </si>
  <si>
    <r>
      <rPr>
        <sz val="11"/>
        <color theme="1"/>
        <rFont val="等线"/>
        <charset val="134"/>
        <scheme val="minor"/>
      </rPr>
      <t xml:space="preserve">3.35 Ah Li-ion cell test cell, constructed by LG, with a bottom vent and a cell casing with a 250 </t>
    </r>
    <r>
      <rPr>
        <sz val="11"/>
        <color theme="1"/>
        <rFont val="Calibri"/>
        <charset val="134"/>
      </rPr>
      <t>µm thickness. Some cells also had an ISC device built in.</t>
    </r>
  </si>
  <si>
    <t>LG 18650-Test Cell (BV-220)</t>
  </si>
  <si>
    <r>
      <rPr>
        <sz val="11"/>
        <color theme="1"/>
        <rFont val="等线"/>
        <charset val="134"/>
        <scheme val="minor"/>
      </rPr>
      <t xml:space="preserve">3.35 Ah Li-ion cell test cell, constructed by LG, with a bottom vent and a cell casing with a 220 </t>
    </r>
    <r>
      <rPr>
        <sz val="11"/>
        <color theme="1"/>
        <rFont val="Calibri"/>
        <charset val="134"/>
      </rPr>
      <t>µm thickness. Some cells also had an ISC device built in.</t>
    </r>
  </si>
  <si>
    <t>LG 18650-Test Cell (NBV-250)</t>
  </si>
  <si>
    <r>
      <rPr>
        <sz val="11"/>
        <color theme="1"/>
        <rFont val="等线"/>
        <charset val="134"/>
        <scheme val="minor"/>
      </rPr>
      <t xml:space="preserve">3.35 Ah Li-ion cell test cell, constructed by LG, without a bottom vent and with a cell casing of 250 </t>
    </r>
    <r>
      <rPr>
        <sz val="11"/>
        <color theme="1"/>
        <rFont val="Calibri"/>
        <charset val="134"/>
      </rPr>
      <t>µm thickness. These cells also had an ISC device built in.</t>
    </r>
  </si>
  <si>
    <t>LG 18650-Test Cell (NBV-220)</t>
  </si>
  <si>
    <r>
      <rPr>
        <sz val="11"/>
        <color theme="1"/>
        <rFont val="等线"/>
        <charset val="134"/>
        <scheme val="minor"/>
      </rPr>
      <t xml:space="preserve">3.35 Ah Li-ion cell test cell, constructed by LG, without a bottom vent and with a cell casing of 220 </t>
    </r>
    <r>
      <rPr>
        <sz val="11"/>
        <color theme="1"/>
        <rFont val="Calibri"/>
        <charset val="134"/>
      </rPr>
      <t>µm thickness. Some of these cells also had an ISC device built in.</t>
    </r>
  </si>
  <si>
    <t>Data Type</t>
  </si>
  <si>
    <t>Description</t>
  </si>
  <si>
    <t>Test-ID</t>
  </si>
  <si>
    <t>Experiment specific run identifier. Format is the following: "TestSeriesLocationYear_Month_Run#".</t>
  </si>
  <si>
    <t>Test-Series</t>
  </si>
  <si>
    <t>Test series identifier. Format is the following: "TestSeriesLocationYear_Month".</t>
  </si>
  <si>
    <t>S-FTRC-Generation</t>
  </si>
  <si>
    <t>Generation of S-FTRC hardware used to conduct the experiment.</t>
  </si>
  <si>
    <t>Test-Date</t>
  </si>
  <si>
    <t>Date of the experiment.</t>
  </si>
  <si>
    <t>Cell-Description</t>
  </si>
  <si>
    <t>Description of the type of cell tested.</t>
  </si>
  <si>
    <t>Cell-Format</t>
  </si>
  <si>
    <t>Description of cell format (i.e. 18650, 21700, or D-cell).</t>
  </si>
  <si>
    <t>Cell-Capacity-Ah</t>
  </si>
  <si>
    <t>Maximum capacity of the cell tested.</t>
  </si>
  <si>
    <t>Cell-Nominal-Voltage-V</t>
  </si>
  <si>
    <t>Nominal, or average, voltage of the cell tested.</t>
  </si>
  <si>
    <t>Cell-Energy-Wh</t>
  </si>
  <si>
    <t>Stored energy at 100% state-of-charge.</t>
  </si>
  <si>
    <t>Trigger-Mechanism</t>
  </si>
  <si>
    <t>Mechanism used to induce thermal runaway (i.e. heaters, ISC device + heaters, or nail penetration).</t>
  </si>
  <si>
    <t>Pre-Test-Cell-Open-Circuit-Voltage-V</t>
  </si>
  <si>
    <t>Open circuit voltage of the cell prior to experiment.</t>
  </si>
  <si>
    <t>Pre-Test-Cell-Mass-g</t>
  </si>
  <si>
    <t>Mass of the cell prior to experiment.</t>
  </si>
  <si>
    <t>Pre-Test-Positive-Copper-Mesh-Mass-g</t>
  </si>
  <si>
    <t>Mass of the S-FTRC positive side copper mesh.</t>
  </si>
  <si>
    <t>Pre-Test-Negative-Copper-Mesh-Mass-g</t>
  </si>
  <si>
    <t>Mass of the S-FTRC negative side copper mesh.</t>
  </si>
  <si>
    <t>Pressure-Assisted-Seal-Configuration-Positive</t>
  </si>
  <si>
    <t>S-FTRC positive side pressure assisted seal material (aluminum vs. brass).</t>
  </si>
  <si>
    <t>Pressure-Assisted-Seal-Configuration-Negative</t>
  </si>
  <si>
    <t>S-FTRC negative side pressure assisted seal material (aluminum vs. brass).</t>
  </si>
  <si>
    <t>Cell-Failure-Mechanism</t>
  </si>
  <si>
    <t>Mechanism by which the cell fails (e.g. top vent, bottom vent, bottom rupture, et…).</t>
  </si>
  <si>
    <t>Baseline-Total-Energy-Yield-kJ</t>
  </si>
  <si>
    <t>Calculated total energy yield with no corrections for heat loss and mass loss.</t>
  </si>
  <si>
    <t>Conductive-Heat-Loss-Rate-kJs-1</t>
  </si>
  <si>
    <t>Emperically determined conductive heat loss rate from the calorimeter to the surrounding insulation.</t>
  </si>
  <si>
    <t>Baseline-Plus-Heat-Loss-Total-Energy-Yield-kJ</t>
  </si>
  <si>
    <t>Calculated total energy yield, corrected for conductive heat loss.</t>
  </si>
  <si>
    <t>Corrected-Total-Energy-Yield-kJ</t>
  </si>
  <si>
    <t>Calculated total energy yield, corrected for both conductive heat loss and also for the heat associated with unrecovered cell mass.</t>
  </si>
  <si>
    <t>Energy-Fraction-Cell-Body-kJ</t>
  </si>
  <si>
    <t>Fraction of the total energy released through the cell casing.</t>
  </si>
  <si>
    <t>Energy-Fraction-Positive-Ejecta-kJ</t>
  </si>
  <si>
    <t>Fraction of the total energy released through solids, liquids, and gases ejected from the positive end (button end) of the cell.</t>
  </si>
  <si>
    <t>Energy-Fraction-Negative-Ejecta-kJ</t>
  </si>
  <si>
    <t>Fraction of the total energy released through solids, liquids, and gases ejected from the negative end (bottom) of the cell.</t>
  </si>
  <si>
    <t>Energy-Percent-Cell-Body-%</t>
  </si>
  <si>
    <t>Percent of the total energy released through the cell casing.</t>
  </si>
  <si>
    <t>Energy-Percent-Positive-Ejecta-%</t>
  </si>
  <si>
    <t>Percent of the total energy released through solids, liquids, and gases ejected from the positive end (button end) of the cell.</t>
  </si>
  <si>
    <t>Energy-Percent-Negative-Ejecta-%</t>
  </si>
  <si>
    <t>Percent of the total energy released through solids, liquids, and gases ejected from the negative end (bottom) of the cell.</t>
  </si>
  <si>
    <t>Theoretical-Energy-Positive-Unrecovered-Mass-kJ</t>
  </si>
  <si>
    <t>Theoretical energy associated with unrecovered mass ejected through the positive side of the cell (accounted for in the Corrected Total Energy Yield and in the energy fractions/percents).</t>
  </si>
  <si>
    <t>Theoretical-Energy-Negative-Unrecovered-Mass-kJ</t>
  </si>
  <si>
    <t>Theoretical energy associated with unrecovered mass ejected through the negative side of the cell (accounted for in the Corrected Total Energy Yield and in the energy fractions/percents).</t>
  </si>
  <si>
    <t>Heater-Power-W</t>
  </si>
  <si>
    <t xml:space="preserve">If applicable, average heater power used to induced thermal runaway. </t>
  </si>
  <si>
    <t>Heater-Time-On-s</t>
  </si>
  <si>
    <t>If applicable, length of time between start of heater power and when thermal runaway is triggered.</t>
  </si>
  <si>
    <t>Energy-Applied-to-Trigger-kJ</t>
  </si>
  <si>
    <t xml:space="preserve">If applicable, the amount of heater energy required to trigger thermal runaway. </t>
  </si>
  <si>
    <t>Avg-Cell-Temp-At-Trigger-degC</t>
  </si>
  <si>
    <t>For heater and heater-ISC experiments, the temperature of the cell body (casing) at trigger.</t>
  </si>
  <si>
    <t>Post-Test-Mass-Cell-Body-g</t>
  </si>
  <si>
    <t xml:space="preserve">Post-test mass of the remaining cell carcuss. </t>
  </si>
  <si>
    <t>Post-Test-Mass-Positive-Ejecta-Mating-g</t>
  </si>
  <si>
    <t>Post-test mass of the solid particulate remaining in the positive side ejecta mating.</t>
  </si>
  <si>
    <t>Post-Test-Mass-Positive-Ejecta-Bore-Baffles-g</t>
  </si>
  <si>
    <t xml:space="preserve">Post-test mass of the solid particulate remaining in the positive side ejecta bore and on the ejecta baffles. </t>
  </si>
  <si>
    <t>Post-Test-Mass-Positive-Copper-Mesh-g</t>
  </si>
  <si>
    <t>Post-test mass of the solid particulate trapped in the positive side copper mesh.</t>
  </si>
  <si>
    <t>Post-Test-Mass-Negative-Ejecta-Mating-g</t>
  </si>
  <si>
    <t>Post-test mass of the solid particulate remaining in the negative side ejecta mating.</t>
  </si>
  <si>
    <t>Post-Test-Mass-Negative-Ejecta-Bore-Baffles-g</t>
  </si>
  <si>
    <t xml:space="preserve">Post-test mass of the solid particulate remaining in the negative side ejecta bore and on the ejecta baffles. </t>
  </si>
  <si>
    <t>Post-Test-Mass-Negative-Copper-Mesh-g</t>
  </si>
  <si>
    <t>Post-test mass of the solid particulate trapped in the negative side copper mesh.</t>
  </si>
  <si>
    <t>Post-Test-Mass-Unrecovered-g</t>
  </si>
  <si>
    <t>Difference between the initial (pre-test) cell mass and the sum of all remaining cell materials measured post-test.</t>
  </si>
  <si>
    <t>Cell-Casing-Thickness-µm</t>
  </si>
  <si>
    <t>Thickness of the cell casing.</t>
  </si>
  <si>
    <t>Bottom-Vent-Yes-No</t>
  </si>
  <si>
    <t xml:space="preserve">Description of whether or not the cell design has a bottom vent or not. </t>
  </si>
  <si>
    <t>Specific-Energy-Wh/kg</t>
  </si>
  <si>
    <t>Energy-Density-Wh/L</t>
  </si>
  <si>
    <t>Cathode-Characteristics</t>
  </si>
  <si>
    <t>Anode-Characteristics</t>
  </si>
  <si>
    <t>Cell-Type</t>
  </si>
  <si>
    <t>Surface-Area-Casing-Side-cm2</t>
  </si>
  <si>
    <t>Surface-Area-Top-cm2</t>
  </si>
  <si>
    <t>Surface-Area-Bottom-cm2</t>
  </si>
  <si>
    <t>Surface-Area-Total-cm2</t>
  </si>
  <si>
    <t>KULR 18650-K330</t>
  </si>
  <si>
    <t>-</t>
  </si>
  <si>
    <t>Yes</t>
  </si>
  <si>
    <t>KULR 21700-K500</t>
  </si>
  <si>
    <t>LG 18650-HG2</t>
  </si>
  <si>
    <t>No</t>
  </si>
  <si>
    <t>LG 18650-M36</t>
  </si>
  <si>
    <t>LG 18650-MJ1 (Korean)</t>
  </si>
  <si>
    <t>LiNiMnCoO2</t>
  </si>
  <si>
    <t>Carbon</t>
  </si>
  <si>
    <t>LG 18650-MJ1 (Chinese)</t>
  </si>
  <si>
    <t>LG 21700-M50 (BV)</t>
  </si>
  <si>
    <t>MOLiCEL 18650-J</t>
  </si>
  <si>
    <t>MOLiCEL 18650-M35A</t>
  </si>
  <si>
    <t>MOLiCEL 18650-P28A</t>
  </si>
  <si>
    <t>Panasonic 18650-BE</t>
  </si>
  <si>
    <t>LiNiCoAl</t>
  </si>
  <si>
    <t>Energy</t>
  </si>
  <si>
    <t>Panasonic BE 18650 Battery, 3200mAh, 3.63A, 3.6V, Grade A Lithium-ion (NCR18650BE) - 18650 Battery - Lithium Ion Battery - Voltaplex</t>
  </si>
  <si>
    <t>Saft D-Cell-VES16</t>
  </si>
  <si>
    <t>D-Cell</t>
  </si>
  <si>
    <t>NCA</t>
  </si>
  <si>
    <t>Microsoft PowerPoint - Y Borthomieu VES16 cells and Batteries.ppt [Mode de compatibilité] (nasa.gov)</t>
  </si>
  <si>
    <t>Samsung 18650-26J</t>
  </si>
  <si>
    <t>Samsung 18650-30Q</t>
  </si>
  <si>
    <t>Sanyo 18650-A</t>
  </si>
  <si>
    <t xml:space="preserve"> </t>
  </si>
  <si>
    <t>Sony 18650-VTC6</t>
  </si>
  <si>
    <t>LiNiMnCoO2 or NCA?  UCL did not detect Manganese</t>
  </si>
  <si>
    <t>Sony 18650-VC7</t>
  </si>
  <si>
    <t>Data-Processing-Utility</t>
  </si>
  <si>
    <t>Cell-ID-Number</t>
  </si>
  <si>
    <t>Pre-Test-State-of-Charge-%</t>
  </si>
  <si>
    <t>Ƭ-Cell-Body</t>
  </si>
  <si>
    <t>Ƭ-Positive</t>
  </si>
  <si>
    <t>Ƭ-Negative</t>
  </si>
  <si>
    <t>Onset-Selection-Time-s</t>
  </si>
  <si>
    <r>
      <rPr>
        <b/>
        <sz val="11"/>
        <color theme="0"/>
        <rFont val="Century Gothic"/>
        <charset val="134"/>
      </rPr>
      <t>Avg-Cell-Temp-At-Trigger-deg</t>
    </r>
    <r>
      <rPr>
        <b/>
        <sz val="9.9"/>
        <color theme="0"/>
        <rFont val="Century Gothic"/>
        <charset val="134"/>
      </rPr>
      <t>C</t>
    </r>
  </si>
  <si>
    <t>Mass-Ejected</t>
  </si>
  <si>
    <t>Percent-Original-Mass-Ejected</t>
  </si>
  <si>
    <t>Post-Test-Open-Circuit-Voltage-V</t>
  </si>
  <si>
    <t>Test-Notes</t>
  </si>
  <si>
    <t>Radiography-Notes</t>
  </si>
  <si>
    <t>Radiography-File-Names</t>
  </si>
  <si>
    <t>Radiography-ROI</t>
  </si>
  <si>
    <t>Radiographic-Video-Availability</t>
  </si>
  <si>
    <t>EYA-Processing-Notes</t>
  </si>
  <si>
    <t>TC-Failure-Count</t>
  </si>
  <si>
    <t>TC-Failure-Percent-%</t>
  </si>
  <si>
    <t>Total-Energy-Ratio</t>
  </si>
  <si>
    <t>Heat-Rate-Cell-Body-W</t>
  </si>
  <si>
    <t>Heat-Rate-Positive-W</t>
  </si>
  <si>
    <t>Heat-Rate-Negative-W</t>
  </si>
  <si>
    <t>Heat-Rate-Entire-Cell-W</t>
  </si>
  <si>
    <t>Heat-Flux-Cell-Body-W/cm2</t>
  </si>
  <si>
    <t>Heat-Flux-Positive-W/cm2</t>
  </si>
  <si>
    <t>Heat-Flux-Negative-W/cm2</t>
  </si>
  <si>
    <t>Heat-Flux-Entire-Cell-W/cm2</t>
  </si>
  <si>
    <t>Average-Event-Length-s</t>
  </si>
  <si>
    <t>DLS19_Dec_Run036</t>
  </si>
  <si>
    <t>DLS19_Dec</t>
  </si>
  <si>
    <t>Heater (ISC)</t>
  </si>
  <si>
    <t>V10.0</t>
  </si>
  <si>
    <t>EYAN_1.1_B</t>
  </si>
  <si>
    <t>18650-Aluminum</t>
  </si>
  <si>
    <t>18650-Brass</t>
  </si>
  <si>
    <t>Top and Bottom Vent</t>
  </si>
  <si>
    <t>TCs 57, 95 are not working properly. TR ensued fairly quickly. Gamry failure, overcharged</t>
  </si>
  <si>
    <t>95872 (data), 95873 (bright), 95871 (dark)</t>
  </si>
  <si>
    <t>None Recorded</t>
  </si>
  <si>
    <t>Top</t>
  </si>
  <si>
    <t>Available</t>
  </si>
  <si>
    <t>DLS19_Dec_Run037</t>
  </si>
  <si>
    <t>TCs 30, 104 are reading but shouldn't be (check TC map). TCs 61, 63, 66 are not reading (open channels).</t>
  </si>
  <si>
    <t>95874 (data), 95875 (bright), 95871 (dark)</t>
  </si>
  <si>
    <t>DLS19_Dec_Run038</t>
  </si>
  <si>
    <t>Top Vent Only - Bottom Vent Not Actuated</t>
  </si>
  <si>
    <t>TC 93 not working. TR runaway ensued shortly therefter. `dpa revealed that cell may have been installed upside down - i.e. 
bottom vent facing positive side of calorimeter. `donal and will need to
 pay attention to this in respective analysis. the masses of positive side soot are probably for the bv side and the negative side soot masses are probably for the button side masses.\  Gamry failure, overcharged</t>
  </si>
  <si>
    <t>95876 (data), 95877 (bright), 95871 (dark)</t>
  </si>
  <si>
    <t>Middle</t>
  </si>
  <si>
    <t>DLS19_Dec_Run039</t>
  </si>
  <si>
    <t>TCs 57, 95 not working properly. TR event was pretty nominal.</t>
  </si>
  <si>
    <t>95878 (data), 95879 (bright), 95871 (dark)</t>
  </si>
  <si>
    <t>DLS19_Dec_Run041</t>
  </si>
  <si>
    <t>TC 95 not working. DPA- Jelly roll ejeted via negtive terminus residing inside the mating</t>
  </si>
  <si>
    <t>95905 (data), 95904 (brights), 95899 (dark)</t>
  </si>
  <si>
    <t>DLS19_Dec_Run085</t>
  </si>
  <si>
    <t>TCs 93 is open.</t>
  </si>
  <si>
    <t>95987 (darks), 95990 (data), 95991 (brights)</t>
  </si>
  <si>
    <t>DLS19_Dec_Run086</t>
  </si>
  <si>
    <t>TC 57, 87, 95 out</t>
  </si>
  <si>
    <t>DLS19_Dec_Run087</t>
  </si>
  <si>
    <t>DLS19_Dec_Run088</t>
  </si>
  <si>
    <t>ESRF18_Oct_Run001</t>
  </si>
  <si>
    <t>ESRF18_Oct</t>
  </si>
  <si>
    <t>Heater (Non-ISC)</t>
  </si>
  <si>
    <t>V9.0</t>
  </si>
  <si>
    <t>EYA_9_H-F</t>
  </si>
  <si>
    <t>Started data recording about 10 sec after heater start. Top and bottom vent.</t>
  </si>
  <si>
    <t>Both Cell Body TCs failed, set Cell Body equal to average of Cell Chamber TCs, highlighted in yellow.</t>
  </si>
  <si>
    <t>ESRF18_Oct_Run002</t>
  </si>
  <si>
    <t>Header vent; bottom vent; bottom edge breach.</t>
  </si>
  <si>
    <t>TC50 &amp; TC49 manually set equal to TC48.</t>
  </si>
  <si>
    <t>ESRF18_Oct_Run003</t>
  </si>
  <si>
    <t>Bottom vent appears to have activated. TC4 is reading a low value relative to the rest. Header and bottom vent; some bottom jellyroll expulsion.</t>
  </si>
  <si>
    <t>ESRF18_Oct_Run004</t>
  </si>
  <si>
    <t>Vent prior to failure (catastrophic failure caught in video). header breach; bottom vent; partial jelly roll expulsion.</t>
  </si>
  <si>
    <t>ESRF18_Oct_Run055</t>
  </si>
  <si>
    <t>The nail did not initially penetrate the cell. Multiple attempts were made. The nail became blunt and got stuck in contact with the cell. The heaters were then used to initiate thermal runaway. The calorimetry file is VERY long! Nail pen holes; bottom and top breach; cell severely damaged; can not tell cause of everything though.</t>
  </si>
  <si>
    <t>TC26,TC27 set to 25, TC29, TC30 manually set eual to TC28, TC38 set to TC37 &amp; TC39 manually set equal to TC40,TC45 set to TC44 &amp; TC46 manually set equal to TC47, min &amp; max values on plot axes altered to better display thermal runaway</t>
  </si>
  <si>
    <t>DLS19_Feb_Run098</t>
  </si>
  <si>
    <t>DLS19_Feb</t>
  </si>
  <si>
    <t>V9.1</t>
  </si>
  <si>
    <t>EYA_9.1_H-F</t>
  </si>
  <si>
    <t>All TCs nominal. Standard TR occured.</t>
  </si>
  <si>
    <t>1700 fps, 0.00058 s exposure, 17.9 um pixels. 20 mm x 12 mm FOV.</t>
  </si>
  <si>
    <t>miro_projections_84219.hdf</t>
  </si>
  <si>
    <t>TC1 &amp; TC2 changed to X2 and X3, respectvely. Exact test date not recorded in test matrix. Heater current manually changed to 4.0 Amps while in use (RDE tab). TC 49 &amp; TC50 manually set equal to TC48. Positive and negative meshes recorded backwards in matrix. Corrected in EYA.</t>
  </si>
  <si>
    <t>DLS19_Dec_Run031</t>
  </si>
  <si>
    <t>KULR LR1865HB IV088 00000008</t>
  </si>
  <si>
    <t>TC 51, 99, 102 are out. Cell vented on top around 230C, failure ensued shortly thereafter.</t>
  </si>
  <si>
    <t>95827(darks), 95828(scan), 95829(flats)</t>
  </si>
  <si>
    <t>DLS19_Dec_Run032</t>
  </si>
  <si>
    <t>TCs 35, 54 reading lower than neighboring TCs.</t>
  </si>
  <si>
    <t>95971 (data), 95972 (dark), 95973 (bright)</t>
  </si>
  <si>
    <t>DLS19_Dec_Run033</t>
  </si>
  <si>
    <t>TC 93 is open. Venting occured fairly nominally, TR ensued shortly thereafter. no bottom vent actuation</t>
  </si>
  <si>
    <t>95977 (data), 95978 (darks), 95979 (brights)</t>
  </si>
  <si>
    <t>DLS19_Dec_Run034</t>
  </si>
  <si>
    <t>TCs 54, 59, 60 had low readings prior to start of test.</t>
  </si>
  <si>
    <t>95981 (data), 95982 (dark), 95983 (brights)</t>
  </si>
  <si>
    <t>ESRF18_Oct_Run057</t>
  </si>
  <si>
    <t>Nail</t>
  </si>
  <si>
    <t>TC 8, 26, 32, 50 out. Flame from Nailpen hole. Partial header breach w/ some jelly roll expelled; 2 nail pen holes; Bottom vent not opened.</t>
  </si>
  <si>
    <t>TC29 &amp; TC30 manually set equal to TC28. Test matrix (pre-import) notes: post-test mesh mass not recorded (-). TCs 5&amp;6 set to 4.</t>
  </si>
  <si>
    <t>DLS19_Feb_Run051</t>
  </si>
  <si>
    <t xml:space="preserve">THis is the one with the weird aux cable w/ extensions. All TCs nominal. </t>
  </si>
  <si>
    <t>miro_projections_84185.hdf</t>
  </si>
  <si>
    <t>TC1 &amp; TC2 manually changed to X3. Exact test date not recorded in test matrix. All currents &amp; voltages manually set to 0.0 in RDE tab.</t>
  </si>
  <si>
    <t>DLS19_Feb_Run053</t>
  </si>
  <si>
    <t>TC 22 out. Initial push did not work. 2nd attempt initiated TR.</t>
  </si>
  <si>
    <t>miro_projections_84193.hdf</t>
  </si>
  <si>
    <t>TC1 &amp; TC2 changed to X3 and X4, respectvely, but values appear low - therefore set to average of cell chamber. Exact test date not recorded in test matrix. All currents &amp; voltages manually set to 0.0 in RDE tab. TC 49 &amp; TC50 manually set equal to TC48.</t>
  </si>
  <si>
    <t>DLS19_Dec_Run010</t>
  </si>
  <si>
    <t>00__</t>
  </si>
  <si>
    <t>21700-Brass</t>
  </si>
  <si>
    <t>TC57, 93 out! TC 30,32 operating? DPA- Central rod ejected from negative terminus of battery and resided in the mating. The jelly roll was visible at the positive terminus but did not eject the battery.</t>
  </si>
  <si>
    <t>95804 (data), 95803 (darks), 95805(brights)</t>
  </si>
  <si>
    <t>DLS19_Dec_Run012</t>
  </si>
  <si>
    <t>TC 59, 102</t>
  </si>
  <si>
    <t>95806 (data)</t>
  </si>
  <si>
    <t>DLS19_Dec_Run014</t>
  </si>
  <si>
    <t>K-ISC-LS-8001:0081</t>
  </si>
  <si>
    <t>Found in fumehood (0081 and 14 on it in sharpie, connected to Gamry 09080). TC 57, 93 out</t>
  </si>
  <si>
    <t>95808 (data),</t>
  </si>
  <si>
    <t>DLS19_Dec_Run016</t>
  </si>
  <si>
    <t>K-ISC-LS-8001-0087</t>
  </si>
  <si>
    <t>21700-Aluminum</t>
  </si>
  <si>
    <t>Found in fumehood (0087 and 16 on it in sharpie, connected to Gamry 09080). two aluminum seals found during dpa. jelly still in can.</t>
  </si>
  <si>
    <t>95809(scan), 95810(darks), 95811(flats - shutter closed note), 95812(flats - good)</t>
  </si>
  <si>
    <t>DLS19_Dec_Run018</t>
  </si>
  <si>
    <t>12/12/2019 - Cell not charged - skipped. Bottom of cell had bright band around bottom. TCs 66, 95 out. Very quick TR onset, check video to see if venting occured during TR. DPA- Rod and partial jelly roll ejected via negative terminus into negative mating</t>
  </si>
  <si>
    <t>95848 (data), 95847 (brights), 95845 (darks)</t>
  </si>
  <si>
    <t>Bottom</t>
  </si>
  <si>
    <t>DLS19_Dec_Run020</t>
  </si>
  <si>
    <t>12/12/2019 - Cell not charged - skipped. TC 54 reading weird values. TC 71 is reading slightly higher values. Jellyroll moved towards the positive side (downwards in setup on test stand, since negative was upwards) before thermal runaway. TR ensued shortly thereafter - see video results.</t>
  </si>
  <si>
    <t>95869 (data), 95870 (flat), 95871 (dark)</t>
  </si>
  <si>
    <t>DLS19_Dec_Run081</t>
  </si>
  <si>
    <t>TCs 59, 93 are open. Venting occured followed by onset of TR.</t>
  </si>
  <si>
    <t>95992 (data), 95993 (darks), no brights.</t>
  </si>
  <si>
    <t>DLS19_Dec_Run082</t>
  </si>
  <si>
    <t>TC 57 is open. TR occured at a fairly low temperature of heating.</t>
  </si>
  <si>
    <t>95994 (data), 95995 (darks), 95996 (brights).</t>
  </si>
  <si>
    <t>DLS19_Dec_Run083</t>
  </si>
  <si>
    <t>TCs 59, 93 open. TC 64 reading lower then neighboring TCs prior to beginning of test. TR occured at a fairly low temperature of heating.</t>
  </si>
  <si>
    <t>DLS19_Dec_Run084</t>
  </si>
  <si>
    <t>TC 57 is open.</t>
  </si>
  <si>
    <t>ESRF18_Oct_Run037</t>
  </si>
  <si>
    <t>Header breach; bottom vent; minimal ejection; bottom indented slightly. TC8, 30, 32,38, 43,,49-56 are out.</t>
  </si>
  <si>
    <t>TCs 5&amp;6 set to TC 4 - series failure. Manually replaced TCs 38 and 39, 49 and 50, for series failure.</t>
  </si>
  <si>
    <t>ESRF18_Oct_Run039</t>
  </si>
  <si>
    <t>Header breach; bottom vent; jelly roll sticking far out but still attached; fold above spin groove is cracked. TC 8, 30, 32,36,39,49-56 are out. one heater not connected properly, hutch opened to check. Unable to acheive 4 A, ran with 2 A. Very long failure - entire 5 seconds of X-ray data contains displacement of material...</t>
  </si>
  <si>
    <t xml:space="preserve">Manually replaced TCs 49 and 50 for series failure. TC6 "functioned correctly" but was actually wired from TC channel 9. TC6 was wired to a heater and was the only functioning heater TC. Made adjustments on RDE tab for channels 7-10. </t>
  </si>
  <si>
    <t>ESRF18_Oct_Run040</t>
  </si>
  <si>
    <t>Header breach; bottom vent; minimal jelly roll expulsion; crack above spin groove. TC 8, 30, 43, 49 - 56.</t>
  </si>
  <si>
    <t>Manually replaced TCs 38 and 39, 49 and 50 for series failure. TC6 was actually a heater TC. Took data from TC6 RD tab and put it on TC8 for RDE tab. TC5/6 set to TC4 - series failure.</t>
  </si>
  <si>
    <t>DLS19_Feb_Run093</t>
  </si>
  <si>
    <t>TC 48 is out. Delayed Imaging, curser was not live…</t>
  </si>
  <si>
    <t xml:space="preserve">miro_projections_84229.hdf </t>
  </si>
  <si>
    <t>Not Available</t>
  </si>
  <si>
    <t>TC6 was wired to a heater - used data from RD tab as the TC8 data on RDE tab. TC6 "functioned correctly" but the appropriate TC6 data was in channel X4 - corrected on RDE tab. TC40 set to 39 for series failure. TCs 33/34 set to 32 - series failure.</t>
  </si>
  <si>
    <t>DLS19_Dec_Run024</t>
  </si>
  <si>
    <t>12/12/2019 - Cell missing. TC 59 not reading (open channel). TC 104 reading temperatures, but shouldn't be(?) Check TC map if this TC is actually supposed to be used. Top vent, quick failure.</t>
  </si>
  <si>
    <t>95840(bright), 95841(data)</t>
  </si>
  <si>
    <t>DLS19_Dec_Run026</t>
  </si>
  <si>
    <t>TCs 59, 93 open prior to test. Fairly nominal TR failure event.</t>
  </si>
  <si>
    <t>95968 (data), 95969 (dark), 95970 (bright)</t>
  </si>
  <si>
    <t>DLS19_Dec_Run028</t>
  </si>
  <si>
    <t>TCs 57, 95 are open.</t>
  </si>
  <si>
    <t>95974 (data), 95975 (dark), 95976 (brights)</t>
  </si>
  <si>
    <t>DLS19_Dec_Run030</t>
  </si>
  <si>
    <t>TC 93 is out. Cell vented, TR ensued shortly thereafter, with seemingly bottom rupture. Refer to X-ray video.</t>
  </si>
  <si>
    <t>95984 (data), 95985 (dark), 95986 (brights)</t>
  </si>
  <si>
    <t>ESRF18_Oct_Run058</t>
  </si>
  <si>
    <t>Header break; bottom vent; minimal jellyroll expulsion; nail pen hole. TC8,26,38,39. TC 3 reading low.</t>
  </si>
  <si>
    <t>Cell (Bottom) reading low. Manually replaced TCs 29 and 30, 38 and 39, 49 and 50 for series failure. Manual replacement TCs33/34 for series failure.</t>
  </si>
  <si>
    <t>ESRF18_Oct_Run070</t>
  </si>
  <si>
    <t>Header breach; bottom vent; partial jelly roll expulsion; clean nail hole. TC8,26,27,38,39,45. TC 1 reading low.</t>
  </si>
  <si>
    <t>Manually replaced TCs 26 and 27, 38 and 39, 45 and 46 for series failure</t>
  </si>
  <si>
    <t>DLS19_Feb_Run049</t>
  </si>
  <si>
    <t>First run w/out drill battery. Weird auxillary set-up. Some channels that show broken are on the x-channels. 10, 12, 22, 40 all show that they are out despite newly installed female pins at the breakout box just prior to the run.</t>
  </si>
  <si>
    <t>miro_projections_84190.hdf</t>
  </si>
  <si>
    <t>Removed temperature outlier in TC2 in Rows 229-232. Fixed temperatuers that went negative on positive mating at trigger.</t>
  </si>
  <si>
    <t>DLS19_Feb_Run054</t>
  </si>
  <si>
    <t>All TCs nominal. Weird aux connector to extensions bundle. Nominal run.</t>
  </si>
  <si>
    <t>miro_projections_84194.hdf</t>
  </si>
  <si>
    <t>Replaced TCs 31 and 32 for series failure. Replaced temperature outlier in TC14 and TC17 in Row 735. Replaced temperature outliers in TC2 in Rows 729-732. Fixed temperature outliers at trigger for positive mating and positive bore.</t>
  </si>
  <si>
    <t>DLS19_Feb_Run055</t>
  </si>
  <si>
    <t>TC 22 is out. Weird aux bundle with extensions. Nail penetrated. Nominal runawy event.</t>
  </si>
  <si>
    <t>miro_projections_84195.hdf</t>
  </si>
  <si>
    <t>Post-test mesh mass not recorded (-). Replaced X1 with X2 due to failed X1. Removed temperature outlier in X1 and X2 channels in Row 212 (RDE)</t>
  </si>
  <si>
    <t>DLS19_Dec_Run046</t>
  </si>
  <si>
    <t>TCs 66, 99, 102 were out. TC 97 was reading values that were high prior to the run, remove from calculations. Nail penetration system required adjustment before third run which was successful!</t>
  </si>
  <si>
    <t>95911 (data), 95912 (brights), 95910 (darks)</t>
  </si>
  <si>
    <t>DLS19_Dec_Run048</t>
  </si>
  <si>
    <t>TC 30 reading higher (seems to be wrong). TCs 57, 95 are open. Nail penetration occured and triggered TR relatively quickly (nominal run). DPA - No battery debris in negative terminus of calorimeter.</t>
  </si>
  <si>
    <t>95916 (data), 95917 (brights), 95914 (darks)</t>
  </si>
  <si>
    <t>DLS19_Dec_Run050</t>
  </si>
  <si>
    <t>night crew needs to enter comments.\</t>
  </si>
  <si>
    <t>95924 (data), 95923 (dark), 95925 (brights)</t>
  </si>
  <si>
    <t>DLS19_Dec_Run052</t>
  </si>
  <si>
    <t>TCs 66, 93 are out. TC 68 reading but shouldn't be - see TC map.</t>
  </si>
  <si>
    <t>95956 (data), 95957 (darks), 95958 (brights)</t>
  </si>
  <si>
    <t>DLS19_Dec_Run054</t>
  </si>
  <si>
    <t>LS LR2170SD IS2788D 0000480</t>
  </si>
  <si>
    <t>TCs 30, 32 reading values but shouldn't be. TC 93 out. TR ensued fairly quickly after nail pen.</t>
  </si>
  <si>
    <t>95953 (data), 95955 (brights), 95954 (darks)</t>
  </si>
  <si>
    <t>DLS19_Dec_Run056</t>
  </si>
  <si>
    <t>`night crew needs to enter comments.</t>
  </si>
  <si>
    <t>95948 (data), 95949 (brights), 95947 (darks)</t>
  </si>
  <si>
    <t>DLS19_Dec_Run058</t>
  </si>
  <si>
    <t>TC66,93</t>
  </si>
  <si>
    <t>95951 (data), 95950 (darks), 95952 (brights)</t>
  </si>
  <si>
    <t>ESRF18_Oct_Run103</t>
  </si>
  <si>
    <t>Top Vent and Bottom Breach</t>
  </si>
  <si>
    <t>TC1,3,5,8,30,32. Bottom breach, header vent; header spin groove and crimp are slightly extended above buttom</t>
  </si>
  <si>
    <t>TC1 &amp; TC2 manually edited to equal average of cell chamber.</t>
  </si>
  <si>
    <t>ESRF18_Oct_Run105</t>
  </si>
  <si>
    <t>Top Vent</t>
  </si>
  <si>
    <t>TC8,30. TC2 reading low. The bottom plate blew off the cell. Header vent; full length side wall breach; bottom bulge and scratching; spin groove extrusion and breach.</t>
  </si>
  <si>
    <t>Ejecta matings swapped during set-up. Fixed in EYA.</t>
  </si>
  <si>
    <t>ESRF18_Oct_Run106</t>
  </si>
  <si>
    <t>TC8,29,30,48,49,43. TC 1 reading low. The cell blew off the positive vent. I reatached it for cool down. The baffles were blown back and damaged. Header breach; jelly roll extruded; bottom heavily dented/compressed; sides have small dents/scratches.</t>
  </si>
  <si>
    <t>TC1, TC2, TC29, and TC38 manually edited.</t>
  </si>
  <si>
    <t>ESRF18_Oct_Run104</t>
  </si>
  <si>
    <t>TC8,30,32,38,39,43,46. One heating cartridge was not correctly attached - power was turned on at 2 A for about 3 seconds before noticing. This data is recorded at the beginning of the run. The bottom plate blew off the cell. Header and bottom breach; two side wall cracks combine for entire length; spin groove breach and extension</t>
  </si>
  <si>
    <t>TC38 manually edited.</t>
  </si>
  <si>
    <t>DLS18_Feb_Run012</t>
  </si>
  <si>
    <t>DLS18_Feb</t>
  </si>
  <si>
    <t>V7.0|8.0</t>
  </si>
  <si>
    <t>EYA_7.8_H-F</t>
  </si>
  <si>
    <t>TC45 did not connect. 4.06A to 3.84A. Note: this is Micro_scan_00016 rather than ...15 as ...15 is the dark field correction scan. Blown out cap, spin groove breach.</t>
  </si>
  <si>
    <t>2000 fps. FOV 1280x800. Pixel size:17.8um</t>
  </si>
  <si>
    <t>Micro_scan_00015</t>
  </si>
  <si>
    <t>Heater current manually edited to constant 3.8A while heater is on. Large heat loss rate.</t>
  </si>
  <si>
    <t>DLS18_Feb_Run013</t>
  </si>
  <si>
    <t>Positive side is running without a stilt. Blown out cap, spin groove breach, slight bottom bulge.</t>
  </si>
  <si>
    <t xml:space="preserve">Heater current manually edited to constant 3.8A while heater is on. Raw data entered from 1100 seconds. </t>
  </si>
  <si>
    <t>DLS18_Feb_Run014</t>
  </si>
  <si>
    <t>TC 14 out of action. Blown out cap, spin groove breach.</t>
  </si>
  <si>
    <t>Heater current manually edited to constant 3.8A while heater is on.</t>
  </si>
  <si>
    <t>SPR2021_ESTA_8B100-01_SOC_RUN072</t>
  </si>
  <si>
    <t>SPR2021_ESTA_8B100-01_SOC</t>
  </si>
  <si>
    <t>M36_100</t>
  </si>
  <si>
    <t>Top Vent and Bottom Rupture</t>
  </si>
  <si>
    <t>Not Applicable</t>
  </si>
  <si>
    <t>SPR2021_ESTA_8B100-01_SOC_RUN073</t>
  </si>
  <si>
    <t>SPR2021_ESTA_8B100-01_SOC_RUN074</t>
  </si>
  <si>
    <t>Final re-process with EYAN 1.1</t>
  </si>
  <si>
    <t>SPR2021_ESTA_8B100-01_SOC_RUN075</t>
  </si>
  <si>
    <t>SPR2021_ESTA_8B100-01_SOC_RUN126</t>
  </si>
  <si>
    <t>SPR2021_ESTA_8B100-01_SOC_RUN127</t>
  </si>
  <si>
    <t>SPR2021_ESTA_8B100-01_SOC_RUN131</t>
  </si>
  <si>
    <t>M36_60</t>
  </si>
  <si>
    <t>SPR2021_ESTA_8B100-01_SOC_RUN132</t>
  </si>
  <si>
    <t>Manually replaced TC2 with 1, TC91 with 92 Auto heat loss rate and TR time.</t>
  </si>
  <si>
    <t>SPR2021_ESTA_8B100-01_SOC_RUN133</t>
  </si>
  <si>
    <t>Manually replaced TC91 with 92 Auto heat loss rate and TR time.</t>
  </si>
  <si>
    <t>SPR2021_ESTA_8B100-01_SOC_RUN134</t>
  </si>
  <si>
    <t>SPR2021_ESTA_8B100-01_SOC_RUN135</t>
  </si>
  <si>
    <t>M36_40</t>
  </si>
  <si>
    <t>No Ejection</t>
  </si>
  <si>
    <t>SPR2021_ESTA_8B100-01_SOC_RUN136</t>
  </si>
  <si>
    <t>SPR2021_ESTA_8B100-01_SOC_RUN137</t>
  </si>
  <si>
    <t>SPR2021_ESTA_8B100-01_SOC_RUN138</t>
  </si>
  <si>
    <t>SPR2021_ESTA_8B100-01_SOC_RUN139</t>
  </si>
  <si>
    <t>M36_20</t>
  </si>
  <si>
    <t>SPR2021_ESTA_8B100-01_SOC_RUN141</t>
  </si>
  <si>
    <t>ESTA17_Oct_O-F_Run001</t>
  </si>
  <si>
    <t>ESTA17_Oct_O-F</t>
  </si>
  <si>
    <t>Top Vent and Bottum Rupture</t>
  </si>
  <si>
    <t>Completed for Orion Test series, NASA ID: OrionFlight_Run1</t>
  </si>
  <si>
    <t>ESTA17_Oct_O-F_Run002</t>
  </si>
  <si>
    <t>Completed for Orion Test series, NASA ID: OrionFlight_Run2</t>
  </si>
  <si>
    <t>Manual corrections for series failure.</t>
  </si>
  <si>
    <t>ESTA17_Oct_O-F_Run004</t>
  </si>
  <si>
    <t>Completed for Orion Test series, NASA ID: OrionFlight_Run4</t>
  </si>
  <si>
    <t>All TCs recorded zero at row 7344 of RDE tab; row manually replaced with values from previous timestep.</t>
  </si>
  <si>
    <t>ESTA17_Oct_O-F_Run005</t>
  </si>
  <si>
    <t>Completed for Orion Test series, NASA ID: OrionFlight_Run5</t>
  </si>
  <si>
    <t>All TCs recorded zero at RDE rows 6129, 6131, 6132; rows manually replaced with values from previous timesteps.</t>
  </si>
  <si>
    <t>ESTA17_Oct_O-F_Run007</t>
  </si>
  <si>
    <t>Completed for Orion Test series, NASA ID: OrionFlight_Run7.</t>
  </si>
  <si>
    <t>ESTA17_Oct_O-F_Run008</t>
  </si>
  <si>
    <t>Completed for Orion Test series, NASA ID: OrionFlight_Run8</t>
  </si>
  <si>
    <t>ESTA17_Oct_O-F_Run010</t>
  </si>
  <si>
    <t>Completed for Orion Test series, NASA ID: OrionFlight_Run10</t>
  </si>
  <si>
    <t>ESTA17_Nov_O-F_Run011</t>
  </si>
  <si>
    <t>ESTA17_Nov_O-F</t>
  </si>
  <si>
    <t>Completed for Orion Test series, NASA ID: OrionFlight_Run11</t>
  </si>
  <si>
    <t>ESTA17_Nov_O-F_Run012</t>
  </si>
  <si>
    <t>Completed for Orion Test series, NASA ID: OrionFlight_Run12.</t>
  </si>
  <si>
    <t>ESTA17_Nov_O-F_Run013</t>
  </si>
  <si>
    <t>Completed for Orion Test series, NASA ID: OrionFlight_Run13</t>
  </si>
  <si>
    <t>DLS18_Feb_Run055</t>
  </si>
  <si>
    <t>Brass o ring on negative.</t>
  </si>
  <si>
    <t>Miro_scan_00058</t>
  </si>
  <si>
    <t>I1 (heater current) manually edited.</t>
  </si>
  <si>
    <t>DLS18_Feb_Run056</t>
  </si>
  <si>
    <t>Miro_scan_00059</t>
  </si>
  <si>
    <t>DLS18_Feb_Run059</t>
  </si>
  <si>
    <t>Miro_scan_00062</t>
  </si>
  <si>
    <t>DLS18_Feb_Run060</t>
  </si>
  <si>
    <t>TC 35, 37. Brass o ring on negative.</t>
  </si>
  <si>
    <t>Miro_scan_00063</t>
  </si>
  <si>
    <t>DLS18_Feb_Run062</t>
  </si>
  <si>
    <t>TC 37, brass ring on negative. TC 27 failed during TR.</t>
  </si>
  <si>
    <t>Miro_scan_00065</t>
  </si>
  <si>
    <t>SPR2021_ESTA_8B100-01_SOC_RUN001</t>
  </si>
  <si>
    <t>MJ1_20</t>
  </si>
  <si>
    <t>SPR2021_ESTA_8B100-01_SOC_RUN002</t>
  </si>
  <si>
    <t>Pre-test cell mass not recorded; used average of all other MJ1 runs to approximate value.</t>
  </si>
  <si>
    <t>SPR2021_ESTA_8B100-01_SOC_RUN003</t>
  </si>
  <si>
    <t>SPR2021_ESTA_8B100-01_SOC_RUN004</t>
  </si>
  <si>
    <t>Manually replaced TC24 with 25. Auto heat loss rate and TR time.</t>
  </si>
  <si>
    <t>SPR2021_ESTA_8B100-01_SOC_RUN005</t>
  </si>
  <si>
    <t>SPR2021_ESTA_8B100-01_SOC_RUN006</t>
  </si>
  <si>
    <t>MJ1_40</t>
  </si>
  <si>
    <t>Bottom Vent</t>
  </si>
  <si>
    <t>SPR2021_ESTA_8B100-01_SOC_RUN007</t>
  </si>
  <si>
    <t>SPR2021_ESTA_8B100-01_SOC_RUN008</t>
  </si>
  <si>
    <t>MJ1_0</t>
  </si>
  <si>
    <t>SPR2021_ESTA_8B100-01_SOC_RUN009</t>
  </si>
  <si>
    <t>SPR2021_ESTA_8B100-01_SOC_RUN010</t>
  </si>
  <si>
    <t>SPR2021_ESTA_8B100-01_SOC_RUN011</t>
  </si>
  <si>
    <t>SPR2021_ESTA_8B100-01_SOC_RUN012</t>
  </si>
  <si>
    <t>SPR2021_ESTA_8B100-01_SOC_RUN013</t>
  </si>
  <si>
    <t>Pre-test positive and negative copper mesh values switched.</t>
  </si>
  <si>
    <t>SPR2021_ESTA_8B100-01_SOC_RUN014</t>
  </si>
  <si>
    <t>Side wall breach</t>
  </si>
  <si>
    <t>SPR2021_ESTA_8B100-01_SOC_RUN015</t>
  </si>
  <si>
    <t>SPR2021_ESTA_8B100-01_SOC_RUN016</t>
  </si>
  <si>
    <t>MJ1_60</t>
  </si>
  <si>
    <t>no masses</t>
  </si>
  <si>
    <t>SPR2021_ESTA_8B100-01_SOC_RUN017</t>
  </si>
  <si>
    <t>SPR2021_ESTA_8B100-01_SOC_RUN018</t>
  </si>
  <si>
    <t>SPR2021_ESTA_8B100-01_SOC_RUN019</t>
  </si>
  <si>
    <t>SPR2021_ESTA_8B100-01_SOC_RUN020</t>
  </si>
  <si>
    <t>Manually replaced TC2 with 1. Auto heat loss rate and TR time.</t>
  </si>
  <si>
    <t>ESRF17_Oct_Run003</t>
  </si>
  <si>
    <t>ESRF17_Oct</t>
  </si>
  <si>
    <t>M36 G3</t>
  </si>
  <si>
    <t>Lost TC1 TC3 TC26. It looked like this ISC device was mid way down the cell, instead of at the top which was labelled for group 3 M36's. No bottom ejection. Temperature recording was left running for over an hour - this file is huge. Small telescoping JR out top vent with top crimp rupture. BV did not actuate. Photos: dsc_0427-0458</t>
  </si>
  <si>
    <t>2150 fps at 400 um exposure. FOV was 140-1962 HOR and 490-1630 VER</t>
  </si>
  <si>
    <t>TC27 manually edited.</t>
  </si>
  <si>
    <t>ESRF17_Oct_Run004</t>
  </si>
  <si>
    <t>Lost TC1 TC3 TC25 TC51. looks like device is 23 mm from top of vent. Vented top and bottom. Bot vented with small telescoping JR &amp; bot rupture and top header rupture. Photos: dsc_0460-0486</t>
  </si>
  <si>
    <t>No TCs manually edited.</t>
  </si>
  <si>
    <t>ESRF17_Oct_Run005</t>
  </si>
  <si>
    <t>M36 G4</t>
  </si>
  <si>
    <t>Lost TC1 TC3 TC10 TC29 TC33 TC38 TC51 TC55. Delay due to misallignment of battery. Tomo stage is probably a little off centre now. Battery was realigned in line with beam- TC33, TC51 now back on, rest still bad. Images saved from 800-10717. BV actuated with bot rupture. Photos: dsc_0487-0519</t>
  </si>
  <si>
    <t>2150 fps at 400 um exposure. FOV was 140-1962 HOR and 490-1630 VER.</t>
  </si>
  <si>
    <t>ESRF17_Oct_Run006</t>
  </si>
  <si>
    <t>TC1 TC3 TC26 TC27 TC31 TC51 - All images should be saved. BV actuated with top header rupture. Photos: dsc_0520-0546.</t>
  </si>
  <si>
    <t>ESRF17_Oct_Run007</t>
  </si>
  <si>
    <t>M36 G5</t>
  </si>
  <si>
    <t>Socket on board for TC1 is broken (we think). So TC1 (calorimeter) has been plugged into TC3 socket (board). TC1, TC10, TC17, TC25, TC30, TC39, TC51. Didn't seem to eject much. BV actuated with partial telescoping and bottom rupture. Photos: dsc_0547-0583.</t>
  </si>
  <si>
    <t>TC16 manually edited; TC1 manually edited based on test notes.</t>
  </si>
  <si>
    <t>ESRF17_Oct_Run008</t>
  </si>
  <si>
    <t>Lost TC1, TC19, TC44, TC56. The FOV was set to have the ISC puck in the top half of the image - this was to gather more information on what is happening between the ISC device and the bottom vent. BV actuated with partial telescoping and bottom rupture. Photos: dsc_0584-0609</t>
  </si>
  <si>
    <t>ESRF17_Oct_Run009</t>
  </si>
  <si>
    <t>M36 G2</t>
  </si>
  <si>
    <t>Lost TCs 26, 27, 30. TC3[daq] is reading the value of TC1[calorimeter]. TC1 is lost.The FOV was located such that the ISC is at the bottom half of the view. Good captue. BV actuated with partial telescoping and bottom rupture. Photos: dsc_0610-0631 (guessing from shots - couldn't see a 'run 10' photo)</t>
  </si>
  <si>
    <t>TC27 manually edited. TC1 manually edited based on test notes.</t>
  </si>
  <si>
    <t>ESRF17_Oct_Run016</t>
  </si>
  <si>
    <t xml:space="preserve">Lost TC1 (in3) TC10 TC19 TC30 TC51. Small header rupture, rainbow discoloring on side of BV (unactuated). </t>
  </si>
  <si>
    <t>TC1 manually edited based on test notes. Manual corrections made for series failure.</t>
  </si>
  <si>
    <t>ESRF17_Oct_Run018</t>
  </si>
  <si>
    <t xml:space="preserve">TC1 (in 3) TC44 lost. 3.0 A not 4 - one heater must be blown? Took longer than normal to reach runaway - two slight movements in radiograph (i.e seemed to nearly blow, but not quite) before runaway initiated. TC19, 42 ans 45 reading -ve after run - this has been fixed - thermocouples were wired incorrectly. No SWR, BV actuated, slight spin groove extension. </t>
  </si>
  <si>
    <t>TC27, TC44 manually edited; TC1 manually edited based on test notes.</t>
  </si>
  <si>
    <t>ESRF17_Oct_Run019</t>
  </si>
  <si>
    <t>M36 G5-13</t>
  </si>
  <si>
    <t xml:space="preserve">TC1 (in 3 as before) and TC31. All other TC working. Cell shifted up in FOV as bottom vent activated. BV actuated w small telescoping w/bot rupture clocked with ISC at 45 degrees to plane of ISC. </t>
  </si>
  <si>
    <t>TC1 manually edited based on test notes.</t>
  </si>
  <si>
    <t>DLS18_Feb_Run016</t>
  </si>
  <si>
    <t>50  mOhm shunt installed. Current reads 4 times what it is. THermal camera placed facing the shunt. TC 35, 37, 42, 43, 44 - mark and replace these components. Shunt reached about 35 C. BV not activated. most of cap burned out.</t>
  </si>
  <si>
    <t>Miro_scan_00019</t>
  </si>
  <si>
    <t>I1 (heater current) manually edited. TC42,43 manually edited.</t>
  </si>
  <si>
    <t>DLS18_Feb_Run028</t>
  </si>
  <si>
    <t xml:space="preserve">TC 45. TC 47 went negative during TR. BV didnot activate, bottom rupture clocked with ISC. top vent. </t>
  </si>
  <si>
    <t>Miro_scan_00031</t>
  </si>
  <si>
    <t>ESRF17_Oct_Run012</t>
  </si>
  <si>
    <t>M36 with .22t (G10)</t>
  </si>
  <si>
    <t>Lost TCs 26, 27, 31. TC3[daq] is reading the value of TC1[calorimeter]. FOV is set to focus on the middle of the cell.File name mistakenly labelled as g12, but should be g10. No, photos indicate it was G12 with BV. Massive JR ejection. BV actuated. No bottom rupture occurred. Crimp unfolded and ejected cell header. Photos: dsc_0710-0770</t>
  </si>
  <si>
    <t>ESRF17_Oct_Run013</t>
  </si>
  <si>
    <t>M36-BV with 0.22t</t>
  </si>
  <si>
    <t xml:space="preserve">Lost TCs 10, 19, 29, 30. We carried out repairs and may have wired some TCs in reverese for this test - no negative temps recorded. TC 17 failed during test and gave a faulty reading upon cool down. Check data, TC3[daq] is reading the value of TC1[calorimeter]. BV actuated wth bot rupture. Photos: </t>
  </si>
  <si>
    <t>TC16 manually replaced. TC1 manually edited based on Test Notes.</t>
  </si>
  <si>
    <t>ESRF17_Oct_Run022</t>
  </si>
  <si>
    <t>(M36_G12). TC1 (in 3), TC30, TC51. Power accidentally cut for ~1 s after ~15 s. Turned back on straight away. BV actuated, no rupture in bottom, header uncrimped. extended spin groove.</t>
  </si>
  <si>
    <t>TC1 manually edited based on Test Notes.</t>
  </si>
  <si>
    <t>DLS18_Feb_Run047</t>
  </si>
  <si>
    <t>TC 27, 35, 37 are out. 55 and 56 lost connection.</t>
  </si>
  <si>
    <t>Miro_scan_00050</t>
  </si>
  <si>
    <t>Heater current manually edited to constant 3.8A while heater is on. Both heater TCs failed.</t>
  </si>
  <si>
    <t>ESRF18_Oct_Run018</t>
  </si>
  <si>
    <t>TC-BV B38</t>
  </si>
  <si>
    <t>TC 8, 25, 27, 32. Temperature appeared to increase for several mins? Header vent, partly melted; bottom vent, minimal jelly roll expulsion.</t>
  </si>
  <si>
    <t>ESRF18_Oct_Run036</t>
  </si>
  <si>
    <t>A49</t>
  </si>
  <si>
    <t>TC8, 32, 41, 49 - 56 out. TC30 and 36 high, Forgot to turn Gui recording off during dissasembily- data will need cropping. Top/Bottom Cell Vent; Bottom rupture (non-vent hole);  Header partially gone.</t>
  </si>
  <si>
    <t>None recorded.</t>
  </si>
  <si>
    <t>Data exceed 15000 rows due to DAQ being on during disassembly. Cropped out data from rows 11960-15000 to accommodate, not relevant to TR event. Manually replaced TCs 49 and 50 with TC 48 for series failure.</t>
  </si>
  <si>
    <t>DLS19_Feb_Run074</t>
  </si>
  <si>
    <t>M36-BV-A18</t>
  </si>
  <si>
    <t>TCs 8 and 24 out. Lots of TCs looked shaky prior to starting heaters. Need to do checkout after dinner.</t>
  </si>
  <si>
    <t>miro_projections_84197.hdf</t>
  </si>
  <si>
    <t xml:space="preserve">TC1,2 manually edited to equal the average of cell chamber. TC23, 24, 25 all failed and set equal to TC26. </t>
  </si>
  <si>
    <t>DLS19_Feb_Run075</t>
  </si>
  <si>
    <t>M36-BV-A19</t>
  </si>
  <si>
    <t>TC 40 and 1 out.</t>
  </si>
  <si>
    <t>miro_projections_84199.hdf</t>
  </si>
  <si>
    <t>Various TCs edited for series failure.</t>
  </si>
  <si>
    <t>DLS19_Feb_Run076</t>
  </si>
  <si>
    <t>M36-BV-A25</t>
  </si>
  <si>
    <t>6, 12, 22, 25, 40 are out.</t>
  </si>
  <si>
    <t>miro_projections_84202.hdf</t>
  </si>
  <si>
    <t>DLS19_Feb_Run077</t>
  </si>
  <si>
    <t>M36-BV-B6</t>
  </si>
  <si>
    <t>TR occured.</t>
  </si>
  <si>
    <t>miro_projections_84203.hdf</t>
  </si>
  <si>
    <t>Manual edits for series failure.</t>
  </si>
  <si>
    <t>DLS19_Feb_Run078</t>
  </si>
  <si>
    <t>M36-BV-B45</t>
  </si>
  <si>
    <t>TC8,29,40.</t>
  </si>
  <si>
    <t>miro_projections_84206.hdf</t>
  </si>
  <si>
    <t>DLS19_Feb_Run079</t>
  </si>
  <si>
    <t>M36-BV-B46</t>
  </si>
  <si>
    <t>TC 8, 40.</t>
  </si>
  <si>
    <t>miro_projections_84207.hdf</t>
  </si>
  <si>
    <t>DLS19_Feb_Run080</t>
  </si>
  <si>
    <t>M36-BV-C10</t>
  </si>
  <si>
    <t>miro_projections_84208.hdf</t>
  </si>
  <si>
    <t>Edits made for series failure. Estimated DPA masses due to nothing in log.</t>
  </si>
  <si>
    <t>DLS19_Feb_Run081</t>
  </si>
  <si>
    <t>M36-BV-C39</t>
  </si>
  <si>
    <t>miro_projections_84210.hdf</t>
  </si>
  <si>
    <t>Nominal processing. Voltage channels had to be manually corrected on RDE tab. Plugged in incorrectly. No shunt for current. Assumed 4 A.</t>
  </si>
  <si>
    <t>DLS19_Feb_Run082</t>
  </si>
  <si>
    <t>M36-BV-C46</t>
  </si>
  <si>
    <t>TC, 8,22,40.</t>
  </si>
  <si>
    <t>miro_projections_84211.hdf</t>
  </si>
  <si>
    <t>Removed extra header row from data in row 6688. Voltage channels had to be manually corrected on RDE tab. Plugged in incorrectly. No shunt for current. Assumed 4 A. Manual corrections for series failure.</t>
  </si>
  <si>
    <t>DLS19_Feb_Run083</t>
  </si>
  <si>
    <t>M36-BV-D3</t>
  </si>
  <si>
    <t>miro_projections_84212.hdf</t>
  </si>
  <si>
    <t>Slightly negative post test mesh mass (+) and (-), replaced with 0. Voltage channels had to be manually corrected on RDE tab. Plugged in incorrectly. No shunt for current. Assumed 4 A. Manual corrections for series failure.</t>
  </si>
  <si>
    <t>DLS19_Feb_Run084</t>
  </si>
  <si>
    <t>M36-BV-D26</t>
  </si>
  <si>
    <t>Power started about 2 seconds before recording started. Power was stopped, then after starting to record, power was switched back on.</t>
  </si>
  <si>
    <t>miro_projections_842134.hdf</t>
  </si>
  <si>
    <t>Slightly negative post test mesh mass (-) replaced with 0. Voltage channels had to be manually corrected on RDE tab. Plugged in incorrectly. No shunt for current. Assumed 4 A. Manual corrections for series failure.</t>
  </si>
  <si>
    <t>DLS19_Feb_Run085</t>
  </si>
  <si>
    <t>M36-BV-D44</t>
  </si>
  <si>
    <t>Heating went on for longer than usual. TC8,22.</t>
  </si>
  <si>
    <t>miro_projections_84215.hdf</t>
  </si>
  <si>
    <t>ESRF17_Oct_Run023</t>
  </si>
  <si>
    <t>M36 G1-9</t>
  </si>
  <si>
    <t xml:space="preserve">G  JH(01.10/08:46):No info for lost TCs for this run. LabView/photo folder correspond correctly to this run. Telescoping JR out top vent with top crimp rupture. </t>
  </si>
  <si>
    <t>TC1, TC17 manually edited.</t>
  </si>
  <si>
    <t>DLS18_Feb_Run003</t>
  </si>
  <si>
    <t>TC56 out. Ruptured top cap,tiny bottom rupture nearly clocked with ISC.</t>
  </si>
  <si>
    <t>2000 fps.  FOV 1280 x 800.  Pixel size: 17.8 um.</t>
  </si>
  <si>
    <t>Miro_scan_00006</t>
  </si>
  <si>
    <t>ESRF17_Oct_Run015</t>
  </si>
  <si>
    <t>M36 with 0.22t (G10)</t>
  </si>
  <si>
    <t>Lost TC1 (in 3) TC10 TC31 TC48 TC51. Run15_BV filename. Noticed a heater anomaly (~3 A not 4). Looks like heater blew? See photos in case - streaks. positive witness plates has pits. Cell chamber perforation near cell heater top. At one or two heaters were shorted during run. Sidewall rupture thru o-ring seal. SWR which damaged (+) oring seal severely, and destroyed adj heater in cell chamber.</t>
  </si>
  <si>
    <t>TC22, TC23 manually edited. TC1 manually edited based on Test Notes.</t>
  </si>
  <si>
    <t>ESRF17_Oct_Run021</t>
  </si>
  <si>
    <t>(M36_G10). TC1 (in 3), TC31, TC43, TC45, TC50. Power acciedentally cut for ~1 s after about 10 s of the experiment. It was turned back on straight away. Discoloration on bottom, complete rupture on top button.</t>
  </si>
  <si>
    <t>DLS18_Feb_Run010</t>
  </si>
  <si>
    <t>Negative copper mesh from run 7 was clean so is being reused for run 10. TC 27, 35, 37, 42, 43 and 44 all bad. TC44 wire was broken, replaced but still didn't work. Started at 4.2 A. Bottom rupture, side wall rupture, top crimp rupture. Ruptured top cap. Header rupture and bottom ruptures clocked with ISC.</t>
  </si>
  <si>
    <t>Micro_scan_00013</t>
  </si>
  <si>
    <t>DLS18_Feb_Run011</t>
  </si>
  <si>
    <t>TC14 did not connect. Blown out cap, spin groove breach.</t>
  </si>
  <si>
    <t>Micro_scan_00014</t>
  </si>
  <si>
    <t>ESRF17_Oct_Run002</t>
  </si>
  <si>
    <t>M36 G7</t>
  </si>
  <si>
    <t>Lost TC1 TC3 TC10 TC51 TC55. Great capture focued on ISC. No bottom ejection. Telescoping JR out of top vent. Cell bottom. Photos: dsc_0410-0427</t>
  </si>
  <si>
    <t>ESRF17_Oct_Run010</t>
  </si>
  <si>
    <t>M36 G6</t>
  </si>
  <si>
    <t>Lost TCs 1, 10, 29, 30, 41, 51. TC3[daq] is reading the value of TC1[calorimeter]. TC1 is lost. Ejection from positive side - TC19(first positive baffle) broke. Large telescoping out top vent, extended spin groove. Photos: dsc_0632-0676</t>
  </si>
  <si>
    <t>TC1 manually edited bases on test notes.</t>
  </si>
  <si>
    <t>ESRF17_Oct_Run020</t>
  </si>
  <si>
    <t>TC1 (in 3), TC10, TC30, TC51, One heater still failed or misconnected. JR ejection/telescoping out top, rainbow discoloration on bottom, header partially blown out of crimp fold, spin groove SWR, nearly clocked with ISC and rainbow bot discoloration.</t>
  </si>
  <si>
    <t>DLS18_Feb_Run004</t>
  </si>
  <si>
    <t>TC35, 37, 44 out. Power was accidently cut for about 2 seconds during test. Ruptured top cap, with telescoping partial JR ejection clocked with ISC.</t>
  </si>
  <si>
    <t>Miro_scan_00007</t>
  </si>
  <si>
    <t>I1 (heater current) manually edited. TC43 manually edited.</t>
  </si>
  <si>
    <t>DLS18_Feb_Run005</t>
  </si>
  <si>
    <t>TC3, 14, 15 out. 3.85 A achieved. Spin groove breach and electrode assembly gets caught in header. Ruptured top cap, with telescoping partial JR ejection clocked with ISC.</t>
  </si>
  <si>
    <t>Miro_scan_00008</t>
  </si>
  <si>
    <t>I1 (heater current) manually edited. Did not process data after 713.000 seconds.</t>
  </si>
  <si>
    <t>DLS18_Feb_Run006</t>
  </si>
  <si>
    <t>TC41, 45 out. Ruptured top and SWR below spin groove nearly clocked with ISC.</t>
  </si>
  <si>
    <t>Miro_scan_00009</t>
  </si>
  <si>
    <t>I1 (heater current) manually edited. TC 40, 41 manually edited. TC1 spikes briefly at time 44.266, kept as-is.</t>
  </si>
  <si>
    <t>DLS18_Feb_Run007</t>
  </si>
  <si>
    <t>T15, 35, 37, 42, 43 ,44 ,56. Clean negative copper mesh is being reused from this run for Run 10. Ruptured top cap and header clocked w/ ISC, very tiny bottom rupture also clocked.</t>
  </si>
  <si>
    <t>Miro_scan_00010</t>
  </si>
  <si>
    <t>I1 (heater current) manually edited. TC42, 43 manually edited.</t>
  </si>
  <si>
    <t>DLS18_Feb_Run008</t>
  </si>
  <si>
    <t>TC14 is frayed. Ruptured top cap and header clocked w ISC. Bottom rupture also clocked. Severe bulged.</t>
  </si>
  <si>
    <t>Miro_scan_00011</t>
  </si>
  <si>
    <t>DLS18_Feb_Run009</t>
  </si>
  <si>
    <t>TC45 out, TC47 too high. Ruptured top cap. Header rupture and bottom ruptures clocked with ISC.</t>
  </si>
  <si>
    <t>Miro_scan_00012</t>
  </si>
  <si>
    <t>DLS18_Feb_Run026</t>
  </si>
  <si>
    <t xml:space="preserve">TC 14, 23. Set screw TC bundle in the FOV. </t>
  </si>
  <si>
    <t>DLS18_Feb_Run027</t>
  </si>
  <si>
    <t xml:space="preserve">TC 35, 37. Blew out top cap, clocked damaged. </t>
  </si>
  <si>
    <t>ESRF18_Oct_Run041</t>
  </si>
  <si>
    <t>TC 8, 32, 45, 49 , 51-56. Header break; bottom vent; jellyroll expulsion.</t>
  </si>
  <si>
    <t>Removed temperature outlier in TC 34 row 1443, highlighted in yellow.</t>
  </si>
  <si>
    <t>ESRF18_Oct_Run042</t>
  </si>
  <si>
    <t>TC 8, 30, 32, 39 49 - 56, running with 2A again. Agressive failure, very fast. Header vent; bottom break; jellyroll expulsion.</t>
  </si>
  <si>
    <t>Removed temperature outliers in TC 2 rows 3002-3005, highlighted in yellow. Manually replaced TCs 49 and 50 for series failure.</t>
  </si>
  <si>
    <t>ESRF18_Oct_Run043</t>
  </si>
  <si>
    <t>TC 8, 30, 32, 38, 39, 49, 51 - 56 out. Header break, bottom vent, jelly roll almost entirely expelled,spin groove breach.</t>
  </si>
  <si>
    <t>Manually replaced TCs 49 and 50 with TC 48 and TCs 38 and 39 with TC 40 for series failure, highlighted in yellow</t>
  </si>
  <si>
    <t>ESRF18_Oct_Run044</t>
  </si>
  <si>
    <t>TC 8, 45, 49, 51-56 are out, TC 6 is too high, likely wrong. 3A on heaters. Header breach; bottom vent; partial jelly roll expulsion.</t>
  </si>
  <si>
    <t>DLS19_Feb_Run046</t>
  </si>
  <si>
    <t>TCs 24, 29, 40 out. Nail would not penetrate. Dented severely, but still no runaway. Resulted in us needing to use heaters to trigger the cell.</t>
  </si>
  <si>
    <t>Some pre-images taken (miro_projections_84187.hdf) - TR event images are named - miro_projections_84188.hdf</t>
  </si>
  <si>
    <t>Nail run failed and changed to a heater run after 1300s. Removed all data before 1300s so that the heater run could be analyzed. See Input Data (RD-Original) to see data before being removed. Otherwise nominal processing. Voltage channels had to be manually corrected on RDE tab. Plugged in incorrectly. No shunt for current. Assumed 4 A.</t>
  </si>
  <si>
    <t>DLS19_Feb_Run089</t>
  </si>
  <si>
    <t>TC29 out</t>
  </si>
  <si>
    <t xml:space="preserve">miro_projections_84225.hdf </t>
  </si>
  <si>
    <t>Channel 6 tc was reading from x4 and channel 9 was reading from channel 6. Performed manual corrections. These TCs did not fail. 32-34 corrected for series failure.</t>
  </si>
  <si>
    <t>DLS19_Feb_Run090</t>
  </si>
  <si>
    <t>TC 29, 40, 48 out.</t>
  </si>
  <si>
    <t xml:space="preserve">miro_projections_84231.hdf </t>
  </si>
  <si>
    <t>Slightly negative post test mesh mass (+) replaced with 0. Nominal processing. Voltage channels had to be manually corrected on RDE tab. Plugged in incorrectly. No shunt for current. Assumed 4 A.</t>
  </si>
  <si>
    <t>DLS19_Feb_Run091</t>
  </si>
  <si>
    <t>TC 24, 40, 48 out.</t>
  </si>
  <si>
    <t xml:space="preserve">miro_projections_84234.hdf </t>
  </si>
  <si>
    <t>Slightly negative post test mass (-) replaced with 0. Removed temperature outliers in TCs 12, 18, and 19 rows 1787-1788.</t>
  </si>
  <si>
    <t>ESRF18_Oct_Run063</t>
  </si>
  <si>
    <t>TC 8, 26, 32, 38, 39, 45, 51-56 out. 53 ok. Top and bottom vent; jelly roll expelled from bottom; nail pen hole</t>
  </si>
  <si>
    <t>No values reported for Copper Mesh Mass pre-test. Used an average value of 48.2g for data analysis. Replaced copper mesh mass with a dash on the printable summary tab since no experimental value was recorded. Manually replaced TCs 38 and 39 with TC 40 for series failure. Removed temperature outliers in TCs 1 and 2 in rows 999-1007. Neg/Pos baffles backwards. Switched accordingly.</t>
  </si>
  <si>
    <t>ESRF18_Oct_Run065</t>
  </si>
  <si>
    <t>T8, 32, 38, 39, 45, 51-56 out. 53 ok. Nail pen hole, top and bottom vent, partial melting of header.</t>
  </si>
  <si>
    <t>TCs unplugged from Uni-DAQ after 1100s, removed all data after 1100s for analysis. Manually replaced TCs 38 and 39 with TC 40 for series failure, highlighted in yellow. LOW READ ON CELL BODY TCs, SET CELL BODY TCs TO AVERAGE OF CELL CHAMBER TCs.</t>
  </si>
  <si>
    <t>ESRF18_Oct_Run067</t>
  </si>
  <si>
    <t>Shorted whilst removing positive tab. TC8,26,27,39,38,51,52,5455,56 out. Top/Bottom Vent; Nail pen hole, along with small side breach near nail pen.</t>
  </si>
  <si>
    <t>Manually replaced TCs 26 and 27 with TC 25 and TCs 38 and 39 with TC 40 for series failure. Highlighted in yellow.</t>
  </si>
  <si>
    <t>DLS19_Feb_Run045</t>
  </si>
  <si>
    <t>THis one used the aux cable with the TC extensions. Extensions should control 6, 7 and 9, but not sure which. Will have to process data file to see. TC 40 is out. I think this is on the hardware side. Nominal run.</t>
  </si>
  <si>
    <t>miro_projections_84184.hdf</t>
  </si>
  <si>
    <t>DLS19_Feb_Run047</t>
  </si>
  <si>
    <t>Always putting 1 and 2 into the x channels from now on.</t>
  </si>
  <si>
    <t>miro_projections_84181.hdf</t>
  </si>
  <si>
    <t>Removed temperature outliers in TCs 7,11,12,13, and 14 in row 965, highlighted in yellow. Voltage channels had to be manually corrected on RDE tab. Plugged in incorrectly. No shunt for current. Assumed 4 A.</t>
  </si>
  <si>
    <t>SPR2021_ESTA_8B100-01_SOC_RUN194</t>
  </si>
  <si>
    <t>LG_M50_100</t>
  </si>
  <si>
    <t>SPR2021_ESTA_8B100-01_SOC_RUN195</t>
  </si>
  <si>
    <t>SPR2021_ESTA_8B100-01_SOC_RUN196</t>
  </si>
  <si>
    <t>Positive corner foam glass out/plungers not inserted</t>
  </si>
  <si>
    <t>SPR2021_ESTA_8B100-01_SOC_RUN197</t>
  </si>
  <si>
    <t>SPR2021_ESTA_8B100-01_SOC_RUN198</t>
  </si>
  <si>
    <t>SPR2021_ESTA_8B100-01_SOC_RUN199</t>
  </si>
  <si>
    <t>LG_M50_60</t>
  </si>
  <si>
    <t>SPR2021_ESTA_8B100-01_SOC_RUN200</t>
  </si>
  <si>
    <t>SPR2021_ESTA_8B100-01_SOC_RUN201</t>
  </si>
  <si>
    <t>SPR2021_ESTA_8B100-01_SOC_RUN202</t>
  </si>
  <si>
    <t>SPR2021_ESTA_8B100-01_SOC_RUN203</t>
  </si>
  <si>
    <t>LG_M50_40</t>
  </si>
  <si>
    <t>SPR2021_ESTA_8B100-01_SOC_RUN204</t>
  </si>
  <si>
    <t>SPR2021_ESTA_8B100-01_SOC_RUN205</t>
  </si>
  <si>
    <t>DLS18_Feb_Run017</t>
  </si>
  <si>
    <t>Discoloured casing and bulging base. Header intact. TC 14 out of action. Battery is upside down - make sure to invert image later. Shunt reached about 38 C. Final current on power supply read about 3.8 A. Thermal runaway was very smooth and significantly delayed. Very unusual heating profile following the experiment.</t>
  </si>
  <si>
    <t>Miro_scan_00020</t>
  </si>
  <si>
    <t>Cell installed upside down. Use the bottom databank entry line.</t>
  </si>
  <si>
    <t>DLS18_Feb_Run023</t>
  </si>
  <si>
    <t>TC 14 out of action. Battery is upside down - make sure to invert image later. Shunt reached about 38 C. Final current on power supply read about 3.8 A. Thermal runaway was very smooth and significantly delayed. Very unusual heating profile following the experiment.</t>
  </si>
  <si>
    <t>Miro_scan_00026</t>
  </si>
  <si>
    <t>DLS18_Feb_Run024</t>
  </si>
  <si>
    <t xml:space="preserve">extended spin groove, top cap vent, bulged bot. TC 35, 37.  </t>
  </si>
  <si>
    <t>Miro_scan_00027</t>
  </si>
  <si>
    <t>DLS18_Feb_Run025</t>
  </si>
  <si>
    <t>TC 45.</t>
  </si>
  <si>
    <t>Miro_scan_00028</t>
  </si>
  <si>
    <t>ESTA20_DEC_NVY_RUN001</t>
  </si>
  <si>
    <t>ESTA20_DEC_NVY</t>
  </si>
  <si>
    <t>INR-18650-M35A | MOLICEL 096 2J922 04</t>
  </si>
  <si>
    <t>8B100-01_Run001_12-16-2020, Cell Pre Mass Includes Wrapper, Nominal Run.</t>
  </si>
  <si>
    <t>ESTA20_DEC_NVY_RUN002</t>
  </si>
  <si>
    <t>8B100-01_Run002_12-16-2020</t>
  </si>
  <si>
    <t>ESTA20_DEC_NVY_RUN003</t>
  </si>
  <si>
    <t>8B100-01_Run003_12-16-2020</t>
  </si>
  <si>
    <t>ESTA20_DEC_NVY_RUN004</t>
  </si>
  <si>
    <t>8B100-01_Run004_12-16-2020</t>
  </si>
  <si>
    <t>ESTA20_DEC_NVY_RUN005</t>
  </si>
  <si>
    <t>8B100-01_Run005_12-16-2020</t>
  </si>
  <si>
    <t>ESTA20_DEC_NVY_RUN006</t>
  </si>
  <si>
    <t>8B100-01_Run006_12-16-2020; Bottom Rupture, Cell ejected from cell chamber into negative ejecta mating.</t>
  </si>
  <si>
    <t>SPR2021_ESTA_8B100-01_SOC_RUN094</t>
  </si>
  <si>
    <t>M35A_100</t>
  </si>
  <si>
    <t>SPR2021_ESTA_8B100-01_SOC_RUN095</t>
  </si>
  <si>
    <t>DO NOT USE - FIRE BREACH --&gt;</t>
  </si>
  <si>
    <t>SPR2021_ESTA_8B100-01_SOC_RUN097</t>
  </si>
  <si>
    <t>SPR2021_ESTA_8B100-01_SOC_RUN098</t>
  </si>
  <si>
    <t>SPR2021_ESTA_8B100-01_SOC_RUN021</t>
  </si>
  <si>
    <t>P28A_100</t>
  </si>
  <si>
    <t>N/A</t>
  </si>
  <si>
    <t>SPR2021_ESTA_8B100-01_SOC_RUN022</t>
  </si>
  <si>
    <t>SPR2021_ESTA_8B100-01_SOC_RUN023</t>
  </si>
  <si>
    <t>SPR2021_ESTA_8B100-01_SOC_RUN024</t>
  </si>
  <si>
    <t>SPR2021_ESTA_8B100-01_SOC_RUN025</t>
  </si>
  <si>
    <t>SPR2021_ESTA_8B100-01_SOC_RUN026</t>
  </si>
  <si>
    <t>SPR2021_ESTA_8B100-01_SOC_RUN027</t>
  </si>
  <si>
    <t>SPR2021_ESTA_8B100-01_SOC_RUN028</t>
  </si>
  <si>
    <t>SPR2021_ESTA_8B100-01_SOC_RUN029</t>
  </si>
  <si>
    <t>SPR2021_ESTA_8B100-01_SOC_RUN030</t>
  </si>
  <si>
    <t>SPR2021_ESTA_8B100-01_SOC_RUN031</t>
  </si>
  <si>
    <t>P28A_60</t>
  </si>
  <si>
    <t>SPR2021_ESTA_8B100-01_SOC_RUN032</t>
  </si>
  <si>
    <t>Manually replaced TC33 with 34, TC81 with 82. Auto heat loss rate and TR time.</t>
  </si>
  <si>
    <t>SPR2021_ESTA_8B100-01_SOC_RUN033</t>
  </si>
  <si>
    <t>Set screw 2 went out</t>
  </si>
  <si>
    <t>SPR2021_ESTA_8B100-01_SOC_RUN034</t>
  </si>
  <si>
    <t>TC4 not registering</t>
  </si>
  <si>
    <t>SPR2021_ESTA_8B100-01_SOC_RUN036</t>
  </si>
  <si>
    <t>P28A_40</t>
  </si>
  <si>
    <t>Momentary data rest</t>
  </si>
  <si>
    <t>SPR2021_ESTA_8B100-01_SOC_RUN037</t>
  </si>
  <si>
    <t>SPR2021_ESTA_8B100-01_SOC_RUN038</t>
  </si>
  <si>
    <t>SPR2021_ESTA_8B100-01_SOC_RUN039</t>
  </si>
  <si>
    <t>TC4 and TC29 too low</t>
  </si>
  <si>
    <t>SPR2021_ESTA_8B100-01_SOC_RUN040</t>
  </si>
  <si>
    <t>SPR2021_ESTA_8B100-01_SOC_RUN041</t>
  </si>
  <si>
    <t>P28A_20</t>
  </si>
  <si>
    <t>Manually replaced TC21 with 23, TC22 with 23, TC95 with TC99, TC2 wtih TC1, manually reinserted TC99 after auto failure. Manual heat loss rate, auto TR time.</t>
  </si>
  <si>
    <t>SPR2021_ESTA_8B100-01_SOC_RUN042</t>
  </si>
  <si>
    <t xml:space="preserve">Manually replaced TC98 with 97. Auto TR time and heat loss rate. </t>
  </si>
  <si>
    <t>SPR2021_ESTA_8B100-01_SOC_RUN043</t>
  </si>
  <si>
    <t>SPR2021_ESTA_8B100-01_SOC_RUN044</t>
  </si>
  <si>
    <t>SPR2021_ESTA_8B100-01_SOC_RUN045</t>
  </si>
  <si>
    <t>Manually replaced TC24 with 25, TC22 with 23, TC 101-103 with 100. Auto heat loss rate and TR time.</t>
  </si>
  <si>
    <t>ESRF17_Sep_Oct_Run001</t>
  </si>
  <si>
    <t>EYA.7.8</t>
  </si>
  <si>
    <t>Moli 016 Silver</t>
  </si>
  <si>
    <t>Lost TC 10, 28, 30, and 51. Cell was glued to the bottom Al seal. The cell did not make much noise when it underwent thermal runaway so there was a delayed response pressing the record option for X-rays. We were not sure whether there was an ISC device in this cell - we could not find it. In future, we need to rotate the cells to clock the ISC device parallel with the beam. FILTERS IN PLACE? Bulged bottom &amp; nominal top vent. ALL PHOTOS ARE IN SEPARATE FOLDERS FOR EACH RUN - dsc_0384-0409.</t>
  </si>
  <si>
    <t>Matrix has this cell labeled as DW silver cell however it triggers in ~50s which would indicate an ISC cell (i.e. a Control cell). Therefore, labeled this run as a Control cell in databank.</t>
  </si>
  <si>
    <t>DLS18_Feb_Run018</t>
  </si>
  <si>
    <t>RC9171219-005</t>
  </si>
  <si>
    <t>Discolouring on the surface of the casing where the ISC was located.TC 37, 42, 43, 44. - Replace baffle and rhods after this run. Voltage on power supply dropped to about 60 V about 30 seconds before TR - heating cartridge shorted and melted. Shunt reacched &gt; 60 C.</t>
  </si>
  <si>
    <t>Miro_scan_00021</t>
  </si>
  <si>
    <t>DLS18_Feb_Run019</t>
  </si>
  <si>
    <t>RC9171219004</t>
  </si>
  <si>
    <t>extended spin groove, top cap vent. TC 45. Shunt reached 40 C. Current on power supply gradually went down to about 3.8 A.</t>
  </si>
  <si>
    <t>Miro_scan_00022</t>
  </si>
  <si>
    <t>DLS18_Feb_Run057</t>
  </si>
  <si>
    <t>TC 35, 37, 56. brass o ring on negative</t>
  </si>
  <si>
    <t>Miro_scan_00060</t>
  </si>
  <si>
    <t>DLS18_Feb_Run020</t>
  </si>
  <si>
    <t>170704-021</t>
  </si>
  <si>
    <t>TC 14. SHunt reached 40 C. Current went down to about 3.8 A.</t>
  </si>
  <si>
    <t>Miro_scan_00023</t>
  </si>
  <si>
    <t>DLS18_Feb_Run022</t>
  </si>
  <si>
    <t>171219-104</t>
  </si>
  <si>
    <t>extended spin groove, top cap vent. TC 45. Vacuum leak in beamline caused delay. The dust in the bore of the Dreamweaver runs is much more fine compared to polymer runs.</t>
  </si>
  <si>
    <t>Miro_scan_00025</t>
  </si>
  <si>
    <t>DLS18_Feb_Run021</t>
  </si>
  <si>
    <t>170704-022</t>
  </si>
  <si>
    <t>extended spin groove, top cap vent. TC 35, 37. Voltage dropped about 15 second before TR. Heating cartridge blew again.</t>
  </si>
  <si>
    <t>Miro_scan_00024</t>
  </si>
  <si>
    <t>DLS18_Feb_Run050</t>
  </si>
  <si>
    <t>TC 27, 37 are out. BV acted.</t>
  </si>
  <si>
    <t>Miro_scan_00053</t>
  </si>
  <si>
    <t>DLS18_Feb_Run051</t>
  </si>
  <si>
    <t>TC 37, 45. Power supply dropped to 3A from 4A during heating. BV acted.</t>
  </si>
  <si>
    <t>Miro_scan_00054</t>
  </si>
  <si>
    <t>ESRF18_Oct_Run045</t>
  </si>
  <si>
    <t>DCell-Brass</t>
  </si>
  <si>
    <t>TC 8, 30, 32, 38, 39, 43, 50-56 all out. Double top vent; top button dislodged; some metal is fused on sidewall.</t>
  </si>
  <si>
    <t xml:space="preserve">Both cell body TCs failed, SET EQUAL TO AVERAGE OF CELL CHAMBER TCs, highlighted in yellow. Manually replaced TCs 38 and 39 with TC 40 for series failure. </t>
  </si>
  <si>
    <t>ESRF18_Oct_Run047</t>
  </si>
  <si>
    <t>TC  8, 30, 32, 39 out. Double top vents; top button dislodged and leak.</t>
  </si>
  <si>
    <t>DLS19_Feb_Run072</t>
  </si>
  <si>
    <t>DCell-Aluminum</t>
  </si>
  <si>
    <t>Let heater reach 400 C and cell chamber 200 C, then switched off heaters. TR occured soon after. TC 8,40. 3.33 Amps at 240 V.</t>
  </si>
  <si>
    <t>miro_projections_84213.hdf</t>
  </si>
  <si>
    <t>No pre-test cell mass recorded. Assumed 112.5g based on other Saft D cells in this test series. Voltage channels had to be manually corrected on RDE tab. Plugged in incorrectly. No shunt for current. Assumed 4 A.</t>
  </si>
  <si>
    <t>DLS19_Dec_Run009</t>
  </si>
  <si>
    <t>P08197</t>
  </si>
  <si>
    <t>TC 99, 102 out</t>
  </si>
  <si>
    <t>95802 (data)</t>
  </si>
  <si>
    <t>No TC's manually edited.  Negative-valued post mass entered as 0 for ejecta mating (-), bore (-), and mesh soot (-).</t>
  </si>
  <si>
    <t>DLS19_Dec_Run011</t>
  </si>
  <si>
    <t>P08162</t>
  </si>
  <si>
    <t>TC 97, 102 are not working. Longer time for heating leading to TR. ISC was difficult to find in the cell, however, it appears we found the ISC and captured TR event.</t>
  </si>
  <si>
    <t>95835 (flats), 95836(darks), 95837(scan)</t>
  </si>
  <si>
    <t>No TC's manually edited. Negative-valued post mass entered as 0 for ejecta mating (-), bore (-), and mesh soot (-).</t>
  </si>
  <si>
    <t>DLS19_Dec_Run013</t>
  </si>
  <si>
    <t>P08191</t>
  </si>
  <si>
    <t>12/12/2019 - imaging issue + Cell missing - skipped. TC 54 reading strange values prior to test. TC 57, 93 are out. Hard to detect ISC location, however, we think we successfully located it and ISC failure looks to be captured in X-ray video. stucl al seal in mass measurmeny\Calorimeter case was flipped upside down on test stand. `ww put seals in this one incorrectly. Imaged middle of this one AND middle of 15.</t>
  </si>
  <si>
    <t>95830(flats-cancelled),95831(flats - good),95832(scan)</t>
  </si>
  <si>
    <t>No TC's manually edited. Negative-valued post mass entered as 0 for ejecta mating (-), bore (-), and mesh soot (- and +).</t>
  </si>
  <si>
    <t>DLS19_Dec_Run015</t>
  </si>
  <si>
    <t>P08196</t>
  </si>
  <si>
    <t>12/12/2019 - Cell missing - skipped. TC 30 reading weird values, should be open channel (check TC map to verify). TC 90 was reading values higher than others prior to testing. TCs 57, 93 are out.</t>
  </si>
  <si>
    <t>95839(data), 95838(brights)</t>
  </si>
  <si>
    <t>DLS19_Dec_Run017</t>
  </si>
  <si>
    <t>P08175</t>
  </si>
  <si>
    <t>12/12/2019 - Cell not charged + imaging issue - skipped. TC 57, 93 are out. Quick venting before TR.</t>
  </si>
  <si>
    <t>95846 (data), 95845 (darks), 95844 (brights)</t>
  </si>
  <si>
    <t>No TC's manually edited. Negative-valued post mass entered as 0 for ejecta mating (-) and mesh soot (-).</t>
  </si>
  <si>
    <t>DLS19_Dec_Run019</t>
  </si>
  <si>
    <t>P08178</t>
  </si>
  <si>
    <t>12/12/2019 - Cell not charged + imaging issue - skipped. TCs 97, 99, 102 are out (not reading).</t>
  </si>
  <si>
    <t>95843 (95842 - Bright) TOM?? -yes?</t>
  </si>
  <si>
    <t>DLS19_Feb_Run057</t>
  </si>
  <si>
    <t>All TCs nominal except fof TC 2 (failed). Very slow calm TR event. About 10 s failure time.</t>
  </si>
  <si>
    <t>miro_projections_84196.hdf</t>
  </si>
  <si>
    <t>DLS19_Feb_Run068</t>
  </si>
  <si>
    <t>WW Changed from nail to FTRC after looking at data</t>
  </si>
  <si>
    <t>miro_projections_84205.hdf</t>
  </si>
  <si>
    <t>Heater run performed after failed nail attempts- RDE and TR rows adjusted to accommodate the large amount of data. Voltage channels manually corrected on RDE tab (plugged in incorrectly). No shunt for current- assumed 4.0 A. No TC's manually edited.</t>
  </si>
  <si>
    <t>DLS19_Feb_Run069</t>
  </si>
  <si>
    <t>Three nail attempt. Ruined both flexible torque bars. Resorted to heating. Heaters failed just before TR  when the cell chamber was at 300. The calorimeter file is huge becuase I left it recording just incase it failed spontaneously. TC's 8, 40 are out. I applied 250 V and about 4.5 A to the heaters to speed up the failure process. THis cell chamber contained different heaters than the others - check resistance with Donal. Gave extra time for cooling because the curves didn't plateau.</t>
  </si>
  <si>
    <t>miro_projections_84216.hdf</t>
  </si>
  <si>
    <t>TC1 &amp; TC2 manually edited to X2/X3.</t>
  </si>
  <si>
    <t>DLS19_Feb_Run070</t>
  </si>
  <si>
    <t>TCs 7, 9, 45, 47 are out. Nominal and relatively slow failure.</t>
  </si>
  <si>
    <t>miro_projections_84227.hdf</t>
  </si>
  <si>
    <t xml:space="preserve">No TCs manually edited. Voltage channels manually corrected on RDE tab (plugged in incorrectly). No shunt for current- assumed 4.0 A </t>
  </si>
  <si>
    <t>DLS19_Dec_Run021</t>
  </si>
  <si>
    <t>P5312</t>
  </si>
  <si>
    <t>TC 51, 99, 102</t>
  </si>
  <si>
    <t>95807 (data)</t>
  </si>
  <si>
    <t>DLS19_Dec_Run023</t>
  </si>
  <si>
    <t>P5313</t>
  </si>
  <si>
    <t>12/12/2019 - what does OC/DC label mean?. Top of cell can swelled significantly before TR. TCs 97, 99, 102 are out.</t>
  </si>
  <si>
    <t>95849 (flats) - NIGHT CREW???</t>
  </si>
  <si>
    <t>No TC's manually edited.</t>
  </si>
  <si>
    <t>DLS19_Dec_Run025</t>
  </si>
  <si>
    <t>P5314</t>
  </si>
  <si>
    <t>12/12/2019 - imaging issue - skipped. TC 93 is out. Fairly normal TR event observed in X-ray video.</t>
  </si>
  <si>
    <t>95959 (data), 95960 (dark), 95961 (brights)</t>
  </si>
  <si>
    <t>DLS19_Dec_Run027</t>
  </si>
  <si>
    <t>P5316</t>
  </si>
  <si>
    <t>12/12/2019 - imaging issue - skipped. TCs 61, 63, 66, 102 are open. Cell took a fair amount of time to heat to trigger TR. Venting occured prior to TR. After test, TCs pn baffles were checked via TC Checker and TCs 94, 97, had shorts.</t>
  </si>
  <si>
    <t>95962 (data), 95964 (brights), 95963 (darks)</t>
  </si>
  <si>
    <t>DLS19_Dec_Run029</t>
  </si>
  <si>
    <t>P5337</t>
  </si>
  <si>
    <t>12/12/2019 - imaging issue - skipped. TC 54 reading weird values, 59 reading low, 93 is open.</t>
  </si>
  <si>
    <t>95965 (data), 95966 (dark), 95967 (brights)</t>
  </si>
  <si>
    <t>DLS19_Feb_Run056</t>
  </si>
  <si>
    <t>All TCs good. No heater TCs (new Dcell chamber). Could not get penetration to happen. Set aside for later. On take two, all TCs good. No heater TCs (new Dcell chamber). Darst added a flux capacitor to the drill controlling the nail pen device. Penetration and successful TR.</t>
  </si>
  <si>
    <t>miro_projections_84201.hdf</t>
  </si>
  <si>
    <t>Heater TCs reading high values because they were unused for test; marked all as failed and set equal to average of cell chamber. Voltage and current channels manually corrected to zero on RDE tab.</t>
  </si>
  <si>
    <t>DLS19_Feb_Run058</t>
  </si>
  <si>
    <t>TR occured. Great X-ray capture. Didn't read TC outages.</t>
  </si>
  <si>
    <t>miro_projections_84204.hdf</t>
  </si>
  <si>
    <t>DLS19_Dec_Run047</t>
  </si>
  <si>
    <t>P5321</t>
  </si>
  <si>
    <t>TC 54 reading higher values prior to beginning of test. TC 93 is not reading. "DUD Cell": After nail penetration, TR did not occur in a distinct fashion from X-ray video. TCs on the cell chamber and oher calorimeter components did rise in temperature though. A second nail penetration was attempted to again trigger TR, but the second time was also unsuccessful. A feild decision was made to record the data for analysis and comparison to lower than expected voltage in the cell.</t>
  </si>
  <si>
    <t>95913 (data), 95915 (brights), 95914 (darks)</t>
  </si>
  <si>
    <t>Volatile readings on the cell body TCs. Removed row of zeros in TC data in row 2564, highlighted in yellow</t>
  </si>
  <si>
    <t>DLS19_Dec_Run049</t>
  </si>
  <si>
    <t>P5319</t>
  </si>
  <si>
    <t>TC 61 reading higher than neighboring TCs prior to test. TCs 66, 97, 99, 102 reading open. TR was not very violent when it occured after nail pen. Inner layers of the jellyroll move slightly after the nail enters, but not much in the penetrated area. DPA- no battery debris in negative terminus, significant debris lodged in between the baffles (+) A lot of powder in mesh (+)</t>
  </si>
  <si>
    <t>95918 (data), 95919 (brights), 95920 (dark)</t>
  </si>
  <si>
    <t>DLS19_Dec_Run051</t>
  </si>
  <si>
    <t>P5324</t>
  </si>
  <si>
    <t>TC93 out</t>
  </si>
  <si>
    <t>95921 (data), 95920 (dark), 95922 (brights)</t>
  </si>
  <si>
    <t>Removed temperature outlier in TC 1 row 139, highlighted in yellow</t>
  </si>
  <si>
    <t>DLS19_Dec_Run053</t>
  </si>
  <si>
    <t>P5331</t>
  </si>
  <si>
    <t>TC66, 99 97 out</t>
  </si>
  <si>
    <t>95927 (data), 95926 (darks), 95928 (brights)</t>
  </si>
  <si>
    <t>TC 1 reading low. TC 2 seemed more like a nail profile, so set TC 1 to failed. Removed TC outliers in TC 24 rows 187,188.</t>
  </si>
  <si>
    <t>DLS19_Dec_Run055</t>
  </si>
  <si>
    <t>P5333</t>
  </si>
  <si>
    <t>TC 93</t>
  </si>
  <si>
    <t>95932 (data), 95931 (darks), no brights</t>
  </si>
  <si>
    <t>DLS19_Dec_Run057</t>
  </si>
  <si>
    <t>P5334</t>
  </si>
  <si>
    <t>TC 66, 97, 99, 102 out</t>
  </si>
  <si>
    <t>95941 (data), 95940 (darks), 95942 (brights)</t>
  </si>
  <si>
    <t>BOTH CELL BODY TCs FAILED, AVERAGED CELL CHAMBER TCs AS REPLACEMENT. Removed temperature outliers in TC 24 rows 76-82.</t>
  </si>
  <si>
    <t>DLS19_Dec_Run059</t>
  </si>
  <si>
    <t>P5315</t>
  </si>
  <si>
    <t>TC 93 out</t>
  </si>
  <si>
    <t>95945 (data), 95943 (darks), 95946 (brights)</t>
  </si>
  <si>
    <t>Used Run59_Attempt2 because attempt 1 was improperly recorded data. Removed temperature outliers in TC 1 around TR event, highlighted in yellow</t>
  </si>
  <si>
    <t>DLS19_Dec_Run001</t>
  </si>
  <si>
    <t>Multiple heater adjustments prior to runaway. Nominal runaway event. Early vent. Jellyroll shifted upwards about 10 s prior to runaway. Header fully in tact.</t>
  </si>
  <si>
    <t>76 kev beam. 1800 fps. exposure time. Module 2.  sample-camera distance of 700 (on a range of 350 to 1000, 350 being full abs and 1000 being full phase). 1280x800 pixels with 6.26 um pixel size. DLS filenames 95781 (darks),95782 (scan),95783 (flats).</t>
  </si>
  <si>
    <t>DLS19_Dec_Run002</t>
  </si>
  <si>
    <t>B03 2  c05 w11</t>
  </si>
  <si>
    <t>Buildup to thermal runaway was quite long, button moved upwards with jellyroll. Complete jellyroll ejection. Beam went down.</t>
  </si>
  <si>
    <t>Sample-camera distance of 500 from here on. 95791 (darks),95792 (scan)</t>
  </si>
  <si>
    <t>DLS19_Dec_Run003</t>
  </si>
  <si>
    <t>C03 w21 3 b04</t>
  </si>
  <si>
    <t>First test after dropped beam on December 11, after 5pm (UK time). Jellyroll ejection. Jellyroll remained in tact.</t>
  </si>
  <si>
    <t>95793 (scan), 95794 (flats), 95795(darks)</t>
  </si>
  <si>
    <t>DLS19_Dec_Run004</t>
  </si>
  <si>
    <t>W22 c04  bo2</t>
  </si>
  <si>
    <t>Runaway event: cell intact, positive side button stretched upwards, returned to nominal position after TR, jellyroll moved up during TR pushing button, then receeded into nominal position afterwards. Tape missing from copper foam on +ve side</t>
  </si>
  <si>
    <t>95795 (scan), (Log book says data is: 95796 - check this)</t>
  </si>
  <si>
    <t>DLS19_Dec_Run005</t>
  </si>
  <si>
    <t>J21 c08 b03</t>
  </si>
  <si>
    <t>DAQ System - Current not seen? Heater TC unequal</t>
  </si>
  <si>
    <t>95798 (data), 95797(darks)</t>
  </si>
  <si>
    <t>DLS19_Dec_Run006</t>
  </si>
  <si>
    <t>C04 W23 B07</t>
  </si>
  <si>
    <t>Post- Cell not intact, jelly roll ejected via positive terminus into the mating chamber</t>
  </si>
  <si>
    <t>95799 (data)</t>
  </si>
  <si>
    <t>DLS19_Dec_Run007</t>
  </si>
  <si>
    <t>w24 c07 b02</t>
  </si>
  <si>
    <t>TC 57, 93 out Heater TC3 went out when power output started, simialr to previous, numerous precursor events to TR. Cell not intact post. Jelly roll ejectedvia positive terminus into the mating chamber.</t>
  </si>
  <si>
    <t>95800 (data)</t>
  </si>
  <si>
    <t>DLS19_Dec_Run008</t>
  </si>
  <si>
    <t>w25 c08 b06</t>
  </si>
  <si>
    <t>TC59, 102 out, simialr to previous, numerous precursor events to TR</t>
  </si>
  <si>
    <t>95801 (data)</t>
  </si>
  <si>
    <t>DLS19_Dec_Run022</t>
  </si>
  <si>
    <t>B06 w13 c05 #11</t>
  </si>
  <si>
    <t>12/12/2019 - Cell missing - skipped. TC 59 out, TC 104 reading, should not be? (12th TC on baffles should be empty?). Venting was nominal, TR ensued shortly therafter.</t>
  </si>
  <si>
    <t>95833(flats), 95834(darks),
95834 (data), 95833 (bright), 95836 (dark)</t>
  </si>
  <si>
    <t>DLS19_Dec_Run035</t>
  </si>
  <si>
    <t>bo3 c01 w13 no10</t>
  </si>
  <si>
    <t>TC 57 open. X-ray data trigger was sent to early (TR not captured in video). Heaters were momentarily interupted when X-ray trigger was sent, but continued until thermal runaway occured. Cell temperature measurements used to determine moment of thermal runaway to turn off heaters. complete JR ejection.</t>
  </si>
  <si>
    <t>95980 (data), no brights or darks done (failed X-ray video)</t>
  </si>
  <si>
    <t>DLS18_Feb_Run052</t>
  </si>
  <si>
    <t>TC 27, 35, 37 are out.  No exhaust pipe.</t>
  </si>
  <si>
    <t>Miro_scan_00055</t>
  </si>
  <si>
    <t>DLS18_Feb_Run054</t>
  </si>
  <si>
    <t>TC 35, 37. Loud explosion heard and visible smoking even with exhaust piping attached</t>
  </si>
  <si>
    <t>Miro_scan_00057</t>
  </si>
  <si>
    <t>ESRF18_Oct_Run107</t>
  </si>
  <si>
    <t>TC8,30,38,45. TC 2 is reading low, defective.The baffles were blown back and damaged. The Al seal was partially melted through. Header breach/gone; sidewall breach from header to bottom; spin groove elongation; bottom bulge; jelly roll expelled.</t>
  </si>
  <si>
    <t>The post test cell mass was not recorded, assumed a value of 15g based on other 30Q post test cells in this test series. Manually replaced TCs 29 and 30 with TC 28 for series failure, highlighted in yellow. Removed temperature outliers in TCs 32,33,34 in rows 1091, 1092. Mating plugged in backwards. Switched accordingly on EYA.</t>
  </si>
  <si>
    <t>ESRF18_Oct_Run108</t>
  </si>
  <si>
    <t>TC1,8,30,39.The cell blew off the positive vent. It was reatached it for cool down. Baffles blown back and damaged. Header breach; bottom bulge; spin groove breach;  full length sidewall breach.</t>
  </si>
  <si>
    <t>Manually replaced TC 30 with TC 29 for series failure. Removed temperature outliers in TCs 26 and 27 in rows 1027-1033, highlighted in yellow</t>
  </si>
  <si>
    <t>ESRF18_Oct_Run109</t>
  </si>
  <si>
    <t>TC8,29,32,38,39,43. Blew the positive vent off again. Header breach; full length sidewall breach; bottom dented/compressed; jellyroll expulsion.</t>
  </si>
  <si>
    <t>Slightly negative post test (-) mass, replaced with 0. Manually replaced TC 38 with TC 37 and TC 30 with TC 29 for series failure.</t>
  </si>
  <si>
    <t>SPR2021_ESTA_8B100-01_SOC_RUN089</t>
  </si>
  <si>
    <t>30Q_100</t>
  </si>
  <si>
    <t>SPR2021_ESTA_8B100-01_SOC_RUN090</t>
  </si>
  <si>
    <t>SPR2021_ESTA_8B100-01_SOC_RUN091</t>
  </si>
  <si>
    <t>SPR2021_ESTA_8B100-01_SOC_RUN092</t>
  </si>
  <si>
    <t>SPR2021_ESTA_8B100-01_SOC_RUN093</t>
  </si>
  <si>
    <t>SPR2021_ESTA_8B100-01_SOC_RUN051</t>
  </si>
  <si>
    <t>Sanyo215_100</t>
  </si>
  <si>
    <t>Cell chamber and mating chamber were put into one bag</t>
  </si>
  <si>
    <t>Manually replaced TC27 with 28. Auto heat loss rate and TR time.</t>
  </si>
  <si>
    <t>SPR2021_ESTA_8B100-01_SOC_RUN052</t>
  </si>
  <si>
    <t>SPR2021_ESTA_8B100-01_SOC_RUN053</t>
  </si>
  <si>
    <t>SPR2021_ESTA_8B100-01_SOC_RUN054</t>
  </si>
  <si>
    <t>SPR2021_ESTA_8B100-01_SOC_RUN055</t>
  </si>
  <si>
    <t>TC5 - reading but not registering, TC3 reading but not as hot as it needs to be</t>
  </si>
  <si>
    <t>SPR2021_ESTA_8B100-01_SOC_RUN056</t>
  </si>
  <si>
    <t>Set screw 2 was reading two low, however it normalized and was reading correcty prior to thermal ruanway</t>
  </si>
  <si>
    <t>SPR2021_ESTA_8B100-01_SOC_RUN057</t>
  </si>
  <si>
    <t>TC 3,5,6 went out, they were tested before running and were fine but during the test TC 3 was registering but not high enough, and TC5/6 arent registering any heat increase, this cell chamber wont be used for any remaing tests today</t>
  </si>
  <si>
    <t>No manual replacements. Auto heat loss rate and TR time.</t>
  </si>
  <si>
    <t>SPR2021_ESTA_8B100-01_SOC_RUN058</t>
  </si>
  <si>
    <t>SPR2021_ESTA_8B100-01_SOC_RUN059</t>
  </si>
  <si>
    <t>SPR2021_ESTA_8B100-01_SOC_RUN060</t>
  </si>
  <si>
    <t>SPR2021_ESTA_8B100-01_SOC_RUN061</t>
  </si>
  <si>
    <t>Cell was dropped before testing</t>
  </si>
  <si>
    <t>SPR2021_ESTA_8B100-01_SOC_RUN062</t>
  </si>
  <si>
    <t>DLS18_Feb_Run048</t>
  </si>
  <si>
    <t>TC 14, 23 out. BV acted, spin grpove breach and below spin groove breach.</t>
  </si>
  <si>
    <t>Miro_scan_00051</t>
  </si>
  <si>
    <t>DLS18_Feb_Run049</t>
  </si>
  <si>
    <t>TC 34, 37, 45 out. Exhaust pipes blew off, reinserted and allowed to cool as normal. BV did not act.</t>
  </si>
  <si>
    <t>Miro_scan_00052</t>
  </si>
  <si>
    <t>DLS18_Feb_Run061</t>
  </si>
  <si>
    <t>TC 35, 37. brass o ring on negative</t>
  </si>
  <si>
    <t>Miro_scan_00064</t>
  </si>
  <si>
    <t>ESTA18_May_E-C_Run001</t>
  </si>
  <si>
    <t>ESTA18_May_E-C</t>
  </si>
  <si>
    <t>ESTA18_May_E-C_Run002</t>
  </si>
  <si>
    <t>ESTA18_Jun_E-C_Run003</t>
  </si>
  <si>
    <t>ESTA18_Jun_E-C</t>
  </si>
  <si>
    <t>ESTA18_Jun_E-C_Run004</t>
  </si>
  <si>
    <t>ESTA18_Jun_E-C_Run005</t>
  </si>
  <si>
    <t>ESTA18_Jun_E-C_Run006</t>
  </si>
  <si>
    <t>ESTA18_Jun_E-C_Run007</t>
  </si>
  <si>
    <t>DLS19_Feb_Run123</t>
  </si>
  <si>
    <t>23, 24, 48 are out.</t>
  </si>
  <si>
    <t>miro_projections_84238</t>
  </si>
  <si>
    <t>No post-test cell mass recorded, assumed 15g. Slightly negative post test mass (+) replaced with 0. Manually replaced TCs 23 and 24 with TC 25 for series failure. Voltage channels had to be manually corrected on RDE tab. Plugged in incorrectly. No shunt for current. Assumed 4 A.</t>
  </si>
  <si>
    <t>ESTA18_Jun_E-C_Run008</t>
  </si>
  <si>
    <t>DLS19_Dec_Run042</t>
  </si>
  <si>
    <t>0334483al20A</t>
  </si>
  <si>
    <t>TC 58 reading lower than other TCs prior to test. TCs 97, 99, 102 are out.</t>
  </si>
  <si>
    <t>95880 (data), 95881 (bright), 95871 (dark)</t>
  </si>
  <si>
    <t>DLS19_Dec_Run043</t>
  </si>
  <si>
    <t>0334283al20A</t>
  </si>
  <si>
    <t>TC 93 is out. TC 54 reading a couple degrees higher than other TCs. Venting observed on positive side, TR ensued a few seconds later. Video at 3200 f/s</t>
  </si>
  <si>
    <t>95893 (data), 95895 (bright), 95894 (dark)</t>
  </si>
  <si>
    <t>DLS19_Dec_Run044</t>
  </si>
  <si>
    <t>033148al20A</t>
  </si>
  <si>
    <t>TCs 57, 71, 80 are out. Video at 3200 f/s. Connectors E and G were flipped plugging into uniDAQ - CHANGE DATA IN PROCESSING.</t>
  </si>
  <si>
    <t>95896 (data) 95895 (bright), 95894 (dark). 95897 and 95898 were practices and should not be used.</t>
  </si>
  <si>
    <t>DLS19_Dec_Run045</t>
  </si>
  <si>
    <t>0141183al20a</t>
  </si>
  <si>
    <t>TC 58 reading lower than other TCs prior to test. TCs 97, 99, 102 are out. TR occured fairly nominally.</t>
  </si>
  <si>
    <t>95901 (data), 95899 (darks), 95900 (flats)</t>
  </si>
  <si>
    <t>ESRF18_Oct_Run025</t>
  </si>
  <si>
    <t>N02-02</t>
  </si>
  <si>
    <t>header vent; bottom bulge. TC8,39. TC 2 reading low.</t>
  </si>
  <si>
    <t>Post-test masses not recorded (-). Manually replaced TCs 49 and 50 with TC 48 for series failure</t>
  </si>
  <si>
    <t>ESRF18_Oct_Run026</t>
  </si>
  <si>
    <t>N02-03</t>
  </si>
  <si>
    <t>TC1,8,30,39,43. header vent.</t>
  </si>
  <si>
    <t>Post-test masses not recorded (-). Manually replaced TCs 4 and 5 with TC 3 for series failure.</t>
  </si>
  <si>
    <t>ESRF18_Oct_Run027</t>
  </si>
  <si>
    <t>N02-05</t>
  </si>
  <si>
    <t>header vent; bottom bulge. TC8,39. TC1 and 2 reading low.</t>
  </si>
  <si>
    <t>Post-test negative masses not recorded (-). BOTH CELL BODY TCs FAILED, REPLACED WITH AVERAGE OF CELL CHAMBER TCs. Removed a Column header row from the RDE tab that was in Row 9473 of the raw data file. Replaced TCs 49 and 50 with TC 48 for series failure. Manual correction to heater data on TR and RDE tab starting at row 7.</t>
  </si>
  <si>
    <t>ESRF18_Oct_Run028</t>
  </si>
  <si>
    <t>N02-06</t>
  </si>
  <si>
    <t>TC1,8,30,32,39,43. Top vent, header filled with ejecta, melted metal on top, header elongation.</t>
  </si>
  <si>
    <t>(-) bore baffle post mass not recorded. Manually replaced TCs 4 and 5 for series failure.</t>
  </si>
  <si>
    <t>DLS19_Feb_Run005</t>
  </si>
  <si>
    <t>N02-11</t>
  </si>
  <si>
    <t>Nominal run. Cell failed when ISC went off. Soteria materials did not stop TR. TCs1, 7 and 8 on the x channels</t>
  </si>
  <si>
    <t>miro_projections_84128.hdf</t>
  </si>
  <si>
    <t>Post-test masses not recorded    (-)</t>
  </si>
  <si>
    <t>ESRF18_Oct_Run005</t>
  </si>
  <si>
    <t>N01-02</t>
  </si>
  <si>
    <t>BOTH CELL BODY TCs FAILED, REPLACED WITH AVERAGE OF CELL CHAMBER TCs.</t>
  </si>
  <si>
    <t>ESRF18_Oct_Run006</t>
  </si>
  <si>
    <t>N01-03</t>
  </si>
  <si>
    <t>Top vent; high discolation of  sidewall. All successful, nothing additonal to note.</t>
  </si>
  <si>
    <t>Manually replaced TCs 3 and 4 for series failure</t>
  </si>
  <si>
    <t>ESRF18_Oct_Run007</t>
  </si>
  <si>
    <t>N01-04</t>
  </si>
  <si>
    <t>Header breach, jelly roll expulsion, bottom bulge. All successful, nothing additonal to note.</t>
  </si>
  <si>
    <t>ESRF18_Oct_Run071</t>
  </si>
  <si>
    <t>N01-06</t>
  </si>
  <si>
    <t>TC1,8,26,30,43. TC 4 reading low.</t>
  </si>
  <si>
    <t>Post-Test Positive (+) Ejecta Mating Soot masses not recorded. Manually replaced TCs 26 and 27 with TC 25 for series failure.</t>
  </si>
  <si>
    <t>ESRF18_Oct_Run033</t>
  </si>
  <si>
    <t>N06-01</t>
  </si>
  <si>
    <t>TC8, 32, 39,  49 -56 out. Header vent; slight bottom bulge.</t>
  </si>
  <si>
    <t>TC49 &amp; TC50 manually edited to equal TC48.</t>
  </si>
  <si>
    <t>ESRF18_Oct_Run035</t>
  </si>
  <si>
    <t>N06-06</t>
  </si>
  <si>
    <t>TC8, 49, 51-56 are out. Header vent; slight spin groove elongation/skew; slight bottom bulge; very clean</t>
  </si>
  <si>
    <t>DLS19_Feb_Run011</t>
  </si>
  <si>
    <t>N06-10</t>
  </si>
  <si>
    <t>miro_projections_84169.hdf</t>
  </si>
  <si>
    <t>TC1 set to failed and TC2 set to X3. RDE: Heater current manually edited to 4.0 Amps while heater is on.</t>
  </si>
  <si>
    <t>ESRF18_Oct_Run019</t>
  </si>
  <si>
    <t>N05-03</t>
  </si>
  <si>
    <t>TC8,24,30. TC2 reading low. Jacob noticed that the brass seals were loose. He beveled the ceramics and replaced the downstream o-rings with 0.026.</t>
  </si>
  <si>
    <t>TC43 &amp; TC44 manually edited to equal TC45. Test Matrix: Slightly negative post test (-) mass, replaced with 0.</t>
  </si>
  <si>
    <t>ESRF18_Oct_Run020</t>
  </si>
  <si>
    <t>N05-05</t>
  </si>
  <si>
    <t>TC1,8,27,32. TC4 is low. Header gone; near total jellyroll expulsion, bottom bulge</t>
  </si>
  <si>
    <t>TC4 set to 3 TC5 set TC6, TC49 &amp; TC50 manually edited to equal TC48.</t>
  </si>
  <si>
    <t>DLS19_Feb_Run009</t>
  </si>
  <si>
    <t>N05-13</t>
  </si>
  <si>
    <t>Cell shorted. Power cut. Battery underwent TR about 30 s later. X-ray recorded the initial short..</t>
  </si>
  <si>
    <t>miro_projections_84133.hdf</t>
  </si>
  <si>
    <t>DLS19_Feb_Run025</t>
  </si>
  <si>
    <t>N16-01</t>
  </si>
  <si>
    <t xml:space="preserve">All TCs nominal. No TR event occured after OCV drop and voltage recovered to 3.9-4 V. </t>
  </si>
  <si>
    <t>miro_projections_84154.hdf</t>
  </si>
  <si>
    <t>Two periods of heating before TR, manually changed heater on time formula to reflect.</t>
  </si>
  <si>
    <t>DLS19_Feb_Run026</t>
  </si>
  <si>
    <t>N16-03</t>
  </si>
  <si>
    <t>Lots of pre-TR bubbles in x-ray observed. Delayed TR event after OCV drop. Slow/calm TR propagation throughout cell. Post test x-ray taken of remaining jellyroll. TC 1 and 2 on x channels. TC 7 out or broken. TC 29 and 47 broken.</t>
  </si>
  <si>
    <t>miro_projections_84158 &amp; 9.hdf ; miro_projections_84156 &amp; 7 F anf D.</t>
  </si>
  <si>
    <t>Meshes appear to be backwards in matrix. Manually replaced TCs 29 and 30 with TC 28 for series failure</t>
  </si>
  <si>
    <t>DLS19_Feb_Run027</t>
  </si>
  <si>
    <t>N16-02</t>
  </si>
  <si>
    <t xml:space="preserve">TC1,2 on x52,53. TC8 on x54. All TCs nominal. Significantly delayed TR event from OCV drop. However, when runaway occured, it was a rapid jellyroll ejection. </t>
  </si>
  <si>
    <t>miro_projections_84160.hdf</t>
  </si>
  <si>
    <t>Removed temperature outliers in TC 2 in rows 2594 2595.</t>
  </si>
  <si>
    <t>DLS19_Feb_Run022</t>
  </si>
  <si>
    <t>N15-06</t>
  </si>
  <si>
    <t>All TCs nominal. Delayed TR event. TR event was calm and relatively slow. May not have consumed all of the active material. Does not appear to have ejected all of the mass. Missed the event with x-ray. Re-took a 2nd x-ray to capture the post test image.</t>
  </si>
  <si>
    <t>miro_projections_84149.hdf and miro_projections_84150.hdf</t>
  </si>
  <si>
    <t>DLS19_Feb_Run023</t>
  </si>
  <si>
    <t>N15-02</t>
  </si>
  <si>
    <t xml:space="preserve">TCs 29 and 47 busted. </t>
  </si>
  <si>
    <t xml:space="preserve">miro_projections_84151.hdf and miro_projections_84152.hdf </t>
  </si>
  <si>
    <t>Removed temperature outliers in TC 2 in Rows 1144-1145.</t>
  </si>
  <si>
    <t>DLS19_Feb_Run024</t>
  </si>
  <si>
    <t>N15-03</t>
  </si>
  <si>
    <t>TC1 to x52 and TC8 to X53. TC25 busted.</t>
  </si>
  <si>
    <t xml:space="preserve">miro_projections_84153.hdf </t>
  </si>
  <si>
    <t>DLS19_Feb_Run039</t>
  </si>
  <si>
    <t>N15-04</t>
  </si>
  <si>
    <t>Nail reached core but TR was already initiated. TC 8, 11, 14, 40. Set screw TC's were in 52 and 53. Nail TC was in 54, like previous tests.</t>
  </si>
  <si>
    <t>miro_projections_84175.hdf</t>
  </si>
  <si>
    <t>Post-test mesh mass not recorded (+) and (-), input as 0g. Voltage channels had to be manually corrected on RDE tab. Plugged in incorrectly. No shunt for current. Assumed 4 A. TCs unplugged after 800s with DAQ still running, had to delete that data in order to process. X channel cell body reads no good, set to average of cell chamber.</t>
  </si>
  <si>
    <t>DLS19_Feb_Run040</t>
  </si>
  <si>
    <t>N15-07</t>
  </si>
  <si>
    <t>TR occured. TC 8, 24, 29.</t>
  </si>
  <si>
    <t>miro_projections_84176.hdf</t>
  </si>
  <si>
    <t>Replaced TC 15 with TC 17 for series failure. Replaced TCs 29 and 30 with TC 28 for series failure.</t>
  </si>
  <si>
    <t>DLS19_Feb_Run041</t>
  </si>
  <si>
    <t>N15-05</t>
  </si>
  <si>
    <t>TR occured. TC 8, 11, 24.</t>
  </si>
  <si>
    <t>miro_projections_84177.hdf</t>
  </si>
  <si>
    <t>Bad read on cell body TCs. Removed temperature outlier on cell body TCs in Row 256.</t>
  </si>
  <si>
    <t>DLS19_Feb_Run020</t>
  </si>
  <si>
    <t>N12-02</t>
  </si>
  <si>
    <t>TC29 and 47 failed. TC 1 replaced with x52. TR occured (Soteria materials did not stop it).</t>
  </si>
  <si>
    <t xml:space="preserve"> miro_projections_84147.hdf </t>
  </si>
  <si>
    <t xml:space="preserve">Removed temperature outliers in ejecta bore TCs in row 1613. Cell installed backwards. Flipped data accordingly. </t>
  </si>
  <si>
    <t>DLS19_Feb_Run028</t>
  </si>
  <si>
    <t>N12-04A</t>
  </si>
  <si>
    <t>TC1,2 on x52,53. TC 24 out. Significant delay following OCV drop. Violent TR ejection after delayed period.</t>
  </si>
  <si>
    <t>miro_projections_84161.hdf</t>
  </si>
  <si>
    <t>DLS19_Feb_Run015</t>
  </si>
  <si>
    <t>N11-01</t>
  </si>
  <si>
    <t>miro_projections_84137.hdf then d andf f (38. 39 @ 0.00058 and 40, 41 @ 0.00010)</t>
  </si>
  <si>
    <t>Removed temperature outliers in TC 16 around TR. Too much noise to get a fractional calculation. Removed fractional values. Total energy calculation should be sufficient.</t>
  </si>
  <si>
    <t>DLS19_Feb_Run017</t>
  </si>
  <si>
    <t>N11-03</t>
  </si>
  <si>
    <t>Delayed runaway event. TC1 plugged into x52.</t>
  </si>
  <si>
    <t>miro_projections_84142.hdf</t>
  </si>
  <si>
    <t>Pre-test and Post-test negative side mesh mass not recorded. Assumed negative mesh was same mass as positive. Manually replaced TCs 29 and 30 with TC 28 for series failure. Removed temperature outliers in TC 20 around TR event. TCs13/14 set to 12, series failure.</t>
  </si>
  <si>
    <t>DLS19_Feb_Run038</t>
  </si>
  <si>
    <t>N11-06</t>
  </si>
  <si>
    <t>Nail TC in 54. Nail penetrated and TR ensued when nail breached into the core, but not before. TC 2 out.  Interesting video.</t>
  </si>
  <si>
    <t>miro_projections_84174.hdf</t>
  </si>
  <si>
    <t>TCs were unplugged after 800s with DAQ still running, had to delete data to process. Removed temperature outliers in TC1 in rows 1958-2001. Voltage channels had to be manually corrected on RDE tab. Plugged in incorrectly. No shunt for current. Assumed 4 A. TC1/2 set to average of cell chamber.</t>
  </si>
  <si>
    <t>ESRF18_Oct_Run021</t>
  </si>
  <si>
    <t>N08-02</t>
  </si>
  <si>
    <t>TC 8. TC 1 reading low. No radiographs? No neg Cu mesh present. Header vent; slight bottom bulge.</t>
  </si>
  <si>
    <t>DPA revealed that no - side copper mesh was present. Set value to 0 in EYA. Bore, Mating, and Baffles were plugged in backwards. Made adjustments on raw data file.</t>
  </si>
  <si>
    <t>ESRF18_Oct_Run022</t>
  </si>
  <si>
    <t>N08-03</t>
  </si>
  <si>
    <t>TC1,8,30,39. TC 4 reading low. Header vent; small header burn through.</t>
  </si>
  <si>
    <t>None recorded</t>
  </si>
  <si>
    <t>Post-test mesh mass not recorded (-). Replaced TC 4 with TC 3 and TC5 with TC6 for series failure.</t>
  </si>
  <si>
    <t>ESRF18_Oct_Run023</t>
  </si>
  <si>
    <t>N08-04</t>
  </si>
  <si>
    <t>TC 8,32. TC2 is reading low. Header vent; higher than normal surface discoloration.</t>
  </si>
  <si>
    <t>Post-test masses not recorded (-). Replaced TCs 49 and 50 with TC 48 for series failure.</t>
  </si>
  <si>
    <t>ESRF18_Oct_Run024</t>
  </si>
  <si>
    <t>N08-05</t>
  </si>
  <si>
    <t>TC8,45. TC1 reading low. Brass-brass seals Seals were correct, cell chamber w sample was placed incorrectly. The cell chamber was placed in upside down, hence the negative mating and bore captured the positive ejecta, and vice versa. Data should be able to correct this during post-analysis - a good view of the top was not achieved, the ROI was looking near the bottom. header vent.</t>
  </si>
  <si>
    <t xml:space="preserve">Cell chamber installed backwards. Manually swapped positive/negative TCs on RD tab. Assuming DPA followed standard protocol, which means that "negative tagged" bags contained the positive side soot and vice-versa - for this reason, manually swap DPA soot masses in EYA entry form. The Cu mesh bag tare calculation indicate that the Cu mesh pre masses were recorded backwards. Corrected this in the EYA. </t>
  </si>
  <si>
    <t>ESRF18_Oct_Run013</t>
  </si>
  <si>
    <t>N07-02</t>
  </si>
  <si>
    <t>All successful, nothing additonal to note. Radiography data was not recorded? Header breach; partial jelly roll expulsion; side groove unevenly extended; high discoloration.</t>
  </si>
  <si>
    <t>Not Recorded</t>
  </si>
  <si>
    <t>Manual correction for series failure TCs 31/32 and 43/44.</t>
  </si>
  <si>
    <t>ESRF18_Oct_Run014</t>
  </si>
  <si>
    <t>N07-03</t>
  </si>
  <si>
    <t xml:space="preserve">All successful, nothing additonal to note. Header breach; side groove unevenly extended so looks skewed; jelly roll expulsion. </t>
  </si>
  <si>
    <t>Test Matrix: Post-test mesh mass not recorded (-).</t>
  </si>
  <si>
    <t>ESRF18_Oct_Run015</t>
  </si>
  <si>
    <t>N07-04</t>
  </si>
  <si>
    <t>No photos - may be mixed in to 16. Header breach; spin groove skewed; jelly roll expulsion.</t>
  </si>
  <si>
    <t>No TC's manually edited. Slightly negative post test (-) mass, replaced with 0.</t>
  </si>
  <si>
    <t>ESRF18_Oct_Run016</t>
  </si>
  <si>
    <t>N07-06</t>
  </si>
  <si>
    <t>Header breach but not totally off; jelly roll starting to extrude</t>
  </si>
  <si>
    <t>No TC's manually edited. Early vent behavior.</t>
  </si>
  <si>
    <t>ESRF18_Oct_Run064</t>
  </si>
  <si>
    <t>N07-08</t>
  </si>
  <si>
    <t>TC 8, 26, 32, 38, 50 - 56 out. Nail broken - heating cartrage instead. Header vent; high discoloration; spin groove elongation; slight bottom bulge.</t>
  </si>
  <si>
    <t>No TC's manually edited. Only heater test data imported (data from the failed nail test was not imported). Test Matrix: Post-test mesh mass not recorded (-).</t>
  </si>
  <si>
    <t>DLS19_Feb_Run012</t>
  </si>
  <si>
    <t>N07-11</t>
  </si>
  <si>
    <t>Voltage dropped about 20 s before TR. Recorded the voltage drop in X-ray. After this, the interlock failed and DAQ failed. 2-3 hours spent fixing.</t>
  </si>
  <si>
    <t>miro_projections_84135.hdf</t>
  </si>
  <si>
    <t>Post-test masses not recorded    (-). Nominal processing. Voltage channels had to be manually corrected on RDE tab. Plugged in incorrectly. No shunt for current. Assumed 4 A.</t>
  </si>
  <si>
    <t>ESRF18_Oct_Run066</t>
  </si>
  <si>
    <t>N07-09</t>
  </si>
  <si>
    <t>TC 8, 26, 38, 50 -56 are out. 53 ok. Header break; bottom bulge; jelly roll expulsion; nail pen hole.</t>
  </si>
  <si>
    <t>TC1, 2 manually set to the average of cell chamber TC's. Test Matrix: Post-test mesh mass not recorded (-).</t>
  </si>
  <si>
    <t>ESRF18_Oct_Run068</t>
  </si>
  <si>
    <t>N07-10</t>
  </si>
  <si>
    <t>TC1,8,26. Forgot to attached nail TC 53. Header vent; nail pen hole extended to a sidewall breach; bottom is significantly damaged and concavity looks like there was a problem getting it out of the cell chamber so it was hammered out??</t>
  </si>
  <si>
    <t>TC1,2 edited to equal the average of chamber cells. Post-test mesh mass not recorded (-).</t>
  </si>
  <si>
    <t>ESRF18_Oct_Run029</t>
  </si>
  <si>
    <t>N04-01</t>
  </si>
  <si>
    <t>TC8. TC45 is bouncing (bad connection). TC1 is reading low. Header vent.</t>
  </si>
  <si>
    <t>ESRF18_Oct_Run030</t>
  </si>
  <si>
    <t>N04-03</t>
  </si>
  <si>
    <t>TC8, TC39,TC50-56 all out. Very little (to no) thermal activity in the negative section. Header vent, bottom slightly bulged.</t>
  </si>
  <si>
    <t>ESRF18_Oct_Run032</t>
  </si>
  <si>
    <t>N04-05</t>
  </si>
  <si>
    <t>TC8, 32, 49, 51-56 out. Negative Mating connection failing. Header vent; spin groove elongation.</t>
  </si>
  <si>
    <t>DLS19_Feb_Run008</t>
  </si>
  <si>
    <t>N04-09</t>
  </si>
  <si>
    <t>Turned off power about 20 s before TR. TC 1 is wired in reverse. TC8 out. ISC wasn't clocked.</t>
  </si>
  <si>
    <t>miro_projections_84132.hdf</t>
  </si>
  <si>
    <t xml:space="preserve">Heater current manually edited to 4.0 Amps while in use. </t>
  </si>
  <si>
    <t>ESRF18_Oct_Run009</t>
  </si>
  <si>
    <t>N03-03</t>
  </si>
  <si>
    <t xml:space="preserve">Very fast failure, all captured successfully. These cells were done in the wrong order but have been reshuffeled accordingly. Old runs 5-8 moved to 13-16, and old runs 9-16 moved to 5-12. Header breach; bottom bulge; complete jelly role expulsion. </t>
  </si>
  <si>
    <t>Negative unrecovered mass. Very odd and cannot determine why. Zeroed out theoretical energy of unrecovered mass. No TC's manually edited</t>
  </si>
  <si>
    <t>ESRF18_Oct_Run010</t>
  </si>
  <si>
    <t>N03-04</t>
  </si>
  <si>
    <t>All successful, nothing additonal to note. No photos. Top vent; discoloration.</t>
  </si>
  <si>
    <t>ESRF18_Oct_Run011</t>
  </si>
  <si>
    <t>N03-05</t>
  </si>
  <si>
    <t>All successful, nothing additonal to note. Photos from run 10 may be mixed in - could not identify. Top vent; some discoloration. These cells were done in the wrong order but have been reshuffeled accordingly. Old runs 5-8 moved to 13-16, and old runs 9-16 moved to 5-12.</t>
  </si>
  <si>
    <t>No TC's manually edited. Test Matrix: Post-test mesh mass not recorded (-).</t>
  </si>
  <si>
    <t>ESRF18_Oct_Run012</t>
  </si>
  <si>
    <t>N03-06</t>
  </si>
  <si>
    <t>Accidentally turned the heater momentarily on before recording on the GUI, all else successful. These cells were done in the wrong order but have been reshuffeled accordingly. Old runs 5-8 moved to 13-16, and old runs 9-16 moved to 5-12.</t>
  </si>
  <si>
    <t>ESRF18_Oct_Run075</t>
  </si>
  <si>
    <t>N03-07</t>
  </si>
  <si>
    <t>TC8,32. Cell underwent TR as normal. Top vent; nail pen hole; slight spin groove elongation and slight bottom bulge</t>
  </si>
  <si>
    <t>TC1, 2 manually edited to equal the average fo cell chamber TC's (TC3-6). TC50 manually edited to equal TC49. Test Matrix: Post-test mesh mass not recorded (-).</t>
  </si>
  <si>
    <t>ESRF18_Oct_Run076</t>
  </si>
  <si>
    <t>N03-09</t>
  </si>
  <si>
    <t>TC1,8,26,27,30,32,39,43. TC4 reading low. TR as normal. Top vent; nail pen hole.</t>
  </si>
  <si>
    <t>TC26 &amp; TC27 manually edited to equal TC25. TC4 set to 3 and TC5 set to 6. Test Matrix: Post-test mesh mass not recorded (-).</t>
  </si>
  <si>
    <t>ESRF18_Oct_Run077</t>
  </si>
  <si>
    <t>N03-10</t>
  </si>
  <si>
    <t>TC8,26,32,38. TC 2 reading low. Top vent; nail pen hole; bottom bulge.</t>
  </si>
  <si>
    <t>TCs unplugged around 792 seconds, all data afterwards removed from the RDE tab.</t>
  </si>
  <si>
    <t>DLS19_Feb_Run032</t>
  </si>
  <si>
    <t>N18-03</t>
  </si>
  <si>
    <t>TC 1,2 on x52,54. TC 7, 41, 47 out. Nominal run.</t>
  </si>
  <si>
    <t>miro_projections_84165.hdf</t>
  </si>
  <si>
    <t>DLS19_Feb_Run033</t>
  </si>
  <si>
    <t>N18-04</t>
  </si>
  <si>
    <t>TC 1,2 on x channels. 29 failed. Nominal run.</t>
  </si>
  <si>
    <t>miro_projections_84166.hdf</t>
  </si>
  <si>
    <t>Flipped (+) and (-) mesh masses. Removed temperature outliers in TCs 14,15,16 near the time of TR event.</t>
  </si>
  <si>
    <t>DLS19_Feb_Run034</t>
  </si>
  <si>
    <t>N18-06</t>
  </si>
  <si>
    <t>TC 1, 2 on x channels, 24 out. Very slow runaway event.</t>
  </si>
  <si>
    <t>miro_projections_84167.hdf</t>
  </si>
  <si>
    <t>DLS19_Feb_Run035</t>
  </si>
  <si>
    <t>N18-07</t>
  </si>
  <si>
    <t xml:space="preserve">TR  </t>
  </si>
  <si>
    <t>miro_projections_84168.hdf</t>
  </si>
  <si>
    <t>Removed temperature outliers in TC 37 in Rows 676-701.</t>
  </si>
  <si>
    <t>DLS19_Feb_Run029</t>
  </si>
  <si>
    <t>N17-08</t>
  </si>
  <si>
    <t xml:space="preserve">TC1,2 on x52,53.  29 47 41 out. </t>
  </si>
  <si>
    <t>miro_projections_84162.hdf</t>
  </si>
  <si>
    <t>Manually replaced TCs 29 and 30 with TC 28 for series failure.</t>
  </si>
  <si>
    <t>DLS19_Feb_Run031</t>
  </si>
  <si>
    <t>N17-13</t>
  </si>
  <si>
    <t>TC1 out, TC2 x52. TC24, 41, 47 out. Nominal run.</t>
  </si>
  <si>
    <t>miro_projections_84164.hdf</t>
  </si>
  <si>
    <t>DLS19_Feb_Run042</t>
  </si>
  <si>
    <t>N17-16</t>
  </si>
  <si>
    <t>TR occured. The jelly role ejected! TC 8,11,14,24. Take photo later.</t>
  </si>
  <si>
    <t>miro_projections_84178.hdf</t>
  </si>
  <si>
    <t>Replaced TCs 48,49,50 with TC 47 for series failure. Cell body TCs equal to average of cell chamber.</t>
  </si>
  <si>
    <t>DLS19_Feb_Run043</t>
  </si>
  <si>
    <t>N17-09</t>
  </si>
  <si>
    <t xml:space="preserve">TR. TCs 8,14,24,29. </t>
  </si>
  <si>
    <t>miro_projections_84179.hdf</t>
  </si>
  <si>
    <t>Cell body TCs set to average of cell chamber TCs.</t>
  </si>
  <si>
    <t>DLS19_Feb_Run044</t>
  </si>
  <si>
    <t>N17-14</t>
  </si>
  <si>
    <t>TR.  TC 8,14,24,40.</t>
  </si>
  <si>
    <t>miro_projections_84180.hdf</t>
  </si>
  <si>
    <t>STANDARD DEVIATION</t>
  </si>
  <si>
    <t>Max-Norm-Total-Energy</t>
  </si>
  <si>
    <t>Max-Corrected-Total-Energy-Yield</t>
  </si>
  <si>
    <t>Max-Heat-Rate-W</t>
  </si>
  <si>
    <t>Max-Heat-Flux-W/cm2</t>
  </si>
  <si>
    <t>Max-Percent-Original-Mass-Ejected</t>
  </si>
  <si>
    <t>MIN:</t>
  </si>
  <si>
    <t>MAX:</t>
  </si>
  <si>
    <t>STANDARD DEVIATION SCORES</t>
  </si>
  <si>
    <t>a</t>
  </si>
  <si>
    <t>b</t>
  </si>
  <si>
    <t>c</t>
  </si>
  <si>
    <t>d</t>
  </si>
  <si>
    <t>e</t>
  </si>
  <si>
    <t>Outer Band</t>
  </si>
  <si>
    <t>TREND SCORE CONTROLS</t>
  </si>
  <si>
    <t>Score</t>
  </si>
  <si>
    <t>Max-Abs-Overall-H-F</t>
  </si>
  <si>
    <t>Absolute-Overall-H-Flux-Max</t>
  </si>
  <si>
    <t>Norm-Total-Energy</t>
  </si>
  <si>
    <t>avg event length</t>
  </si>
  <si>
    <r>
      <rPr>
        <b/>
        <sz val="11"/>
        <color theme="0"/>
        <rFont val="等线"/>
        <charset val="134"/>
        <scheme val="minor"/>
      </rPr>
      <t>Avg-Cell-Temp-At-Trigger-deg</t>
    </r>
    <r>
      <rPr>
        <b/>
        <sz val="9.9"/>
        <color theme="0"/>
        <rFont val="等线"/>
        <charset val="134"/>
        <scheme val="minor"/>
      </rPr>
      <t>C</t>
    </r>
  </si>
  <si>
    <t>f</t>
  </si>
  <si>
    <t>g</t>
  </si>
  <si>
    <t>h</t>
  </si>
  <si>
    <t>i</t>
  </si>
  <si>
    <t>j</t>
  </si>
  <si>
    <t>k</t>
  </si>
  <si>
    <t>l</t>
  </si>
  <si>
    <t>Length-Cell-Body-tmin</t>
  </si>
  <si>
    <r>
      <rPr>
        <b/>
        <sz val="11"/>
        <color theme="0"/>
        <rFont val="等线 Light"/>
        <charset val="134"/>
        <scheme val="major"/>
      </rPr>
      <t>Avg-Cell-Temp-At-Trigger-deg</t>
    </r>
    <r>
      <rPr>
        <b/>
        <sz val="9.9"/>
        <color theme="0"/>
        <rFont val="等线 Light"/>
        <charset val="134"/>
        <scheme val="major"/>
      </rPr>
      <t>C</t>
    </r>
  </si>
  <si>
    <t>score ideas</t>
  </si>
  <si>
    <t>normalized standard deviation (st/mean)</t>
  </si>
  <si>
    <t>this will account for differences in capacity</t>
  </si>
  <si>
    <t>absolute, min 0</t>
  </si>
  <si>
    <t>take entire 6-sigma range and divide by mean is how we do cell acceptance</t>
  </si>
  <si>
    <t>STDEV</t>
  </si>
  <si>
    <t>Average-Event-Length</t>
  </si>
  <si>
    <t>Variability Scores</t>
  </si>
  <si>
    <t>m</t>
  </si>
  <si>
    <t>n</t>
  </si>
  <si>
    <t>o</t>
  </si>
  <si>
    <t>p</t>
  </si>
  <si>
    <t>Toxicity</t>
  </si>
  <si>
    <t>Flammability</t>
  </si>
  <si>
    <t>Vent-Pressure</t>
  </si>
  <si>
    <t>Vent-Velocity</t>
  </si>
  <si>
    <t>Off-Nominal-Failure-Propensity</t>
  </si>
  <si>
    <t>Sanyo 18650-2.15</t>
  </si>
  <si>
    <t>Length-Cell-Body-tmax</t>
  </si>
  <si>
    <t>Length-Cell-Body-tavg</t>
  </si>
  <si>
    <t>OUTERBAND</t>
  </si>
  <si>
    <t>KULR 18650</t>
  </si>
  <si>
    <t>LG 21700-50</t>
  </si>
  <si>
    <t>Saft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</si>
</sst>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00"/>
    <numFmt numFmtId="178" formatCode="0.0"/>
    <numFmt numFmtId="179" formatCode="mm/dd/yy;@"/>
  </numFmts>
  <fonts count="53">
    <font>
      <sz val="11"/>
      <color theme="1"/>
      <name val="等线"/>
      <charset val="134"/>
      <scheme val="minor"/>
    </font>
    <font>
      <sz val="11"/>
      <color theme="1"/>
      <name val="等线 Light"/>
      <charset val="134"/>
      <scheme val="major"/>
    </font>
    <font>
      <b/>
      <sz val="18"/>
      <color theme="0"/>
      <name val="等线"/>
      <charset val="134"/>
      <scheme val="minor"/>
    </font>
    <font>
      <b/>
      <sz val="11"/>
      <color theme="0"/>
      <name val="等线"/>
      <charset val="134"/>
      <scheme val="minor"/>
    </font>
    <font>
      <b/>
      <sz val="11"/>
      <color theme="0"/>
      <name val="Century Gothic"/>
      <charset val="134"/>
    </font>
    <font>
      <b/>
      <sz val="11"/>
      <color theme="0"/>
      <name val="等线 Light"/>
      <charset val="134"/>
      <scheme val="major"/>
    </font>
    <font>
      <b/>
      <sz val="24"/>
      <color theme="0"/>
      <name val="等线 Light"/>
      <charset val="134"/>
      <scheme val="major"/>
    </font>
    <font>
      <sz val="11"/>
      <color theme="0"/>
      <name val="等线 Light"/>
      <charset val="134"/>
      <scheme val="major"/>
    </font>
    <font>
      <sz val="11"/>
      <color theme="1"/>
      <name val="Eurostile"/>
      <charset val="134"/>
    </font>
    <font>
      <sz val="11"/>
      <color rgb="FF000000"/>
      <name val="等线"/>
      <charset val="134"/>
      <scheme val="minor"/>
    </font>
    <font>
      <b/>
      <sz val="11"/>
      <color rgb="FFFFFFFF"/>
      <name val="等线"/>
      <charset val="134"/>
      <scheme val="minor"/>
    </font>
    <font>
      <b/>
      <sz val="11"/>
      <color rgb="FFFFFFFF"/>
      <name val="Century Gothic"/>
      <charset val="134"/>
    </font>
    <font>
      <sz val="11"/>
      <color theme="1"/>
      <name val="Century Gothic"/>
      <charset val="134"/>
    </font>
    <font>
      <sz val="11"/>
      <name val="Century Gothic"/>
      <charset val="134"/>
    </font>
    <font>
      <sz val="24"/>
      <color theme="0"/>
      <name val="Century Gothic"/>
      <charset val="134"/>
    </font>
    <font>
      <sz val="24"/>
      <color theme="0"/>
      <name val="等线"/>
      <charset val="134"/>
      <scheme val="minor"/>
    </font>
    <font>
      <sz val="11"/>
      <color theme="0"/>
      <name val="Century Gothic"/>
      <charset val="134"/>
    </font>
    <font>
      <u/>
      <sz val="11"/>
      <color theme="10"/>
      <name val="Century Gothic"/>
      <charset val="134"/>
    </font>
    <font>
      <sz val="11"/>
      <color theme="1"/>
      <name val="Century Gothic"/>
      <charset val="134"/>
    </font>
    <font>
      <i/>
      <sz val="11"/>
      <color rgb="FFFF0000"/>
      <name val="Century Gothic"/>
      <charset val="134"/>
    </font>
    <font>
      <sz val="11"/>
      <color rgb="FF000000"/>
      <name val="Century Gothic"/>
      <charset val="134"/>
    </font>
    <font>
      <u/>
      <sz val="11"/>
      <color theme="10"/>
      <name val="Century Gothic"/>
      <charset val="134"/>
    </font>
    <font>
      <u/>
      <sz val="11"/>
      <color rgb="FF0070C0"/>
      <name val="Century Gothic"/>
      <charset val="134"/>
    </font>
    <font>
      <b/>
      <sz val="12"/>
      <color theme="1"/>
      <name val="等线"/>
      <charset val="134"/>
      <scheme val="minor"/>
    </font>
    <font>
      <b/>
      <sz val="12"/>
      <color theme="0"/>
      <name val="等线"/>
      <charset val="134"/>
      <scheme val="minor"/>
    </font>
    <font>
      <u/>
      <sz val="11"/>
      <color theme="10"/>
      <name val="等线"/>
      <charset val="134"/>
      <scheme val="minor"/>
    </font>
    <font>
      <b/>
      <sz val="11"/>
      <color theme="1"/>
      <name val="等线"/>
      <charset val="134"/>
      <scheme val="minor"/>
    </font>
    <font>
      <sz val="24"/>
      <color theme="1"/>
      <name val="Century Gothic"/>
      <charset val="134"/>
    </font>
    <font>
      <b/>
      <sz val="11"/>
      <color rgb="FFFF0000"/>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9"/>
      <color theme="0"/>
      <name val="等线"/>
      <charset val="134"/>
      <scheme val="minor"/>
    </font>
    <font>
      <sz val="11"/>
      <color theme="1"/>
      <name val="Calibri"/>
      <charset val="134"/>
    </font>
    <font>
      <vertAlign val="superscript"/>
      <sz val="11"/>
      <color theme="1"/>
      <name val="等线"/>
      <charset val="134"/>
      <scheme val="minor"/>
    </font>
    <font>
      <b/>
      <sz val="9.9"/>
      <color theme="0"/>
      <name val="等线 Light"/>
      <charset val="134"/>
      <scheme val="major"/>
    </font>
    <font>
      <b/>
      <sz val="9.9"/>
      <color theme="0"/>
      <name val="Century Gothic"/>
      <charset val="134"/>
    </font>
  </fonts>
  <fills count="40">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0" tint="-0.0499893185216834"/>
        <bgColor indexed="64"/>
      </patternFill>
    </fill>
    <fill>
      <patternFill patternType="solid">
        <fgColor rgb="FF000000"/>
        <bgColor rgb="FF000000"/>
      </patternFill>
    </fill>
    <fill>
      <patternFill patternType="solid">
        <fgColor rgb="FFFFFF00"/>
        <bgColor indexed="64"/>
      </patternFill>
    </fill>
    <fill>
      <patternFill patternType="solid">
        <fgColor theme="0"/>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diagonal/>
    </border>
    <border>
      <left/>
      <right/>
      <top/>
      <bottom style="thin">
        <color theme="0" tint="-0.149998474074526"/>
      </bottom>
      <diagonal/>
    </border>
    <border>
      <left style="thin">
        <color theme="0" tint="-0.149998474074526"/>
      </left>
      <right style="thin">
        <color theme="0" tint="-0.149998474074526"/>
      </right>
      <top style="thin">
        <color theme="0" tint="-0.149998474074526"/>
      </top>
      <bottom style="thin">
        <color theme="0" tint="-0.14999847407452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25" fillId="0" borderId="0" applyNumberFormat="0" applyFill="0" applyBorder="0" applyAlignment="0" applyProtection="0"/>
    <xf numFmtId="0" fontId="30" fillId="0" borderId="0" applyNumberFormat="0" applyFill="0" applyBorder="0" applyAlignment="0" applyProtection="0">
      <alignment vertical="center"/>
    </xf>
    <xf numFmtId="0" fontId="29" fillId="9" borderId="4"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5" applyNumberFormat="0" applyFill="0" applyAlignment="0" applyProtection="0">
      <alignment vertical="center"/>
    </xf>
    <xf numFmtId="0" fontId="35" fillId="0" borderId="5" applyNumberFormat="0" applyFill="0" applyAlignment="0" applyProtection="0">
      <alignment vertical="center"/>
    </xf>
    <xf numFmtId="0" fontId="36" fillId="0" borderId="6" applyNumberFormat="0" applyFill="0" applyAlignment="0" applyProtection="0">
      <alignment vertical="center"/>
    </xf>
    <xf numFmtId="0" fontId="36" fillId="0" borderId="0" applyNumberFormat="0" applyFill="0" applyBorder="0" applyAlignment="0" applyProtection="0">
      <alignment vertical="center"/>
    </xf>
    <xf numFmtId="0" fontId="37" fillId="10" borderId="7" applyNumberFormat="0" applyAlignment="0" applyProtection="0">
      <alignment vertical="center"/>
    </xf>
    <xf numFmtId="0" fontId="38" fillId="11" borderId="8" applyNumberFormat="0" applyAlignment="0" applyProtection="0">
      <alignment vertical="center"/>
    </xf>
    <xf numFmtId="0" fontId="39" fillId="11" borderId="7" applyNumberFormat="0" applyAlignment="0" applyProtection="0">
      <alignment vertical="center"/>
    </xf>
    <xf numFmtId="0" fontId="40" fillId="12" borderId="9" applyNumberFormat="0" applyAlignment="0" applyProtection="0">
      <alignment vertical="center"/>
    </xf>
    <xf numFmtId="0" fontId="41" fillId="0" borderId="10" applyNumberFormat="0" applyFill="0" applyAlignment="0" applyProtection="0">
      <alignment vertical="center"/>
    </xf>
    <xf numFmtId="0" fontId="42" fillId="0" borderId="11" applyNumberFormat="0" applyFill="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6" fillId="39" borderId="0" applyNumberFormat="0" applyBorder="0" applyAlignment="0" applyProtection="0">
      <alignment vertical="center"/>
    </xf>
  </cellStyleXfs>
  <cellXfs count="151">
    <xf numFmtId="0" fontId="0" fillId="0" borderId="0" xfId="0"/>
    <xf numFmtId="0" fontId="0" fillId="0" borderId="1" xfId="0" applyBorder="1"/>
    <xf numFmtId="0" fontId="1" fillId="0" borderId="0" xfId="0" applyFont="1"/>
    <xf numFmtId="0" fontId="1" fillId="0" borderId="0" xfId="0" applyFont="1" applyAlignment="1">
      <alignment horizontal="center"/>
    </xf>
    <xf numFmtId="0" fontId="2" fillId="2" borderId="0" xfId="0" applyFont="1" applyFill="1" applyAlignment="1">
      <alignment horizontal="left"/>
    </xf>
    <xf numFmtId="0" fontId="0" fillId="2" borderId="0" xfId="0" applyFill="1"/>
    <xf numFmtId="0" fontId="3" fillId="2" borderId="0" xfId="0" applyFont="1" applyFill="1"/>
    <xf numFmtId="0" fontId="3" fillId="2" borderId="0" xfId="0" applyFont="1" applyFill="1" applyAlignment="1">
      <alignment horizontal="center"/>
    </xf>
    <xf numFmtId="176" fontId="3" fillId="2" borderId="0" xfId="0" applyNumberFormat="1" applyFont="1" applyFill="1" applyAlignment="1">
      <alignment horizontal="left"/>
    </xf>
    <xf numFmtId="177" fontId="3" fillId="2" borderId="0" xfId="0" applyNumberFormat="1" applyFont="1" applyFill="1" applyAlignment="1">
      <alignment horizontal="left"/>
    </xf>
    <xf numFmtId="176" fontId="4" fillId="2" borderId="0" xfId="0" applyNumberFormat="1" applyFont="1" applyFill="1" applyAlignment="1">
      <alignment horizontal="left"/>
    </xf>
    <xf numFmtId="2" fontId="3" fillId="2" borderId="0" xfId="0" applyNumberFormat="1" applyFont="1" applyFill="1" applyAlignment="1">
      <alignment horizontal="left"/>
    </xf>
    <xf numFmtId="178" fontId="3" fillId="2" borderId="0" xfId="0" applyNumberFormat="1" applyFont="1" applyFill="1" applyAlignment="1">
      <alignment horizontal="left"/>
    </xf>
    <xf numFmtId="178" fontId="1" fillId="0" borderId="0" xfId="0" applyNumberFormat="1" applyFont="1" applyAlignment="1">
      <alignment horizontal="left" vertical="center"/>
    </xf>
    <xf numFmtId="178" fontId="1" fillId="0" borderId="0" xfId="0" applyNumberFormat="1" applyFont="1" applyAlignment="1">
      <alignment horizontal="left"/>
    </xf>
    <xf numFmtId="178" fontId="5" fillId="3" borderId="0" xfId="0" applyNumberFormat="1" applyFont="1" applyFill="1" applyAlignment="1">
      <alignment horizontal="right" vertical="center"/>
    </xf>
    <xf numFmtId="0" fontId="5" fillId="3" borderId="0" xfId="0" applyFont="1" applyFill="1" applyAlignment="1">
      <alignment horizontal="center"/>
    </xf>
    <xf numFmtId="1" fontId="3" fillId="2" borderId="0" xfId="0" applyNumberFormat="1" applyFont="1" applyFill="1" applyAlignment="1">
      <alignment horizontal="center"/>
    </xf>
    <xf numFmtId="176" fontId="3" fillId="0" borderId="0" xfId="0" applyNumberFormat="1" applyFont="1" applyAlignment="1">
      <alignment horizontal="left"/>
    </xf>
    <xf numFmtId="0" fontId="6" fillId="2" borderId="0" xfId="0" applyFont="1" applyFill="1" applyAlignment="1">
      <alignment horizontal="left"/>
    </xf>
    <xf numFmtId="0" fontId="1" fillId="2" borderId="0" xfId="0" applyFont="1" applyFill="1"/>
    <xf numFmtId="0" fontId="7" fillId="2" borderId="0" xfId="0" applyFont="1" applyFill="1"/>
    <xf numFmtId="0" fontId="5" fillId="2" borderId="0" xfId="0" applyFont="1" applyFill="1" applyAlignment="1">
      <alignment horizontal="center"/>
    </xf>
    <xf numFmtId="176" fontId="5" fillId="2" borderId="0" xfId="0" applyNumberFormat="1" applyFont="1" applyFill="1" applyAlignment="1">
      <alignment horizontal="left"/>
    </xf>
    <xf numFmtId="177" fontId="5" fillId="2" borderId="0" xfId="0" applyNumberFormat="1" applyFont="1" applyFill="1" applyAlignment="1">
      <alignment horizontal="left"/>
    </xf>
    <xf numFmtId="2" fontId="5" fillId="2" borderId="0" xfId="0" applyNumberFormat="1" applyFont="1" applyFill="1" applyAlignment="1">
      <alignment horizontal="left"/>
    </xf>
    <xf numFmtId="178" fontId="5" fillId="2" borderId="0" xfId="0" applyNumberFormat="1" applyFont="1" applyFill="1" applyAlignment="1">
      <alignment horizontal="left"/>
    </xf>
    <xf numFmtId="176" fontId="1" fillId="0" borderId="0" xfId="0" applyNumberFormat="1" applyFont="1" applyAlignment="1">
      <alignment horizontal="left"/>
    </xf>
    <xf numFmtId="176" fontId="0" fillId="2" borderId="0" xfId="0" applyNumberFormat="1" applyFill="1" applyAlignment="1">
      <alignment horizontal="left"/>
    </xf>
    <xf numFmtId="176" fontId="1" fillId="0" borderId="0" xfId="0" applyNumberFormat="1" applyFont="1" applyAlignment="1">
      <alignment horizontal="left" vertical="center"/>
    </xf>
    <xf numFmtId="176" fontId="5" fillId="3" borderId="0" xfId="0" applyNumberFormat="1" applyFont="1" applyFill="1" applyAlignment="1">
      <alignment horizontal="left"/>
    </xf>
    <xf numFmtId="176" fontId="6" fillId="2" borderId="0" xfId="0" applyNumberFormat="1" applyFont="1" applyFill="1" applyAlignment="1">
      <alignment horizontal="left"/>
    </xf>
    <xf numFmtId="176" fontId="7" fillId="2" borderId="0" xfId="0" applyNumberFormat="1" applyFont="1" applyFill="1" applyAlignment="1">
      <alignment horizontal="left"/>
    </xf>
    <xf numFmtId="176" fontId="1" fillId="2" borderId="0" xfId="0" applyNumberFormat="1" applyFont="1" applyFill="1" applyAlignment="1">
      <alignment horizontal="left"/>
    </xf>
    <xf numFmtId="0" fontId="8" fillId="0" borderId="0" xfId="0" applyFont="1"/>
    <xf numFmtId="2" fontId="8" fillId="0" borderId="0" xfId="0" applyNumberFormat="1" applyFont="1" applyAlignment="1">
      <alignment horizontal="center"/>
    </xf>
    <xf numFmtId="0" fontId="8" fillId="4" borderId="2" xfId="0" applyFont="1" applyFill="1" applyBorder="1" applyAlignment="1">
      <alignment horizontal="center"/>
    </xf>
    <xf numFmtId="2" fontId="0" fillId="0" borderId="0" xfId="0" applyNumberFormat="1" applyAlignment="1">
      <alignment horizontal="center"/>
    </xf>
    <xf numFmtId="0" fontId="8" fillId="0" borderId="3" xfId="0" applyFont="1" applyBorder="1"/>
    <xf numFmtId="0" fontId="8" fillId="0" borderId="3" xfId="0" applyFont="1" applyBorder="1" applyAlignment="1">
      <alignment horizontal="center"/>
    </xf>
    <xf numFmtId="2" fontId="8" fillId="0" borderId="3" xfId="0" applyNumberFormat="1" applyFont="1" applyBorder="1" applyAlignment="1">
      <alignment horizontal="center"/>
    </xf>
    <xf numFmtId="2" fontId="8" fillId="0" borderId="0" xfId="0" applyNumberFormat="1" applyFont="1"/>
    <xf numFmtId="0" fontId="9" fillId="0" borderId="0" xfId="0" applyFont="1"/>
    <xf numFmtId="0" fontId="10" fillId="5" borderId="0" xfId="0" applyFont="1" applyFill="1"/>
    <xf numFmtId="0" fontId="10" fillId="5" borderId="0" xfId="0" applyFont="1" applyFill="1" applyAlignment="1">
      <alignment horizontal="center"/>
    </xf>
    <xf numFmtId="176" fontId="10" fillId="5" borderId="0" xfId="0" applyNumberFormat="1" applyFont="1" applyFill="1" applyAlignment="1">
      <alignment horizontal="left"/>
    </xf>
    <xf numFmtId="177" fontId="10" fillId="5" borderId="0" xfId="0" applyNumberFormat="1" applyFont="1" applyFill="1" applyAlignment="1">
      <alignment horizontal="left"/>
    </xf>
    <xf numFmtId="176" fontId="11" fillId="5" borderId="0" xfId="0" applyNumberFormat="1" applyFont="1" applyFill="1" applyAlignment="1">
      <alignment horizontal="left"/>
    </xf>
    <xf numFmtId="178" fontId="10" fillId="5" borderId="0" xfId="0" applyNumberFormat="1" applyFont="1" applyFill="1" applyAlignment="1">
      <alignment horizontal="left"/>
    </xf>
    <xf numFmtId="178" fontId="4" fillId="0" borderId="0" xfId="0" applyNumberFormat="1" applyFont="1"/>
    <xf numFmtId="178" fontId="12" fillId="0" borderId="0" xfId="0" applyNumberFormat="1" applyFont="1" applyAlignment="1">
      <alignment vertical="center"/>
    </xf>
    <xf numFmtId="177" fontId="12" fillId="0" borderId="0" xfId="0" applyNumberFormat="1" applyFont="1" applyAlignment="1">
      <alignment vertical="center"/>
    </xf>
    <xf numFmtId="178" fontId="12" fillId="6" borderId="0" xfId="0" applyNumberFormat="1" applyFont="1" applyFill="1" applyAlignment="1">
      <alignment vertical="center"/>
    </xf>
    <xf numFmtId="178" fontId="12" fillId="0" borderId="0" xfId="0" applyNumberFormat="1" applyFont="1" applyAlignment="1">
      <alignment horizontal="left"/>
    </xf>
    <xf numFmtId="178" fontId="12" fillId="0" borderId="0" xfId="0" applyNumberFormat="1" applyFont="1"/>
    <xf numFmtId="2" fontId="12" fillId="0" borderId="0" xfId="0" applyNumberFormat="1" applyFont="1" applyAlignment="1">
      <alignment horizontal="left"/>
    </xf>
    <xf numFmtId="1" fontId="12" fillId="0" borderId="0" xfId="0" applyNumberFormat="1" applyFont="1" applyAlignment="1">
      <alignment horizontal="left"/>
    </xf>
    <xf numFmtId="179" fontId="12" fillId="0" borderId="0" xfId="0" applyNumberFormat="1" applyFont="1" applyAlignment="1">
      <alignment horizontal="left"/>
    </xf>
    <xf numFmtId="0" fontId="12" fillId="0" borderId="0" xfId="0" applyFont="1" applyAlignment="1">
      <alignment horizontal="left"/>
    </xf>
    <xf numFmtId="177" fontId="12" fillId="0" borderId="0" xfId="0" applyNumberFormat="1" applyFont="1" applyAlignment="1">
      <alignment horizontal="left"/>
    </xf>
    <xf numFmtId="176" fontId="12" fillId="0" borderId="0" xfId="0" applyNumberFormat="1" applyFont="1" applyAlignment="1">
      <alignment horizontal="left"/>
    </xf>
    <xf numFmtId="2" fontId="13" fillId="0" borderId="0" xfId="0" applyNumberFormat="1" applyFont="1" applyAlignment="1">
      <alignment horizontal="left"/>
    </xf>
    <xf numFmtId="176" fontId="13" fillId="0" borderId="0" xfId="0" applyNumberFormat="1" applyFont="1" applyAlignment="1">
      <alignment horizontal="left"/>
    </xf>
    <xf numFmtId="177" fontId="13" fillId="0" borderId="0" xfId="0" applyNumberFormat="1" applyFont="1" applyAlignment="1">
      <alignment horizontal="left"/>
    </xf>
    <xf numFmtId="178" fontId="14" fillId="2" borderId="0" xfId="0" applyNumberFormat="1" applyFont="1" applyFill="1" applyAlignment="1">
      <alignment horizontal="left" vertical="center" indent="10"/>
    </xf>
    <xf numFmtId="0" fontId="15" fillId="0" borderId="0" xfId="0" applyFont="1" applyAlignment="1">
      <alignment horizontal="left" vertical="center" indent="10"/>
    </xf>
    <xf numFmtId="1" fontId="12" fillId="2" borderId="0" xfId="0" applyNumberFormat="1" applyFont="1" applyFill="1" applyAlignment="1">
      <alignment horizontal="left"/>
    </xf>
    <xf numFmtId="179" fontId="12" fillId="2" borderId="0" xfId="0" applyNumberFormat="1" applyFont="1" applyFill="1" applyAlignment="1">
      <alignment horizontal="left"/>
    </xf>
    <xf numFmtId="0" fontId="12" fillId="2" borderId="0" xfId="0" applyFont="1" applyFill="1" applyAlignment="1">
      <alignment horizontal="left"/>
    </xf>
    <xf numFmtId="177" fontId="12" fillId="2" borderId="0" xfId="0" applyNumberFormat="1" applyFont="1" applyFill="1" applyAlignment="1">
      <alignment horizontal="left"/>
    </xf>
    <xf numFmtId="176" fontId="12" fillId="2" borderId="0" xfId="0" applyNumberFormat="1" applyFont="1" applyFill="1" applyAlignment="1">
      <alignment horizontal="left"/>
    </xf>
    <xf numFmtId="2" fontId="13" fillId="2" borderId="0" xfId="0" applyNumberFormat="1" applyFont="1" applyFill="1" applyAlignment="1">
      <alignment horizontal="left"/>
    </xf>
    <xf numFmtId="176" fontId="13" fillId="2" borderId="0" xfId="0" applyNumberFormat="1" applyFont="1" applyFill="1" applyAlignment="1">
      <alignment horizontal="left"/>
    </xf>
    <xf numFmtId="177" fontId="13" fillId="2" borderId="0" xfId="0" applyNumberFormat="1" applyFont="1" applyFill="1" applyAlignment="1">
      <alignment horizontal="left"/>
    </xf>
    <xf numFmtId="176" fontId="12" fillId="2" borderId="0" xfId="0" applyNumberFormat="1" applyFont="1" applyFill="1" applyAlignment="1">
      <alignment horizontal="left" wrapText="1"/>
    </xf>
    <xf numFmtId="2" fontId="12" fillId="2" borderId="0" xfId="0" applyNumberFormat="1" applyFont="1" applyFill="1" applyAlignment="1">
      <alignment horizontal="left"/>
    </xf>
    <xf numFmtId="178" fontId="12" fillId="2" borderId="0" xfId="0" applyNumberFormat="1" applyFont="1" applyFill="1" applyAlignment="1">
      <alignment horizontal="left"/>
    </xf>
    <xf numFmtId="177" fontId="12" fillId="3" borderId="0" xfId="0" applyNumberFormat="1" applyFont="1" applyFill="1" applyAlignment="1">
      <alignment horizontal="left"/>
    </xf>
    <xf numFmtId="178" fontId="12" fillId="3" borderId="0" xfId="0" applyNumberFormat="1" applyFont="1" applyFill="1" applyAlignment="1">
      <alignment horizontal="left"/>
    </xf>
    <xf numFmtId="178" fontId="16" fillId="3" borderId="0" xfId="0" applyNumberFormat="1" applyFont="1" applyFill="1" applyAlignment="1">
      <alignment horizontal="left"/>
    </xf>
    <xf numFmtId="178" fontId="12" fillId="3" borderId="0" xfId="0" applyNumberFormat="1" applyFont="1" applyFill="1"/>
    <xf numFmtId="178" fontId="4" fillId="2" borderId="0" xfId="0" applyNumberFormat="1" applyFont="1" applyFill="1" applyAlignment="1">
      <alignment horizontal="left"/>
    </xf>
    <xf numFmtId="2" fontId="4" fillId="2" borderId="0" xfId="0" applyNumberFormat="1" applyFont="1" applyFill="1" applyAlignment="1">
      <alignment horizontal="left"/>
    </xf>
    <xf numFmtId="1" fontId="4" fillId="2" borderId="0" xfId="0" applyNumberFormat="1" applyFont="1" applyFill="1" applyAlignment="1">
      <alignment horizontal="left"/>
    </xf>
    <xf numFmtId="179" fontId="4" fillId="2" borderId="0" xfId="0" applyNumberFormat="1" applyFont="1" applyFill="1" applyAlignment="1">
      <alignment horizontal="left"/>
    </xf>
    <xf numFmtId="0" fontId="4" fillId="2" borderId="0" xfId="0" applyFont="1" applyFill="1" applyAlignment="1">
      <alignment horizontal="left"/>
    </xf>
    <xf numFmtId="177" fontId="4" fillId="2" borderId="0" xfId="0" applyNumberFormat="1" applyFont="1" applyFill="1" applyAlignment="1">
      <alignment horizontal="left"/>
    </xf>
    <xf numFmtId="177" fontId="4" fillId="3" borderId="0" xfId="0" applyNumberFormat="1" applyFont="1" applyFill="1" applyAlignment="1">
      <alignment horizontal="left"/>
    </xf>
    <xf numFmtId="178" fontId="4" fillId="3" borderId="0" xfId="0" applyNumberFormat="1" applyFont="1" applyFill="1" applyAlignment="1">
      <alignment horizontal="left"/>
    </xf>
    <xf numFmtId="178" fontId="4" fillId="3" borderId="0" xfId="0" applyNumberFormat="1" applyFont="1" applyFill="1"/>
    <xf numFmtId="178" fontId="12" fillId="0" borderId="0" xfId="0" applyNumberFormat="1" applyFont="1" applyAlignment="1">
      <alignment horizontal="left" vertical="center"/>
    </xf>
    <xf numFmtId="178" fontId="17" fillId="0" borderId="0" xfId="6" applyNumberFormat="1" applyFont="1" applyFill="1" applyBorder="1" applyAlignment="1">
      <alignment horizontal="left" vertical="center"/>
    </xf>
    <xf numFmtId="2" fontId="12" fillId="0" borderId="0" xfId="0" applyNumberFormat="1" applyFont="1" applyAlignment="1">
      <alignment horizontal="left" vertical="center"/>
    </xf>
    <xf numFmtId="1" fontId="12" fillId="0" borderId="0" xfId="0" applyNumberFormat="1" applyFont="1" applyAlignment="1">
      <alignment horizontal="left" vertical="center"/>
    </xf>
    <xf numFmtId="179" fontId="12" fillId="0" borderId="0" xfId="0" applyNumberFormat="1" applyFont="1" applyAlignment="1">
      <alignment horizontal="left" vertical="center"/>
    </xf>
    <xf numFmtId="0" fontId="12" fillId="0" borderId="0" xfId="0" applyFont="1" applyAlignment="1">
      <alignment horizontal="left" vertical="center"/>
    </xf>
    <xf numFmtId="177" fontId="12" fillId="0" borderId="0" xfId="0" applyNumberFormat="1" applyFont="1" applyAlignment="1">
      <alignment horizontal="left" vertical="center"/>
    </xf>
    <xf numFmtId="176" fontId="12" fillId="0" borderId="0" xfId="0" applyNumberFormat="1" applyFont="1" applyAlignment="1">
      <alignment horizontal="left" vertical="center"/>
    </xf>
    <xf numFmtId="2" fontId="13" fillId="0" borderId="0" xfId="0" applyNumberFormat="1" applyFont="1" applyAlignment="1">
      <alignment horizontal="left" vertical="center"/>
    </xf>
    <xf numFmtId="176" fontId="13" fillId="0" borderId="0" xfId="0" applyNumberFormat="1" applyFont="1" applyAlignment="1">
      <alignment horizontal="left" vertical="center"/>
    </xf>
    <xf numFmtId="177" fontId="13" fillId="0" borderId="0" xfId="0" applyNumberFormat="1" applyFont="1" applyAlignment="1">
      <alignment horizontal="left" vertical="center"/>
    </xf>
    <xf numFmtId="176" fontId="18" fillId="0" borderId="0" xfId="0" applyNumberFormat="1" applyFont="1" applyAlignment="1">
      <alignment horizontal="left"/>
    </xf>
    <xf numFmtId="178" fontId="19" fillId="0" borderId="0" xfId="0" applyNumberFormat="1" applyFont="1" applyAlignment="1">
      <alignment horizontal="left"/>
    </xf>
    <xf numFmtId="176" fontId="20" fillId="0" borderId="0" xfId="0" applyNumberFormat="1" applyFont="1" applyAlignment="1">
      <alignment horizontal="left"/>
    </xf>
    <xf numFmtId="176" fontId="18" fillId="0" borderId="0" xfId="0" applyNumberFormat="1" applyFont="1" applyAlignment="1">
      <alignment horizontal="left" vertical="center"/>
    </xf>
    <xf numFmtId="178" fontId="21" fillId="0" borderId="0" xfId="6" applyNumberFormat="1" applyFont="1" applyFill="1" applyBorder="1" applyAlignment="1">
      <alignment horizontal="left" vertical="center"/>
    </xf>
    <xf numFmtId="178" fontId="19" fillId="0" borderId="0" xfId="0" applyNumberFormat="1" applyFont="1" applyAlignment="1">
      <alignment horizontal="left" vertical="center"/>
    </xf>
    <xf numFmtId="178" fontId="17" fillId="0" borderId="0" xfId="6" applyNumberFormat="1" applyFont="1" applyFill="1" applyBorder="1" applyAlignment="1">
      <alignment horizontal="left"/>
    </xf>
    <xf numFmtId="178" fontId="12" fillId="0" borderId="0" xfId="6" applyNumberFormat="1" applyFont="1" applyFill="1" applyBorder="1" applyAlignment="1">
      <alignment horizontal="left"/>
    </xf>
    <xf numFmtId="178" fontId="18" fillId="0" borderId="0" xfId="0" applyNumberFormat="1" applyFont="1" applyAlignment="1">
      <alignment horizontal="left"/>
    </xf>
    <xf numFmtId="178" fontId="12" fillId="6" borderId="0" xfId="0" applyNumberFormat="1" applyFont="1" applyFill="1" applyAlignment="1">
      <alignment horizontal="left"/>
    </xf>
    <xf numFmtId="2" fontId="12" fillId="6" borderId="0" xfId="0" applyNumberFormat="1" applyFont="1" applyFill="1" applyAlignment="1">
      <alignment horizontal="left"/>
    </xf>
    <xf numFmtId="1" fontId="12" fillId="6" borderId="0" xfId="0" applyNumberFormat="1" applyFont="1" applyFill="1" applyAlignment="1">
      <alignment horizontal="left"/>
    </xf>
    <xf numFmtId="179" fontId="12" fillId="6" borderId="0" xfId="0" applyNumberFormat="1" applyFont="1" applyFill="1" applyAlignment="1">
      <alignment horizontal="left"/>
    </xf>
    <xf numFmtId="0" fontId="12" fillId="6" borderId="0" xfId="0" applyFont="1" applyFill="1" applyAlignment="1">
      <alignment horizontal="left"/>
    </xf>
    <xf numFmtId="177" fontId="12" fillId="6" borderId="0" xfId="0" applyNumberFormat="1" applyFont="1" applyFill="1" applyAlignment="1">
      <alignment horizontal="left"/>
    </xf>
    <xf numFmtId="176" fontId="12" fillId="6" borderId="0" xfId="0" applyNumberFormat="1" applyFont="1" applyFill="1" applyAlignment="1">
      <alignment horizontal="left"/>
    </xf>
    <xf numFmtId="2" fontId="13" fillId="6" borderId="0" xfId="0" applyNumberFormat="1" applyFont="1" applyFill="1" applyAlignment="1">
      <alignment horizontal="left"/>
    </xf>
    <xf numFmtId="176" fontId="13" fillId="6" borderId="0" xfId="0" applyNumberFormat="1" applyFont="1" applyFill="1" applyAlignment="1">
      <alignment horizontal="left"/>
    </xf>
    <xf numFmtId="177" fontId="13" fillId="6" borderId="0" xfId="0" applyNumberFormat="1" applyFont="1" applyFill="1" applyAlignment="1">
      <alignment horizontal="left"/>
    </xf>
    <xf numFmtId="176" fontId="12" fillId="6" borderId="0" xfId="0" applyNumberFormat="1" applyFont="1" applyFill="1" applyAlignment="1">
      <alignment horizontal="left" vertical="center"/>
    </xf>
    <xf numFmtId="178" fontId="18" fillId="6" borderId="0" xfId="0" applyNumberFormat="1" applyFont="1" applyFill="1" applyAlignment="1">
      <alignment horizontal="left"/>
    </xf>
    <xf numFmtId="177" fontId="12" fillId="6" borderId="0" xfId="0" applyNumberFormat="1" applyFont="1" applyFill="1" applyAlignment="1">
      <alignment horizontal="left" vertical="center"/>
    </xf>
    <xf numFmtId="178" fontId="12" fillId="6" borderId="0" xfId="0" applyNumberFormat="1" applyFont="1" applyFill="1" applyAlignment="1">
      <alignment horizontal="left" vertical="center"/>
    </xf>
    <xf numFmtId="0" fontId="9" fillId="0" borderId="0" xfId="0" applyFont="1" applyAlignment="1">
      <alignment horizontal="center"/>
    </xf>
    <xf numFmtId="178" fontId="21" fillId="0" borderId="0" xfId="6" applyNumberFormat="1" applyFont="1" applyFill="1" applyBorder="1" applyAlignment="1">
      <alignment horizontal="left"/>
    </xf>
    <xf numFmtId="176" fontId="12" fillId="7" borderId="0" xfId="0" applyNumberFormat="1" applyFont="1" applyFill="1" applyAlignment="1">
      <alignment horizontal="left" vertical="center"/>
    </xf>
    <xf numFmtId="178" fontId="22" fillId="0" borderId="0" xfId="6" applyNumberFormat="1" applyFont="1" applyFill="1" applyBorder="1" applyAlignment="1">
      <alignment horizontal="left" vertical="center"/>
    </xf>
    <xf numFmtId="177" fontId="17" fillId="0" borderId="0" xfId="6" applyNumberFormat="1" applyFont="1" applyFill="1" applyBorder="1" applyAlignment="1">
      <alignment horizontal="left" vertical="center"/>
    </xf>
    <xf numFmtId="0" fontId="23" fillId="0" borderId="0" xfId="0" applyFont="1"/>
    <xf numFmtId="0" fontId="0" fillId="0" borderId="0" xfId="0" applyAlignment="1">
      <alignment horizontal="left"/>
    </xf>
    <xf numFmtId="1" fontId="24" fillId="2" borderId="0" xfId="0" applyNumberFormat="1" applyFont="1" applyFill="1" applyAlignment="1">
      <alignment horizontal="center"/>
    </xf>
    <xf numFmtId="178" fontId="24" fillId="2" borderId="0" xfId="0" applyNumberFormat="1" applyFont="1" applyFill="1" applyAlignment="1">
      <alignment horizontal="left"/>
    </xf>
    <xf numFmtId="1" fontId="24" fillId="2" borderId="0" xfId="0" applyNumberFormat="1" applyFont="1" applyFill="1" applyAlignment="1">
      <alignment horizontal="left"/>
    </xf>
    <xf numFmtId="176" fontId="24" fillId="2" borderId="0" xfId="0" applyNumberFormat="1" applyFont="1" applyFill="1" applyAlignment="1">
      <alignment horizontal="left"/>
    </xf>
    <xf numFmtId="0" fontId="24" fillId="2" borderId="0" xfId="0" applyFont="1" applyFill="1"/>
    <xf numFmtId="0" fontId="0" fillId="8" borderId="0" xfId="0" applyFill="1" applyAlignment="1">
      <alignment horizontal="left"/>
    </xf>
    <xf numFmtId="0" fontId="25" fillId="0" borderId="0" xfId="6"/>
    <xf numFmtId="1" fontId="13" fillId="0" borderId="0" xfId="0" applyNumberFormat="1" applyFont="1" applyAlignment="1">
      <alignment horizontal="left"/>
    </xf>
    <xf numFmtId="0" fontId="4" fillId="0" borderId="0" xfId="0" applyFont="1" applyAlignment="1">
      <alignment vertical="center"/>
    </xf>
    <xf numFmtId="0" fontId="26" fillId="0" borderId="0" xfId="0" applyFont="1" applyAlignment="1">
      <alignment vertical="center"/>
    </xf>
    <xf numFmtId="0" fontId="12" fillId="0" borderId="0" xfId="0" applyFont="1"/>
    <xf numFmtId="0" fontId="16" fillId="0" borderId="0" xfId="0" applyFont="1"/>
    <xf numFmtId="0" fontId="14" fillId="2" borderId="0" xfId="0" applyFont="1" applyFill="1" applyAlignment="1">
      <alignment vertical="center"/>
    </xf>
    <xf numFmtId="0" fontId="27" fillId="2" borderId="0" xfId="0" applyFont="1" applyFill="1" applyAlignment="1">
      <alignment vertical="center"/>
    </xf>
    <xf numFmtId="0" fontId="0" fillId="0" borderId="0" xfId="0" applyFont="1" applyAlignment="1">
      <alignment vertical="center" wrapText="1"/>
    </xf>
    <xf numFmtId="0" fontId="0" fillId="0" borderId="0" xfId="0" applyAlignment="1">
      <alignment vertical="center" wrapText="1"/>
    </xf>
    <xf numFmtId="0" fontId="28" fillId="0" borderId="0" xfId="0" applyFont="1"/>
    <xf numFmtId="0" fontId="4" fillId="2" borderId="0" xfId="0" applyFont="1" applyFill="1"/>
    <xf numFmtId="0" fontId="16" fillId="2" borderId="0" xfId="0" applyFont="1" applyFill="1"/>
    <xf numFmtId="0" fontId="26"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1" defaultTableStyle="TableStyleMedium2" defaultPivotStyle="PivotStyleLight16">
    <tableStyle name="Invisible" pivot="0" table="0" count="0" xr9:uid="{0D0452E0-14B2-4650-BBE2-B4ABDD6B7C55}"/>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5.xml"/><Relationship Id="rId14" Type="http://schemas.openxmlformats.org/officeDocument/2006/relationships/customXml" Target="../customXml/item4.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2"/>
          <c:order val="0"/>
          <c:tx>
            <c:strRef>
              <c:f>'V&amp;V-Violence-All'!$B$17</c:f>
              <c:strCache>
                <c:ptCount val="1"/>
                <c:pt idx="0">
                  <c:v>LG 18650-MJ1 (Korean)</c:v>
                </c:pt>
              </c:strCache>
            </c:strRef>
          </c:tx>
          <c:spPr>
            <a:ln w="28575" cap="rnd">
              <a:solidFill>
                <a:srgbClr val="FFC000"/>
              </a:solidFill>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'V&amp;V-Violence-All'!$C$17:$G$17</c:f>
              <c:numCache>
                <c:formatCode>0.0000</c:formatCode>
                <c:ptCount val="5"/>
                <c:pt idx="0">
                  <c:v>8.83762528237782</c:v>
                </c:pt>
                <c:pt idx="1">
                  <c:v>7.67334045872125</c:v>
                </c:pt>
                <c:pt idx="2">
                  <c:v>9.99999655577205</c:v>
                </c:pt>
                <c:pt idx="3">
                  <c:v>9.99985594990529</c:v>
                </c:pt>
                <c:pt idx="4">
                  <c:v>6.61700320516848</c:v>
                </c:pt>
              </c:numCache>
            </c:numRef>
          </c:val>
        </c:ser>
        <c:ser>
          <c:idx val="4"/>
          <c:order val="1"/>
          <c:tx>
            <c:strRef>
              <c:f>'V&amp;V-Violence-All'!$B$19</c:f>
              <c:strCache>
                <c:ptCount val="1"/>
                <c:pt idx="0">
                  <c:v>MOLiCEL 18650-M35A</c:v>
                </c:pt>
              </c:strCache>
            </c:strRef>
          </c:tx>
          <c:spPr>
            <a:ln w="28575" cap="rnd">
              <a:solidFill>
                <a:schemeClr val="tx1"/>
              </a:solidFill>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'V&amp;V-Violence-All'!$C$19:$G$19</c:f>
              <c:numCache>
                <c:formatCode>0.0000</c:formatCode>
                <c:ptCount val="5"/>
                <c:pt idx="0">
                  <c:v>1.53926239729732</c:v>
                </c:pt>
                <c:pt idx="1">
                  <c:v>1.2229801129603</c:v>
                </c:pt>
                <c:pt idx="2">
                  <c:v>3.44422796527688e-6</c:v>
                </c:pt>
                <c:pt idx="3">
                  <c:v>0.00014405009471119</c:v>
                </c:pt>
                <c:pt idx="4">
                  <c:v>9.97294320571612</c:v>
                </c:pt>
              </c:numCache>
            </c:numRef>
          </c:val>
        </c:ser>
        <c:ser>
          <c:idx val="6"/>
          <c:order val="2"/>
          <c:tx>
            <c:strRef>
              <c:f>'V&amp;V-Violence-All'!$B$21</c:f>
              <c:strCache>
                <c:ptCount val="1"/>
                <c:pt idx="0">
                  <c:v>Outer Band</c:v>
                </c:pt>
              </c:strCache>
            </c:strRef>
          </c:tx>
          <c:spPr>
            <a:ln w="12700" cap="rnd">
              <a:solidFill>
                <a:schemeClr val="bg1">
                  <a:lumMod val="75000"/>
                </a:schemeClr>
              </a:solidFill>
              <a:prstDash val="lgDash"/>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'V&amp;V-Violence-All'!$C$21:$G$21</c:f>
              <c:numCache>
                <c:formatCode>0.0000</c:formatCode>
                <c:ptCount val="5"/>
                <c:pt idx="0">
                  <c:v>10</c:v>
                </c:pt>
                <c:pt idx="1">
                  <c:v>10</c:v>
                </c:pt>
                <c:pt idx="2">
                  <c:v>10</c:v>
                </c:pt>
                <c:pt idx="3">
                  <c:v>10</c:v>
                </c:pt>
                <c:pt idx="4">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2000" b="1" i="0" u="none" strike="noStrike" kern="1200" baseline="0">
                <a:solidFill>
                  <a:srgbClr val="0070C0"/>
                </a:solidFill>
                <a:latin typeface="Eurostile" panose="020B0504020202050204" pitchFamily="34" charset="77"/>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lgDash"/>
              <a:round/>
            </a:ln>
            <a:effectLst/>
          </c:spPr>
        </c:majorGridlines>
        <c:numFmt formatCode="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crossAx val="1596848544"/>
        <c:crosses val="autoZero"/>
        <c:crossBetween val="between"/>
      </c:valAx>
      <c:spPr>
        <a:noFill/>
        <a:ln>
          <a:no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legend>
    <c:plotVisOnly val="1"/>
    <c:dispBlanksAs val="span"/>
    <c:showDLblsOverMax val="0"/>
    <c:extLst>
      <c:ext uri="{0b15fc19-7d7d-44ad-8c2d-2c3a37ce22c3}">
        <chartProps xmlns="https://web.wps.cn/et/2018/main" chartId="{d1dc1cf0-78b3-4f15-8f84-37c5f3ed15e4}"/>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'V&amp;V-Violence-All'!$B$15</c:f>
              <c:strCache>
                <c:ptCount val="1"/>
                <c:pt idx="0">
                  <c:v>KULR 18650-K330</c:v>
                </c:pt>
              </c:strCache>
            </c:strRef>
          </c:tx>
          <c:spPr>
            <a:ln w="28575" cap="rnd">
              <a:solidFill>
                <a:srgbClr val="0070C0"/>
              </a:solidFill>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'V&amp;V-Violence-All'!$C$15:$G$15</c:f>
              <c:numCache>
                <c:formatCode>0.0000</c:formatCode>
                <c:ptCount val="5"/>
                <c:pt idx="0">
                  <c:v>1.16237471762219</c:v>
                </c:pt>
                <c:pt idx="1">
                  <c:v>0.0220365695384181</c:v>
                </c:pt>
                <c:pt idx="2">
                  <c:v>0.227914146389409</c:v>
                </c:pt>
                <c:pt idx="3">
                  <c:v>0.18504816102096</c:v>
                </c:pt>
                <c:pt idx="4">
                  <c:v>5.53106154779843</c:v>
                </c:pt>
              </c:numCache>
            </c:numRef>
          </c:val>
        </c:ser>
        <c:ser>
          <c:idx val="5"/>
          <c:order val="1"/>
          <c:tx>
            <c:strRef>
              <c:f>'V&amp;V-Violence-All'!$B$20</c:f>
              <c:strCache>
                <c:ptCount val="1"/>
                <c:pt idx="0">
                  <c:v>Sony 18650-VC7</c:v>
                </c:pt>
              </c:strCache>
            </c:strRef>
          </c:tx>
          <c:spPr>
            <a:ln w="28575" cap="rnd">
              <a:solidFill>
                <a:schemeClr val="tx1">
                  <a:lumMod val="65000"/>
                  <a:lumOff val="35000"/>
                </a:schemeClr>
              </a:solidFill>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'V&amp;V-Violence-All'!$C$20:$G$20</c:f>
              <c:numCache>
                <c:formatCode>0.0000</c:formatCode>
                <c:ptCount val="5"/>
                <c:pt idx="0">
                  <c:v>3.48452146771193</c:v>
                </c:pt>
                <c:pt idx="1">
                  <c:v>3.03342870662695</c:v>
                </c:pt>
                <c:pt idx="2">
                  <c:v>0.992528967925808</c:v>
                </c:pt>
                <c:pt idx="3">
                  <c:v>0.992641662791021</c:v>
                </c:pt>
                <c:pt idx="4">
                  <c:v>4.91563935893023</c:v>
                </c:pt>
              </c:numCache>
            </c:numRef>
          </c:val>
        </c:ser>
        <c:ser>
          <c:idx val="6"/>
          <c:order val="2"/>
          <c:tx>
            <c:strRef>
              <c:f>'V&amp;V-Violence-All'!$B$21</c:f>
              <c:strCache>
                <c:ptCount val="1"/>
                <c:pt idx="0">
                  <c:v>Outer Band</c:v>
                </c:pt>
              </c:strCache>
            </c:strRef>
          </c:tx>
          <c:spPr>
            <a:ln w="12700" cap="rnd">
              <a:solidFill>
                <a:schemeClr val="bg1">
                  <a:lumMod val="75000"/>
                </a:schemeClr>
              </a:solidFill>
              <a:prstDash val="lgDash"/>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'V&amp;V-Violence-All'!$C$21:$G$21</c:f>
              <c:numCache>
                <c:formatCode>0.0000</c:formatCode>
                <c:ptCount val="5"/>
                <c:pt idx="0">
                  <c:v>10</c:v>
                </c:pt>
                <c:pt idx="1">
                  <c:v>10</c:v>
                </c:pt>
                <c:pt idx="2">
                  <c:v>10</c:v>
                </c:pt>
                <c:pt idx="3">
                  <c:v>10</c:v>
                </c:pt>
                <c:pt idx="4">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2000" b="1" i="0" u="none" strike="noStrike" kern="1200" baseline="0">
                <a:solidFill>
                  <a:srgbClr val="0070C0"/>
                </a:solidFill>
                <a:latin typeface="Eurostile" panose="020B0504020202050204" pitchFamily="34" charset="77"/>
                <a:ea typeface="+mn-ea"/>
                <a:cs typeface="+mn-cs"/>
              </a:defRPr>
            </a:pPr>
          </a:p>
        </c:txPr>
        <c:crossAx val="1596783344"/>
        <c:crosses val="autoZero"/>
        <c:auto val="1"/>
        <c:lblAlgn val="ctr"/>
        <c:lblOffset val="100"/>
        <c:noMultiLvlLbl val="0"/>
      </c:catAx>
      <c:valAx>
        <c:axId val="1596783344"/>
        <c:scaling>
          <c:logBase val="10"/>
          <c:orientation val="minMax"/>
        </c:scaling>
        <c:delete val="0"/>
        <c:axPos val="l"/>
        <c:majorGridlines>
          <c:spPr>
            <a:ln w="9525" cap="flat" cmpd="sng" algn="ctr">
              <a:solidFill>
                <a:schemeClr val="tx1">
                  <a:lumMod val="15000"/>
                  <a:lumOff val="85000"/>
                </a:schemeClr>
              </a:solidFill>
              <a:prstDash val="lgDash"/>
              <a:round/>
            </a:ln>
            <a:effectLst/>
          </c:spPr>
        </c:majorGridlines>
        <c:numFmt formatCode="0.0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crossAx val="1596848544"/>
        <c:crosses val="autoZero"/>
        <c:crossBetween val="between"/>
      </c:valAx>
      <c:spPr>
        <a:noFill/>
        <a:ln>
          <a:no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legend>
    <c:plotVisOnly val="1"/>
    <c:dispBlanksAs val="span"/>
    <c:showDLblsOverMax val="0"/>
    <c:extLst>
      <c:ext uri="{0b15fc19-7d7d-44ad-8c2d-2c3a37ce22c3}">
        <chartProps xmlns="https://web.wps.cn/et/2018/main" chartId="{99b7a40b-2cef-489a-8531-4fca0bcfea1b}"/>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1"/>
          <c:order val="0"/>
          <c:tx>
            <c:strRef>
              <c:f>'V&amp;V-Violence-All'!$B$16</c:f>
              <c:strCache>
                <c:ptCount val="1"/>
                <c:pt idx="0">
                  <c:v>KULR 21700-K500</c:v>
                </c:pt>
              </c:strCache>
            </c:strRef>
          </c:tx>
          <c:spPr>
            <a:ln w="28575" cap="rnd">
              <a:solidFill>
                <a:srgbClr val="FF0000"/>
              </a:solidFill>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'V&amp;V-Violence-All'!$C$16:$G$16</c:f>
              <c:numCache>
                <c:formatCode>0.0000</c:formatCode>
                <c:ptCount val="5"/>
                <c:pt idx="0">
                  <c:v>2.30936418283466</c:v>
                </c:pt>
                <c:pt idx="1">
                  <c:v>8.88425168069965</c:v>
                </c:pt>
                <c:pt idx="2">
                  <c:v>1.32189418107319</c:v>
                </c:pt>
                <c:pt idx="3">
                  <c:v>0.515242019641735</c:v>
                </c:pt>
                <c:pt idx="4">
                  <c:v>0.027056794283876</c:v>
                </c:pt>
              </c:numCache>
            </c:numRef>
          </c:val>
        </c:ser>
        <c:ser>
          <c:idx val="3"/>
          <c:order val="1"/>
          <c:tx>
            <c:strRef>
              <c:f>'V&amp;V-Violence-All'!$B$18</c:f>
              <c:strCache>
                <c:ptCount val="1"/>
                <c:pt idx="0">
                  <c:v>LG 21700-M50 (BV)</c:v>
                </c:pt>
              </c:strCache>
            </c:strRef>
          </c:tx>
          <c:spPr>
            <a:ln w="28575" cap="rnd">
              <a:solidFill>
                <a:schemeClr val="tx1">
                  <a:lumMod val="65000"/>
                  <a:lumOff val="35000"/>
                </a:schemeClr>
              </a:solidFill>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'V&amp;V-Violence-All'!$C$18:$G$18</c:f>
              <c:numCache>
                <c:formatCode>0.0000</c:formatCode>
                <c:ptCount val="5"/>
                <c:pt idx="0">
                  <c:v>2.98117758959561</c:v>
                </c:pt>
                <c:pt idx="1">
                  <c:v>9.97796343046161</c:v>
                </c:pt>
                <c:pt idx="2">
                  <c:v>7.52339184832702</c:v>
                </c:pt>
                <c:pt idx="3">
                  <c:v>5.50597817835995</c:v>
                </c:pt>
                <c:pt idx="4">
                  <c:v>5.21792560583481</c:v>
                </c:pt>
              </c:numCache>
            </c:numRef>
          </c:val>
        </c:ser>
        <c:ser>
          <c:idx val="6"/>
          <c:order val="2"/>
          <c:tx>
            <c:strRef>
              <c:f>'V&amp;V-Violence-All'!$B$21</c:f>
              <c:strCache>
                <c:ptCount val="1"/>
                <c:pt idx="0">
                  <c:v>Outer Band</c:v>
                </c:pt>
              </c:strCache>
            </c:strRef>
          </c:tx>
          <c:spPr>
            <a:ln w="12700" cap="rnd">
              <a:solidFill>
                <a:schemeClr val="bg1">
                  <a:lumMod val="75000"/>
                </a:schemeClr>
              </a:solidFill>
              <a:prstDash val="lgDash"/>
              <a:round/>
            </a:ln>
            <a:effectLst/>
          </c:spPr>
          <c:marker>
            <c:symbol val="none"/>
          </c:marker>
          <c:dLbls>
            <c:delete val="1"/>
          </c:dLbls>
          <c:cat>
            <c:strRef>
              <c:f>'V&amp;V-Violence-All'!$C$14:$G$14</c:f>
              <c:strCache>
                <c:ptCount val="5"/>
                <c:pt idx="0" c:formatCode="0.0000">
                  <c:v>a</c:v>
                </c:pt>
                <c:pt idx="1" c:formatCode="0.0000">
                  <c:v>b</c:v>
                </c:pt>
                <c:pt idx="2" c:formatCode="0.0000">
                  <c:v>c</c:v>
                </c:pt>
                <c:pt idx="3" c:formatCode="0.0000">
                  <c:v>d</c:v>
                </c:pt>
                <c:pt idx="4" c:formatCode="0.0000">
                  <c:v>e</c:v>
                </c:pt>
              </c:strCache>
            </c:strRef>
          </c:cat>
          <c:val>
            <c:numRef>
              <c:f>'V&amp;V-Violence-All'!$C$21:$G$21</c:f>
              <c:numCache>
                <c:formatCode>0.0000</c:formatCode>
                <c:ptCount val="5"/>
                <c:pt idx="0">
                  <c:v>10</c:v>
                </c:pt>
                <c:pt idx="1">
                  <c:v>10</c:v>
                </c:pt>
                <c:pt idx="2">
                  <c:v>10</c:v>
                </c:pt>
                <c:pt idx="3">
                  <c:v>10</c:v>
                </c:pt>
                <c:pt idx="4">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2000" b="1" i="0" u="none" strike="noStrike" kern="1200" baseline="0">
                <a:solidFill>
                  <a:srgbClr val="0070C0"/>
                </a:solidFill>
                <a:latin typeface="Eurostile" panose="020B0504020202050204" pitchFamily="34" charset="77"/>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lgDash"/>
              <a:round/>
            </a:ln>
            <a:effectLst/>
          </c:spPr>
        </c:majorGridlines>
        <c:numFmt formatCode="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crossAx val="1596848544"/>
        <c:crosses val="autoZero"/>
        <c:crossBetween val="between"/>
      </c:valAx>
      <c:spPr>
        <a:noFill/>
        <a:ln>
          <a:no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legend>
    <c:plotVisOnly val="1"/>
    <c:dispBlanksAs val="span"/>
    <c:showDLblsOverMax val="0"/>
    <c:extLst>
      <c:ext uri="{0b15fc19-7d7d-44ad-8c2d-2c3a37ce22c3}">
        <chartProps xmlns="https://web.wps.cn/et/2018/main" chartId="{66411a1f-e1f3-4ade-83b3-31fed6b7c1e0}"/>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2"/>
          <c:order val="0"/>
          <c:tx>
            <c:strRef>
              <c:f>'V&amp;V-SD-All'!#REF!</c:f>
              <c:strCache>
                <c:ptCount val="1"/>
                <c:pt idx="0">
                  <c:v>#REF!</c:v>
                </c:pt>
              </c:strCache>
            </c:strRef>
          </c:tx>
          <c:spPr>
            <a:ln w="28575" cap="rnd">
              <a:solidFill>
                <a:schemeClr val="accent3"/>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'V&amp;V-SD-All'!#REF!</c:f>
              <c:numCache>
                <c:formatCode>General</c:formatCode>
                <c:ptCount val="1"/>
                <c:pt idx="0">
                  <c:v>1</c:v>
                </c:pt>
              </c:numCache>
            </c:numRef>
          </c:val>
        </c:ser>
        <c:ser>
          <c:idx val="3"/>
          <c:order val="1"/>
          <c:tx>
            <c:strRef>
              <c:f>'V&amp;V-SD-All'!#REF!</c:f>
              <c:strCache>
                <c:ptCount val="1"/>
                <c:pt idx="0">
                  <c:v>#REF!</c:v>
                </c:pt>
              </c:strCache>
            </c:strRef>
          </c:tx>
          <c:spPr>
            <a:ln w="28575" cap="rnd">
              <a:solidFill>
                <a:schemeClr val="accent4"/>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'V&amp;V-SD-All'!#REF!</c:f>
              <c:numCache>
                <c:formatCode>General</c:formatCode>
                <c:ptCount val="1"/>
                <c:pt idx="0">
                  <c:v>1</c:v>
                </c:pt>
              </c:numCache>
            </c:numRef>
          </c:val>
        </c:ser>
        <c:ser>
          <c:idx val="4"/>
          <c:order val="2"/>
          <c:tx>
            <c:strRef>
              <c:f>'V&amp;V-SD-All'!#REF!</c:f>
              <c:strCache>
                <c:ptCount val="1"/>
                <c:pt idx="0">
                  <c:v>#REF!</c:v>
                </c:pt>
              </c:strCache>
            </c:strRef>
          </c:tx>
          <c:spPr>
            <a:ln w="28575" cap="rnd">
              <a:solidFill>
                <a:schemeClr val="accent5"/>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'V&amp;V-SD-All'!#REF!</c:f>
              <c:numCache>
                <c:formatCode>General</c:formatCode>
                <c:ptCount val="1"/>
                <c:pt idx="0">
                  <c:v>1</c:v>
                </c:pt>
              </c:numCache>
            </c:numRef>
          </c:val>
        </c:ser>
        <c:ser>
          <c:idx val="7"/>
          <c:order val="3"/>
          <c:tx>
            <c:strRef>
              <c:f>'V&amp;V-SD-All'!$B$17</c:f>
              <c:strCache>
                <c:ptCount val="1"/>
                <c:pt idx="0">
                  <c:v>LG 18650-MJ1 (Korean)</c:v>
                </c:pt>
              </c:strCache>
            </c:strRef>
          </c:tx>
          <c:spPr>
            <a:ln w="28575" cap="rnd">
              <a:solidFill>
                <a:schemeClr val="accent2">
                  <a:lumMod val="60000"/>
                </a:schemeClr>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'V&amp;V-SD-All'!$C$17:$AE$17</c:f>
              <c:numCache>
                <c:formatCode>General</c:formatCode>
                <c:ptCount val="12"/>
                <c:pt idx="0">
                  <c:v>6.60871794198692</c:v>
                </c:pt>
                <c:pt idx="1">
                  <c:v>4.33027273528061</c:v>
                </c:pt>
                <c:pt idx="2">
                  <c:v>5.09778660437152</c:v>
                </c:pt>
                <c:pt idx="3">
                  <c:v>4.60950777156962</c:v>
                </c:pt>
                <c:pt idx="4">
                  <c:v>5.54102227817615</c:v>
                </c:pt>
                <c:pt idx="5">
                  <c:v>0.489735812896635</c:v>
                </c:pt>
                <c:pt idx="6">
                  <c:v>0.0637813818848931</c:v>
                </c:pt>
                <c:pt idx="7">
                  <c:v>0.043810546312451</c:v>
                </c:pt>
                <c:pt idx="8">
                  <c:v>9.59098947440655</c:v>
                </c:pt>
                <c:pt idx="9">
                  <c:v>1.43473912873718</c:v>
                </c:pt>
                <c:pt idx="10">
                  <c:v>3.01048191618082</c:v>
                </c:pt>
                <c:pt idx="11">
                  <c:v>3.40746528719846</c:v>
                </c:pt>
              </c:numCache>
            </c:numRef>
          </c:val>
        </c:ser>
        <c:ser>
          <c:idx val="12"/>
          <c:order val="4"/>
          <c:tx>
            <c:strRef>
              <c:f>'V&amp;V-SD-All'!$B$19</c:f>
              <c:strCache>
                <c:ptCount val="1"/>
                <c:pt idx="0">
                  <c:v>MOLiCEL 18650-M35A</c:v>
                </c:pt>
              </c:strCache>
            </c:strRef>
          </c:tx>
          <c:spPr>
            <a:ln w="28575" cap="rnd">
              <a:solidFill>
                <a:schemeClr val="accent1">
                  <a:lumMod val="80000"/>
                  <a:lumOff val="20000"/>
                </a:schemeClr>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'V&amp;V-SD-All'!$C$19:$AE$19</c:f>
              <c:numCache>
                <c:formatCode>General</c:formatCode>
                <c:ptCount val="12"/>
                <c:pt idx="0">
                  <c:v>3.14684903282716</c:v>
                </c:pt>
                <c:pt idx="1">
                  <c:v>0.100393244271495</c:v>
                </c:pt>
                <c:pt idx="2">
                  <c:v>4.80919021101297</c:v>
                </c:pt>
                <c:pt idx="3">
                  <c:v>0.162843302205023</c:v>
                </c:pt>
                <c:pt idx="4">
                  <c:v>0.263901959947856</c:v>
                </c:pt>
                <c:pt idx="5">
                  <c:v>9.81806080568964</c:v>
                </c:pt>
                <c:pt idx="6">
                  <c:v>7.77653303791951</c:v>
                </c:pt>
                <c:pt idx="7">
                  <c:v>3.24824258477214</c:v>
                </c:pt>
                <c:pt idx="8">
                  <c:v>3.94166686054068</c:v>
                </c:pt>
                <c:pt idx="9">
                  <c:v>0.652539598681077</c:v>
                </c:pt>
                <c:pt idx="10">
                  <c:v>0.51313685977469</c:v>
                </c:pt>
                <c:pt idx="11">
                  <c:v>9.78599327563502</c:v>
                </c:pt>
              </c:numCache>
            </c:numRef>
          </c:val>
        </c:ser>
        <c:ser>
          <c:idx val="27"/>
          <c:order val="5"/>
          <c:tx>
            <c:strRef>
              <c:f>'V&amp;V-SD-All'!$B$21</c:f>
              <c:strCache>
                <c:ptCount val="1"/>
                <c:pt idx="0">
                  <c:v>Outer Band</c:v>
                </c:pt>
              </c:strCache>
            </c:strRef>
          </c:tx>
          <c:spPr>
            <a:ln w="22225" cap="rnd">
              <a:solidFill>
                <a:schemeClr val="tx1"/>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'V&amp;V-SD-All'!$C$21:$AE$21</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60446ae-e621-455f-b161-d21b43ba0048}"/>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27"/>
          <c:order val="0"/>
          <c:tx>
            <c:strRef>
              <c:f>'V&amp;V-SD-All'!$B$16</c:f>
              <c:strCache>
                <c:ptCount val="1"/>
                <c:pt idx="0">
                  <c:v>KULR 21700-K500</c:v>
                </c:pt>
              </c:strCache>
            </c:strRef>
          </c:tx>
          <c:spPr>
            <a:ln w="28575" cap="rnd">
              <a:solidFill>
                <a:srgbClr val="FF0000"/>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'V&amp;V-SD-All'!$C$16:$AE$16</c:f>
              <c:numCache>
                <c:formatCode>General</c:formatCode>
                <c:ptCount val="12"/>
                <c:pt idx="0">
                  <c:v>4.79959066052428</c:v>
                </c:pt>
                <c:pt idx="1">
                  <c:v>5.28581244587875</c:v>
                </c:pt>
                <c:pt idx="2">
                  <c:v>4.97587851371138</c:v>
                </c:pt>
                <c:pt idx="3">
                  <c:v>4.87867595283325</c:v>
                </c:pt>
                <c:pt idx="4">
                  <c:v>5.33774094219857</c:v>
                </c:pt>
                <c:pt idx="5">
                  <c:v>0.181939194310328</c:v>
                </c:pt>
                <c:pt idx="6">
                  <c:v>1.88496754392308</c:v>
                </c:pt>
                <c:pt idx="7">
                  <c:v>4.15261780448061</c:v>
                </c:pt>
                <c:pt idx="8">
                  <c:v>4.0509313336749</c:v>
                </c:pt>
                <c:pt idx="9">
                  <c:v>6.20512687302944</c:v>
                </c:pt>
                <c:pt idx="10">
                  <c:v>8.67815719044216</c:v>
                </c:pt>
                <c:pt idx="11">
                  <c:v>0.214006724364994</c:v>
                </c:pt>
              </c:numCache>
            </c:numRef>
          </c:val>
        </c:ser>
        <c:ser>
          <c:idx val="1"/>
          <c:order val="1"/>
          <c:tx>
            <c:strRef>
              <c:f>'V&amp;V-SD-All'!$B$18</c:f>
              <c:strCache>
                <c:ptCount val="1"/>
                <c:pt idx="0">
                  <c:v>LG 21700-M50 (BV)</c:v>
                </c:pt>
              </c:strCache>
            </c:strRef>
          </c:tx>
          <c:spPr>
            <a:ln w="28575" cap="rnd">
              <a:solidFill>
                <a:schemeClr val="tx1">
                  <a:lumMod val="65000"/>
                  <a:lumOff val="35000"/>
                </a:schemeClr>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'V&amp;V-SD-All'!$C$18:$AE$18</c:f>
              <c:numCache>
                <c:formatCode>General</c:formatCode>
                <c:ptCount val="12"/>
                <c:pt idx="0">
                  <c:v>6.85315096717284</c:v>
                </c:pt>
                <c:pt idx="1">
                  <c:v>9.8996067557285</c:v>
                </c:pt>
                <c:pt idx="2">
                  <c:v>4.97283576507344</c:v>
                </c:pt>
                <c:pt idx="3">
                  <c:v>9.89133307685635</c:v>
                </c:pt>
                <c:pt idx="4">
                  <c:v>9.89564096996</c:v>
                </c:pt>
                <c:pt idx="5">
                  <c:v>2.25113835529435</c:v>
                </c:pt>
                <c:pt idx="6">
                  <c:v>9.93621861811514</c:v>
                </c:pt>
                <c:pt idx="7">
                  <c:v>9.95618945368755</c:v>
                </c:pt>
                <c:pt idx="8">
                  <c:v>4.85482973253859</c:v>
                </c:pt>
                <c:pt idx="9">
                  <c:v>9.34746040131892</c:v>
                </c:pt>
                <c:pt idx="10">
                  <c:v>9.48686314022531</c:v>
                </c:pt>
                <c:pt idx="11">
                  <c:v>6.79723378458085</c:v>
                </c:pt>
              </c:numCache>
            </c:numRef>
          </c:val>
        </c:ser>
        <c:ser>
          <c:idx val="4"/>
          <c:order val="2"/>
          <c:tx>
            <c:strRef>
              <c:f>'V&amp;V-SD-All'!$B$21</c:f>
              <c:strCache>
                <c:ptCount val="1"/>
                <c:pt idx="0">
                  <c:v>Outer Band</c:v>
                </c:pt>
              </c:strCache>
            </c:strRef>
          </c:tx>
          <c:spPr>
            <a:ln w="12700" cap="rnd">
              <a:solidFill>
                <a:schemeClr val="bg1">
                  <a:lumMod val="75000"/>
                </a:schemeClr>
              </a:solidFill>
              <a:prstDash val="lgDash"/>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'V&amp;V-SD-All'!$C$21:$AE$21</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2000" b="1" i="0" u="none" strike="noStrike" kern="1200" baseline="0">
                <a:solidFill>
                  <a:srgbClr val="0070C0"/>
                </a:solidFill>
                <a:latin typeface="Eurostile" panose="020B0504020202050204" pitchFamily="34" charset="77"/>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lg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crossAx val="1596848544"/>
        <c:crosses val="autoZero"/>
        <c:crossBetween val="between"/>
      </c:valAx>
      <c:spPr>
        <a:noFill/>
        <a:ln>
          <a:no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Eurostile" panose="020B0504020202050204" pitchFamily="34" charset="77"/>
              <a:ea typeface="+mn-ea"/>
              <a:cs typeface="+mn-cs"/>
            </a:defRPr>
          </a:pPr>
        </a:p>
      </c:txPr>
    </c:legend>
    <c:plotVisOnly val="1"/>
    <c:dispBlanksAs val="gap"/>
    <c:showDLblsOverMax val="0"/>
    <c:extLst>
      <c:ext uri="{0b15fc19-7d7d-44ad-8c2d-2c3a37ce22c3}">
        <chartProps xmlns="https://web.wps.cn/et/2018/main" chartId="{a2e2715a-5a5c-4f54-aa94-378278370d5c}"/>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"LG 18650-MJ1"</c:f>
              <c:strCache>
                <c:ptCount val="1"/>
                <c:pt idx="0">
                  <c:v>LG 18650-MJ1</c:v>
                </c:pt>
              </c:strCache>
            </c:strRef>
          </c:tx>
          <c:spPr>
            <a:ln w="28575" cap="rnd">
              <a:solidFill>
                <a:srgbClr val="FFC000"/>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'V&amp;V-SD-All'!$C$17:$AE$17</c:f>
              <c:numCache>
                <c:formatCode>General</c:formatCode>
                <c:ptCount val="12"/>
                <c:pt idx="0">
                  <c:v>6.60871794198692</c:v>
                </c:pt>
                <c:pt idx="1">
                  <c:v>4.33027273528061</c:v>
                </c:pt>
                <c:pt idx="2">
                  <c:v>5.09778660437152</c:v>
                </c:pt>
                <c:pt idx="3">
                  <c:v>4.60950777156962</c:v>
                </c:pt>
                <c:pt idx="4">
                  <c:v>5.54102227817615</c:v>
                </c:pt>
                <c:pt idx="5">
                  <c:v>0.489735812896635</c:v>
                </c:pt>
                <c:pt idx="6">
                  <c:v>0.0637813818848931</c:v>
                </c:pt>
                <c:pt idx="7">
                  <c:v>0.043810546312451</c:v>
                </c:pt>
                <c:pt idx="8">
                  <c:v>9.59098947440655</c:v>
                </c:pt>
                <c:pt idx="9">
                  <c:v>1.43473912873718</c:v>
                </c:pt>
                <c:pt idx="10">
                  <c:v>3.01048191618082</c:v>
                </c:pt>
                <c:pt idx="11">
                  <c:v>3.40746528719846</c:v>
                </c:pt>
              </c:numCache>
            </c:numRef>
          </c:val>
        </c:ser>
        <c:ser>
          <c:idx val="2"/>
          <c:order val="1"/>
          <c:tx>
            <c:strRef>
              <c:f>'V&amp;V-SD-All'!$B$19</c:f>
              <c:strCache>
                <c:ptCount val="1"/>
                <c:pt idx="0">
                  <c:v>MOLiCEL 18650-M35A</c:v>
                </c:pt>
              </c:strCache>
            </c:strRef>
          </c:tx>
          <c:spPr>
            <a:ln w="28575" cap="rnd">
              <a:solidFill>
                <a:schemeClr val="tx1"/>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'V&amp;V-SD-All'!$C$19:$AE$19</c:f>
              <c:numCache>
                <c:formatCode>General</c:formatCode>
                <c:ptCount val="12"/>
                <c:pt idx="0">
                  <c:v>3.14684903282716</c:v>
                </c:pt>
                <c:pt idx="1">
                  <c:v>0.100393244271495</c:v>
                </c:pt>
                <c:pt idx="2">
                  <c:v>4.80919021101297</c:v>
                </c:pt>
                <c:pt idx="3">
                  <c:v>0.162843302205023</c:v>
                </c:pt>
                <c:pt idx="4">
                  <c:v>0.263901959947856</c:v>
                </c:pt>
                <c:pt idx="5">
                  <c:v>9.81806080568964</c:v>
                </c:pt>
                <c:pt idx="6">
                  <c:v>7.77653303791951</c:v>
                </c:pt>
                <c:pt idx="7">
                  <c:v>3.24824258477214</c:v>
                </c:pt>
                <c:pt idx="8">
                  <c:v>3.94166686054068</c:v>
                </c:pt>
                <c:pt idx="9">
                  <c:v>0.652539598681077</c:v>
                </c:pt>
                <c:pt idx="10">
                  <c:v>0.51313685977469</c:v>
                </c:pt>
                <c:pt idx="11">
                  <c:v>9.78599327563502</c:v>
                </c:pt>
              </c:numCache>
            </c:numRef>
          </c:val>
        </c:ser>
        <c:ser>
          <c:idx val="4"/>
          <c:order val="2"/>
          <c:tx>
            <c:strRef>
              <c:f>'V&amp;V-SD-All'!$B$21</c:f>
              <c:strCache>
                <c:ptCount val="1"/>
                <c:pt idx="0">
                  <c:v>Outer Band</c:v>
                </c:pt>
              </c:strCache>
            </c:strRef>
          </c:tx>
          <c:spPr>
            <a:ln w="12700" cap="rnd">
              <a:solidFill>
                <a:schemeClr val="bg1">
                  <a:lumMod val="75000"/>
                </a:schemeClr>
              </a:solidFill>
              <a:prstDash val="lgDash"/>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'V&amp;V-SD-All'!$C$21:$AE$21</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2000" b="1" i="0" u="none" strike="noStrike" kern="1200" baseline="0">
                <a:solidFill>
                  <a:srgbClr val="0070C0"/>
                </a:solidFill>
                <a:latin typeface="Eurostile" panose="020B0504020202050204" pitchFamily="34" charset="77"/>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crossAx val="1596848544"/>
        <c:crosses val="autoZero"/>
        <c:crossBetween val="between"/>
      </c:valAx>
      <c:spPr>
        <a:noFill/>
        <a:ln>
          <a:no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Eurostile" panose="020B0504020202050204" pitchFamily="34" charset="77"/>
              <a:ea typeface="+mn-ea"/>
              <a:cs typeface="+mn-cs"/>
            </a:defRPr>
          </a:pPr>
        </a:p>
      </c:txPr>
    </c:legend>
    <c:plotVisOnly val="1"/>
    <c:dispBlanksAs val="gap"/>
    <c:showDLblsOverMax val="0"/>
    <c:extLst>
      <c:ext uri="{0b15fc19-7d7d-44ad-8c2d-2c3a37ce22c3}">
        <chartProps xmlns="https://web.wps.cn/et/2018/main" chartId="{0671e3d4-605c-4548-bcb1-18b8577165ee}"/>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14"/>
          <c:order val="0"/>
          <c:tx>
            <c:strRef>
              <c:f>'V&amp;V-SD-All'!$B$15</c:f>
              <c:strCache>
                <c:ptCount val="1"/>
                <c:pt idx="0">
                  <c:v>KULR 18650-K330</c:v>
                </c:pt>
              </c:strCache>
            </c:strRef>
          </c:tx>
          <c:spPr>
            <a:ln w="28575" cap="rnd">
              <a:solidFill>
                <a:srgbClr val="0070C0"/>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'V&amp;V-SD-All'!$C$15:$AE$15</c:f>
              <c:numCache>
                <c:formatCode>General</c:formatCode>
                <c:ptCount val="12"/>
                <c:pt idx="0">
                  <c:v>3.17745667108456</c:v>
                </c:pt>
                <c:pt idx="1">
                  <c:v>0.458792296155236</c:v>
                </c:pt>
                <c:pt idx="2">
                  <c:v>5.05876511713996</c:v>
                </c:pt>
                <c:pt idx="3">
                  <c:v>0.108666923143648</c:v>
                </c:pt>
                <c:pt idx="4">
                  <c:v>0.104359030040014</c:v>
                </c:pt>
                <c:pt idx="5">
                  <c:v>5.27234431010132</c:v>
                </c:pt>
                <c:pt idx="6">
                  <c:v>8.32197336071203</c:v>
                </c:pt>
                <c:pt idx="7">
                  <c:v>8.80211781614807</c:v>
                </c:pt>
                <c:pt idx="8">
                  <c:v>0.409010525593454</c:v>
                </c:pt>
                <c:pt idx="9">
                  <c:v>3.54371316354068</c:v>
                </c:pt>
                <c:pt idx="10">
                  <c:v>6.8155813620188</c:v>
                </c:pt>
                <c:pt idx="11">
                  <c:v>7.12467516996505</c:v>
                </c:pt>
              </c:numCache>
            </c:numRef>
          </c:val>
        </c:ser>
        <c:ser>
          <c:idx val="3"/>
          <c:order val="1"/>
          <c:tx>
            <c:strRef>
              <c:f>'V&amp;V-SD-All'!$B$20</c:f>
              <c:strCache>
                <c:ptCount val="1"/>
                <c:pt idx="0">
                  <c:v>Sony 18650-VC7</c:v>
                </c:pt>
              </c:strCache>
            </c:strRef>
          </c:tx>
          <c:spPr>
            <a:ln w="28575" cap="rnd">
              <a:solidFill>
                <a:schemeClr val="tx1">
                  <a:lumMod val="65000"/>
                  <a:lumOff val="35000"/>
                </a:schemeClr>
              </a:solidFill>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'V&amp;V-SD-All'!$C$20:$AE$20</c:f>
              <c:numCache>
                <c:formatCode>General</c:formatCode>
                <c:ptCount val="12"/>
                <c:pt idx="0">
                  <c:v>4.64167298861732</c:v>
                </c:pt>
                <c:pt idx="1">
                  <c:v>2.36078323238193</c:v>
                </c:pt>
                <c:pt idx="2">
                  <c:v>5.19080978898704</c:v>
                </c:pt>
                <c:pt idx="3">
                  <c:v>2.33805857971217</c:v>
                </c:pt>
                <c:pt idx="4">
                  <c:v>2.55856224765945</c:v>
                </c:pt>
                <c:pt idx="5">
                  <c:v>0.203502327045436</c:v>
                </c:pt>
                <c:pt idx="6">
                  <c:v>5.7147836816919</c:v>
                </c:pt>
                <c:pt idx="7">
                  <c:v>4.43000156871224</c:v>
                </c:pt>
                <c:pt idx="8">
                  <c:v>6.37228088627051</c:v>
                </c:pt>
                <c:pt idx="9">
                  <c:v>3.51005409161167</c:v>
                </c:pt>
                <c:pt idx="10">
                  <c:v>4.14334310650433</c:v>
                </c:pt>
                <c:pt idx="11">
                  <c:v>4.75904293095921</c:v>
                </c:pt>
              </c:numCache>
            </c:numRef>
          </c:val>
        </c:ser>
        <c:ser>
          <c:idx val="4"/>
          <c:order val="2"/>
          <c:tx>
            <c:strRef>
              <c:f>'V&amp;V-SD-All'!$B$21</c:f>
              <c:strCache>
                <c:ptCount val="1"/>
                <c:pt idx="0">
                  <c:v>Outer Band</c:v>
                </c:pt>
              </c:strCache>
            </c:strRef>
          </c:tx>
          <c:spPr>
            <a:ln w="12700" cap="rnd">
              <a:solidFill>
                <a:schemeClr val="bg1">
                  <a:lumMod val="75000"/>
                </a:schemeClr>
              </a:solidFill>
              <a:prstDash val="lgDash"/>
              <a:round/>
            </a:ln>
            <a:effectLst/>
          </c:spPr>
          <c:marker>
            <c:symbol val="none"/>
          </c:marker>
          <c:dLbls>
            <c:delete val="1"/>
          </c:dLbls>
          <c:cat>
            <c:strRef>
              <c:f>'V&amp;V-SD-All'!$C$14:$AE$14</c:f>
              <c:strCache>
                <c:ptCount val="12"/>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l</c:v>
                </c:pt>
              </c:strCache>
            </c:strRef>
          </c:cat>
          <c:val>
            <c:numRef>
              <c:f>'V&amp;V-SD-All'!$C$21:$AE$21</c:f>
              <c:numCache>
                <c:formatCode>General</c:formatCode>
                <c:ptCount val="12"/>
                <c:pt idx="0">
                  <c:v>10</c:v>
                </c:pt>
                <c:pt idx="1">
                  <c:v>10</c:v>
                </c:pt>
                <c:pt idx="2">
                  <c:v>10</c:v>
                </c:pt>
                <c:pt idx="3">
                  <c:v>10</c:v>
                </c:pt>
                <c:pt idx="4">
                  <c:v>10</c:v>
                </c:pt>
                <c:pt idx="5">
                  <c:v>10</c:v>
                </c:pt>
                <c:pt idx="6">
                  <c:v>10</c:v>
                </c:pt>
                <c:pt idx="7">
                  <c:v>10</c:v>
                </c:pt>
                <c:pt idx="8">
                  <c:v>10</c:v>
                </c:pt>
                <c:pt idx="9">
                  <c:v>10</c:v>
                </c:pt>
                <c:pt idx="10">
                  <c:v>10</c:v>
                </c:pt>
                <c:pt idx="11">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2000" b="1" i="0" u="none" strike="noStrike" kern="1200" baseline="0">
                <a:solidFill>
                  <a:srgbClr val="0070C0"/>
                </a:solidFill>
                <a:latin typeface="Eurostile" panose="020B0504020202050204" pitchFamily="34" charset="77"/>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lg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600" b="1" i="0" u="none" strike="noStrike" kern="1200" baseline="0">
                <a:solidFill>
                  <a:schemeClr val="tx1"/>
                </a:solidFill>
                <a:latin typeface="Eurostile" panose="020B0504020202050204" pitchFamily="34" charset="77"/>
                <a:ea typeface="+mn-ea"/>
                <a:cs typeface="+mn-cs"/>
              </a:defRPr>
            </a:pPr>
          </a:p>
        </c:txPr>
        <c:crossAx val="1596848544"/>
        <c:crosses val="autoZero"/>
        <c:crossBetween val="between"/>
      </c:valAx>
      <c:spPr>
        <a:noFill/>
        <a:ln>
          <a:no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Eurostile" panose="020B0504020202050204" pitchFamily="34" charset="77"/>
              <a:ea typeface="+mn-ea"/>
              <a:cs typeface="+mn-cs"/>
            </a:defRPr>
          </a:pPr>
        </a:p>
      </c:txPr>
    </c:legend>
    <c:plotVisOnly val="1"/>
    <c:dispBlanksAs val="gap"/>
    <c:showDLblsOverMax val="0"/>
    <c:extLst>
      <c:ext uri="{0b15fc19-7d7d-44ad-8c2d-2c3a37ce22c3}">
        <chartProps xmlns="https://web.wps.cn/et/2018/main" chartId="{3b55621e-133d-4048-a1f2-bb0c70c0ab6b}"/>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'V&amp;V-Violence-Global'!$B$37</c:f>
              <c:strCache>
                <c:ptCount val="1"/>
                <c:pt idx="0">
                  <c:v>KULR 18650-K330</c:v>
                </c:pt>
              </c:strCache>
            </c:strRef>
          </c:tx>
          <c:spPr>
            <a:ln w="28575" cap="rnd">
              <a:solidFill>
                <a:schemeClr val="accent1"/>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'V&amp;V-Violence-Global'!$C$37:$L$37</c:f>
              <c:numCache>
                <c:formatCode>0.0000</c:formatCode>
                <c:ptCount val="10"/>
                <c:pt idx="0">
                  <c:v>3.6929281744344</c:v>
                </c:pt>
                <c:pt idx="1">
                  <c:v>4.20966911868898</c:v>
                </c:pt>
                <c:pt idx="2">
                  <c:v>0.928797593217183</c:v>
                </c:pt>
                <c:pt idx="3">
                  <c:v>0.888987709166426</c:v>
                </c:pt>
                <c:pt idx="4">
                  <c:v>7.58935500365304</c:v>
                </c:pt>
                <c:pt idx="5">
                  <c:v>0</c:v>
                </c:pt>
                <c:pt idx="6">
                  <c:v>0</c:v>
                </c:pt>
                <c:pt idx="7">
                  <c:v>0</c:v>
                </c:pt>
                <c:pt idx="8">
                  <c:v>0</c:v>
                </c:pt>
                <c:pt idx="9">
                  <c:v>0</c:v>
                </c:pt>
              </c:numCache>
            </c:numRef>
          </c:val>
        </c:ser>
        <c:ser>
          <c:idx val="1"/>
          <c:order val="1"/>
          <c:tx>
            <c:strRef>
              <c:f>'V&amp;V-Violence-Global'!$B$38</c:f>
              <c:strCache>
                <c:ptCount val="1"/>
                <c:pt idx="0">
                  <c:v>KULR 21700-K500</c:v>
                </c:pt>
              </c:strCache>
            </c:strRef>
          </c:tx>
          <c:spPr>
            <a:ln w="28575" cap="rnd">
              <a:solidFill>
                <a:schemeClr val="accent2"/>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'V&amp;V-Violence-Global'!$C$38:$L$38</c:f>
              <c:numCache>
                <c:formatCode>0.0000</c:formatCode>
                <c:ptCount val="10"/>
                <c:pt idx="0">
                  <c:v>4.51149025521044</c:v>
                </c:pt>
                <c:pt idx="1">
                  <c:v>9.35251797683557</c:v>
                </c:pt>
                <c:pt idx="2">
                  <c:v>1.94431408296734</c:v>
                </c:pt>
                <c:pt idx="3">
                  <c:v>1.19549968738155</c:v>
                </c:pt>
                <c:pt idx="4">
                  <c:v>4.62037217678211</c:v>
                </c:pt>
                <c:pt idx="5">
                  <c:v>0</c:v>
                </c:pt>
                <c:pt idx="6">
                  <c:v>0</c:v>
                </c:pt>
                <c:pt idx="7">
                  <c:v>0</c:v>
                </c:pt>
                <c:pt idx="8">
                  <c:v>0</c:v>
                </c:pt>
                <c:pt idx="9">
                  <c:v>0</c:v>
                </c:pt>
              </c:numCache>
            </c:numRef>
          </c:val>
        </c:ser>
        <c:ser>
          <c:idx val="2"/>
          <c:order val="2"/>
          <c:tx>
            <c:strRef>
              <c:f>'V&amp;V-Violence-Global'!$B$39</c:f>
              <c:strCache>
                <c:ptCount val="1"/>
                <c:pt idx="0">
                  <c:v>LG 18650-M36</c:v>
                </c:pt>
              </c:strCache>
            </c:strRef>
          </c:tx>
          <c:spPr>
            <a:ln w="28575" cap="rnd">
              <a:solidFill>
                <a:schemeClr val="accent3"/>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'V&amp;V-Violence-Global'!$C$39:$L$39</c:f>
              <c:numCache>
                <c:formatCode>0.0000</c:formatCode>
                <c:ptCount val="10"/>
                <c:pt idx="0">
                  <c:v>4.95705308285797</c:v>
                </c:pt>
                <c:pt idx="1">
                  <c:v>5.51483325940817</c:v>
                </c:pt>
                <c:pt idx="2">
                  <c:v>2.79812557652181</c:v>
                </c:pt>
                <c:pt idx="3">
                  <c:v>2.79818305493144</c:v>
                </c:pt>
                <c:pt idx="4">
                  <c:v>7.55472444868322</c:v>
                </c:pt>
                <c:pt idx="5">
                  <c:v>0</c:v>
                </c:pt>
                <c:pt idx="6">
                  <c:v>0</c:v>
                </c:pt>
                <c:pt idx="7">
                  <c:v>0</c:v>
                </c:pt>
                <c:pt idx="8">
                  <c:v>0</c:v>
                </c:pt>
                <c:pt idx="9">
                  <c:v>0</c:v>
                </c:pt>
              </c:numCache>
            </c:numRef>
          </c:val>
        </c:ser>
        <c:ser>
          <c:idx val="3"/>
          <c:order val="3"/>
          <c:tx>
            <c:strRef>
              <c:f>'V&amp;V-Violence-Global'!$B$40</c:f>
              <c:strCache>
                <c:ptCount val="1"/>
                <c:pt idx="0">
                  <c:v>LG 18650-Test Cell (NBV-250)</c:v>
                </c:pt>
              </c:strCache>
            </c:strRef>
          </c:tx>
          <c:spPr>
            <a:ln w="28575" cap="rnd">
              <a:solidFill>
                <a:schemeClr val="accent4"/>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'V&amp;V-Violence-Global'!$C$40:$L$40</c:f>
              <c:numCache>
                <c:formatCode>0.0000</c:formatCode>
                <c:ptCount val="10"/>
                <c:pt idx="0">
                  <c:v>6.73481519664275</c:v>
                </c:pt>
                <c:pt idx="1">
                  <c:v>6.7468265095154</c:v>
                </c:pt>
                <c:pt idx="2">
                  <c:v>1.37018784443979</c:v>
                </c:pt>
                <c:pt idx="3">
                  <c:v>1.37028259817676</c:v>
                </c:pt>
                <c:pt idx="4">
                  <c:v>5.76443181519894</c:v>
                </c:pt>
                <c:pt idx="5">
                  <c:v>0</c:v>
                </c:pt>
                <c:pt idx="6">
                  <c:v>0</c:v>
                </c:pt>
                <c:pt idx="7">
                  <c:v>0</c:v>
                </c:pt>
                <c:pt idx="8">
                  <c:v>0</c:v>
                </c:pt>
                <c:pt idx="9">
                  <c:v>0</c:v>
                </c:pt>
              </c:numCache>
            </c:numRef>
          </c:val>
        </c:ser>
        <c:ser>
          <c:idx val="4"/>
          <c:order val="4"/>
          <c:tx>
            <c:strRef>
              <c:f>'V&amp;V-Violence-Global'!$B$41</c:f>
              <c:strCache>
                <c:ptCount val="1"/>
                <c:pt idx="0">
                  <c:v>LG 18650-Test Cell (NBV-220)</c:v>
                </c:pt>
              </c:strCache>
            </c:strRef>
          </c:tx>
          <c:spPr>
            <a:ln w="28575" cap="rnd">
              <a:solidFill>
                <a:schemeClr val="accent5"/>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'V&amp;V-Violence-Global'!$C$41:$L$41</c:f>
              <c:numCache>
                <c:formatCode>0.0000</c:formatCode>
                <c:ptCount val="10"/>
                <c:pt idx="0">
                  <c:v>7.97445709354064</c:v>
                </c:pt>
                <c:pt idx="1">
                  <c:v>7.60590120667885</c:v>
                </c:pt>
                <c:pt idx="2">
                  <c:v>3.60490615477121</c:v>
                </c:pt>
                <c:pt idx="3">
                  <c:v>3.60494257273159</c:v>
                </c:pt>
                <c:pt idx="4">
                  <c:v>5.98908951515771</c:v>
                </c:pt>
                <c:pt idx="5">
                  <c:v>0</c:v>
                </c:pt>
                <c:pt idx="6">
                  <c:v>0</c:v>
                </c:pt>
                <c:pt idx="7">
                  <c:v>0</c:v>
                </c:pt>
                <c:pt idx="8">
                  <c:v>0</c:v>
                </c:pt>
                <c:pt idx="9">
                  <c:v>0</c:v>
                </c:pt>
              </c:numCache>
            </c:numRef>
          </c:val>
        </c:ser>
        <c:ser>
          <c:idx val="5"/>
          <c:order val="5"/>
          <c:tx>
            <c:strRef>
              <c:f>'V&amp;V-Violence-Global'!$B$42</c:f>
              <c:strCache>
                <c:ptCount val="1"/>
                <c:pt idx="0">
                  <c:v>LG 18650-Test Cell (BV-250)</c:v>
                </c:pt>
              </c:strCache>
            </c:strRef>
          </c:tx>
          <c:spPr>
            <a:ln w="28575" cap="rnd">
              <a:solidFill>
                <a:schemeClr val="accent6"/>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'V&amp;V-Violence-Global'!$C$42:$L$42</c:f>
              <c:numCache>
                <c:formatCode>0.0000</c:formatCode>
                <c:ptCount val="10"/>
                <c:pt idx="0">
                  <c:v>3.3327429267671</c:v>
                </c:pt>
                <c:pt idx="1">
                  <c:v>4.38918257033807</c:v>
                </c:pt>
                <c:pt idx="2">
                  <c:v>1.18581638903301</c:v>
                </c:pt>
                <c:pt idx="3">
                  <c:v>1.18591595565937</c:v>
                </c:pt>
                <c:pt idx="4">
                  <c:v>6.05107576010762</c:v>
                </c:pt>
                <c:pt idx="5">
                  <c:v>0</c:v>
                </c:pt>
                <c:pt idx="6">
                  <c:v>0</c:v>
                </c:pt>
                <c:pt idx="7">
                  <c:v>0</c:v>
                </c:pt>
                <c:pt idx="8">
                  <c:v>0</c:v>
                </c:pt>
                <c:pt idx="9">
                  <c:v>0</c:v>
                </c:pt>
              </c:numCache>
            </c:numRef>
          </c:val>
        </c:ser>
        <c:ser>
          <c:idx val="6"/>
          <c:order val="6"/>
          <c:tx>
            <c:strRef>
              <c:f>'V&amp;V-Violence-Global'!$B$43</c:f>
              <c:strCache>
                <c:ptCount val="1"/>
                <c:pt idx="0">
                  <c:v>LG 18650-Test Cell (BV-220)</c:v>
                </c:pt>
              </c:strCache>
            </c:strRef>
          </c:tx>
          <c:spPr>
            <a:ln w="28575" cap="rnd">
              <a:solidFill>
                <a:schemeClr val="accent1">
                  <a:lumMod val="6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'V&amp;V-Violence-Global'!$C$43:$L$43</c:f>
              <c:numCache>
                <c:formatCode>0.0000</c:formatCode>
                <c:ptCount val="10"/>
                <c:pt idx="0">
                  <c:v>5.2249944459382</c:v>
                </c:pt>
                <c:pt idx="1">
                  <c:v>5.70051724275991</c:v>
                </c:pt>
                <c:pt idx="2">
                  <c:v>1.43202751539822</c:v>
                </c:pt>
                <c:pt idx="3">
                  <c:v>1.43212065485333</c:v>
                </c:pt>
                <c:pt idx="4">
                  <c:v>4.17482095183974</c:v>
                </c:pt>
                <c:pt idx="5">
                  <c:v>0</c:v>
                </c:pt>
                <c:pt idx="6">
                  <c:v>0</c:v>
                </c:pt>
                <c:pt idx="7">
                  <c:v>0</c:v>
                </c:pt>
                <c:pt idx="8">
                  <c:v>0</c:v>
                </c:pt>
                <c:pt idx="9">
                  <c:v>0</c:v>
                </c:pt>
              </c:numCache>
            </c:numRef>
          </c:val>
        </c:ser>
        <c:ser>
          <c:idx val="7"/>
          <c:order val="7"/>
          <c:tx>
            <c:strRef>
              <c:f>'V&amp;V-Violence-Global'!$B$44</c:f>
              <c:strCache>
                <c:ptCount val="1"/>
                <c:pt idx="0">
                  <c:v>LG 18650-MJ1 (Korean)</c:v>
                </c:pt>
              </c:strCache>
            </c:strRef>
          </c:tx>
          <c:spPr>
            <a:ln w="28575" cap="rnd">
              <a:solidFill>
                <a:schemeClr val="accent2">
                  <a:lumMod val="6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'V&amp;V-Violence-Global'!$C$44:$L$44</c:f>
              <c:numCache>
                <c:formatCode>0.0000</c:formatCode>
                <c:ptCount val="10"/>
                <c:pt idx="0">
                  <c:v>9.17045805880874</c:v>
                </c:pt>
                <c:pt idx="1">
                  <c:v>8.6498117891438</c:v>
                </c:pt>
                <c:pt idx="2">
                  <c:v>9.99999680280244</c:v>
                </c:pt>
                <c:pt idx="3">
                  <c:v>9.9998662813425</c:v>
                </c:pt>
                <c:pt idx="4">
                  <c:v>8.17513613504772</c:v>
                </c:pt>
                <c:pt idx="5">
                  <c:v>0</c:v>
                </c:pt>
                <c:pt idx="6">
                  <c:v>0</c:v>
                </c:pt>
                <c:pt idx="7">
                  <c:v>0</c:v>
                </c:pt>
                <c:pt idx="8">
                  <c:v>0</c:v>
                </c:pt>
                <c:pt idx="9">
                  <c:v>0</c:v>
                </c:pt>
              </c:numCache>
            </c:numRef>
          </c:val>
        </c:ser>
        <c:ser>
          <c:idx val="8"/>
          <c:order val="8"/>
          <c:tx>
            <c:strRef>
              <c:f>'V&amp;V-Violence-Global'!$B$45</c:f>
              <c:strCache>
                <c:ptCount val="1"/>
                <c:pt idx="0">
                  <c:v>LG 21700-M50 (BV)</c:v>
                </c:pt>
              </c:strCache>
            </c:strRef>
          </c:tx>
          <c:spPr>
            <a:ln w="28575" cap="rnd">
              <a:solidFill>
                <a:schemeClr val="accent3">
                  <a:lumMod val="6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'V&amp;V-Violence-Global'!$C$45:$L$45</c:f>
              <c:numCache>
                <c:formatCode>0.0000</c:formatCode>
                <c:ptCount val="10"/>
                <c:pt idx="0">
                  <c:v>4.99093753594864</c:v>
                </c:pt>
                <c:pt idx="1">
                  <c:v>9.98721191653929</c:v>
                </c:pt>
                <c:pt idx="2">
                  <c:v>7.7010216485344</c:v>
                </c:pt>
                <c:pt idx="3">
                  <c:v>5.82829455264083</c:v>
                </c:pt>
                <c:pt idx="4">
                  <c:v>7.42044249797754</c:v>
                </c:pt>
                <c:pt idx="5">
                  <c:v>0</c:v>
                </c:pt>
                <c:pt idx="6">
                  <c:v>0</c:v>
                </c:pt>
                <c:pt idx="7">
                  <c:v>0</c:v>
                </c:pt>
                <c:pt idx="8">
                  <c:v>0</c:v>
                </c:pt>
                <c:pt idx="9">
                  <c:v>0</c:v>
                </c:pt>
              </c:numCache>
            </c:numRef>
          </c:val>
        </c:ser>
        <c:ser>
          <c:idx val="9"/>
          <c:order val="9"/>
          <c:tx>
            <c:strRef>
              <c:f>'V&amp;V-Violence-Global'!$B$46</c:f>
              <c:strCache>
                <c:ptCount val="1"/>
                <c:pt idx="0">
                  <c:v>MOLiCEL 18650-J</c:v>
                </c:pt>
              </c:strCache>
            </c:strRef>
          </c:tx>
          <c:spPr>
            <a:ln w="28575" cap="rnd">
              <a:solidFill>
                <a:schemeClr val="accent4">
                  <a:lumMod val="6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'V&amp;V-Violence-Global'!$C$46:$L$46</c:f>
              <c:numCache>
                <c:formatCode>0.0000</c:formatCode>
                <c:ptCount val="10"/>
                <c:pt idx="0">
                  <c:v>1.14496143062525</c:v>
                </c:pt>
                <c:pt idx="1">
                  <c:v>0.771075080212181</c:v>
                </c:pt>
                <c:pt idx="2">
                  <c:v>0.393939862569956</c:v>
                </c:pt>
                <c:pt idx="3">
                  <c:v>0.394060100585595</c:v>
                </c:pt>
                <c:pt idx="4">
                  <c:v>0.014595037827279</c:v>
                </c:pt>
                <c:pt idx="5">
                  <c:v>0</c:v>
                </c:pt>
                <c:pt idx="6">
                  <c:v>0</c:v>
                </c:pt>
                <c:pt idx="7">
                  <c:v>0</c:v>
                </c:pt>
                <c:pt idx="8">
                  <c:v>0</c:v>
                </c:pt>
                <c:pt idx="9">
                  <c:v>0</c:v>
                </c:pt>
              </c:numCache>
            </c:numRef>
          </c:val>
        </c:ser>
        <c:ser>
          <c:idx val="10"/>
          <c:order val="10"/>
          <c:tx>
            <c:strRef>
              <c:f>'V&amp;V-Violence-Global'!$B$47</c:f>
              <c:strCache>
                <c:ptCount val="1"/>
                <c:pt idx="0">
                  <c:v>MOLiCEL 18650-Test Cell (DW-Gold)</c:v>
                </c:pt>
              </c:strCache>
            </c:strRef>
          </c:tx>
          <c:spPr>
            <a:ln w="28575" cap="rnd">
              <a:solidFill>
                <a:schemeClr val="accent5">
                  <a:lumMod val="6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'V&amp;V-Violence-Global'!$C$47:$L$47</c:f>
              <c:numCache>
                <c:formatCode>0.0000</c:formatCode>
                <c:ptCount val="10"/>
                <c:pt idx="0">
                  <c:v>3.54839111479785</c:v>
                </c:pt>
                <c:pt idx="1">
                  <c:v>1.94071209848274</c:v>
                </c:pt>
                <c:pt idx="2">
                  <c:v>0.161507623931322</c:v>
                </c:pt>
                <c:pt idx="3">
                  <c:v>0.161633929429866</c:v>
                </c:pt>
                <c:pt idx="4">
                  <c:v>0.288251997088754</c:v>
                </c:pt>
                <c:pt idx="5">
                  <c:v>0</c:v>
                </c:pt>
                <c:pt idx="6">
                  <c:v>0</c:v>
                </c:pt>
                <c:pt idx="7">
                  <c:v>0</c:v>
                </c:pt>
                <c:pt idx="8">
                  <c:v>0</c:v>
                </c:pt>
                <c:pt idx="9">
                  <c:v>0</c:v>
                </c:pt>
              </c:numCache>
            </c:numRef>
          </c:val>
        </c:ser>
        <c:ser>
          <c:idx val="11"/>
          <c:order val="11"/>
          <c:tx>
            <c:strRef>
              <c:f>'V&amp;V-Violence-Global'!$B$48</c:f>
              <c:strCache>
                <c:ptCount val="1"/>
                <c:pt idx="0">
                  <c:v>MOLiCEL 18650-Test Cell (DW-Silver)</c:v>
                </c:pt>
              </c:strCache>
            </c:strRef>
          </c:tx>
          <c:spPr>
            <a:ln w="28575" cap="rnd">
              <a:solidFill>
                <a:schemeClr val="accent6">
                  <a:lumMod val="6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'V&amp;V-Violence-Global'!$C$48:$L$48</c:f>
              <c:numCache>
                <c:formatCode>0.0000</c:formatCode>
                <c:ptCount val="10"/>
                <c:pt idx="0">
                  <c:v>2.93618585271929</c:v>
                </c:pt>
                <c:pt idx="1">
                  <c:v>1.64278037948026</c:v>
                </c:pt>
                <c:pt idx="2">
                  <c:v>0.368531337064145</c:v>
                </c:pt>
                <c:pt idx="3">
                  <c:v>0.368652238351778</c:v>
                </c:pt>
                <c:pt idx="4">
                  <c:v>0.227439339475094</c:v>
                </c:pt>
                <c:pt idx="5">
                  <c:v>0</c:v>
                </c:pt>
                <c:pt idx="6">
                  <c:v>0</c:v>
                </c:pt>
                <c:pt idx="7">
                  <c:v>0</c:v>
                </c:pt>
                <c:pt idx="8">
                  <c:v>0</c:v>
                </c:pt>
                <c:pt idx="9">
                  <c:v>0</c:v>
                </c:pt>
              </c:numCache>
            </c:numRef>
          </c:val>
        </c:ser>
        <c:ser>
          <c:idx val="12"/>
          <c:order val="12"/>
          <c:tx>
            <c:strRef>
              <c:f>'V&amp;V-Violence-Global'!$B$49</c:f>
              <c:strCache>
                <c:ptCount val="1"/>
                <c:pt idx="0">
                  <c:v>MOLiCEL 18650-M35A</c:v>
                </c:pt>
              </c:strCache>
            </c:strRef>
          </c:tx>
          <c:spPr>
            <a:ln w="28575" cap="rnd">
              <a:solidFill>
                <a:schemeClr val="accent1">
                  <a:lumMod val="80000"/>
                  <a:lumOff val="2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'V&amp;V-Violence-Global'!$C$49:$L$49</c:f>
              <c:numCache>
                <c:formatCode>0.0000</c:formatCode>
                <c:ptCount val="10"/>
                <c:pt idx="0">
                  <c:v>3.96189835476345</c:v>
                </c:pt>
                <c:pt idx="1">
                  <c:v>4.90659094393415</c:v>
                </c:pt>
                <c:pt idx="2">
                  <c:v>0.717233333452255</c:v>
                </c:pt>
                <c:pt idx="3">
                  <c:v>0.717345132115335</c:v>
                </c:pt>
                <c:pt idx="4">
                  <c:v>9.98540496217271</c:v>
                </c:pt>
                <c:pt idx="5">
                  <c:v>0</c:v>
                </c:pt>
                <c:pt idx="6">
                  <c:v>0</c:v>
                </c:pt>
                <c:pt idx="7">
                  <c:v>0</c:v>
                </c:pt>
                <c:pt idx="8">
                  <c:v>0</c:v>
                </c:pt>
                <c:pt idx="9">
                  <c:v>0</c:v>
                </c:pt>
              </c:numCache>
            </c:numRef>
          </c:val>
        </c:ser>
        <c:ser>
          <c:idx val="13"/>
          <c:order val="13"/>
          <c:tx>
            <c:strRef>
              <c:f>'V&amp;V-Violence-Global'!$B$50</c:f>
              <c:strCache>
                <c:ptCount val="1"/>
                <c:pt idx="0">
                  <c:v>MOLiCEL 18650-P28A</c:v>
                </c:pt>
              </c:strCache>
            </c:strRef>
          </c:tx>
          <c:spPr>
            <a:ln w="28575" cap="rnd">
              <a:solidFill>
                <a:schemeClr val="accent2">
                  <a:lumMod val="80000"/>
                  <a:lumOff val="2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'V&amp;V-Violence-Global'!$C$50:$L$50</c:f>
              <c:numCache>
                <c:formatCode>0.0000</c:formatCode>
                <c:ptCount val="10"/>
                <c:pt idx="0">
                  <c:v>7.13429604888252</c:v>
                </c:pt>
                <c:pt idx="1">
                  <c:v>4.86270162282462</c:v>
                </c:pt>
                <c:pt idx="2">
                  <c:v>0.711746865112303</c:v>
                </c:pt>
                <c:pt idx="3">
                  <c:v>0.177538119668998</c:v>
                </c:pt>
                <c:pt idx="4">
                  <c:v>5.37400312032184</c:v>
                </c:pt>
                <c:pt idx="5">
                  <c:v>0</c:v>
                </c:pt>
                <c:pt idx="6">
                  <c:v>0</c:v>
                </c:pt>
                <c:pt idx="7">
                  <c:v>0</c:v>
                </c:pt>
                <c:pt idx="8">
                  <c:v>0</c:v>
                </c:pt>
                <c:pt idx="9">
                  <c:v>0</c:v>
                </c:pt>
              </c:numCache>
            </c:numRef>
          </c:val>
        </c:ser>
        <c:ser>
          <c:idx val="14"/>
          <c:order val="14"/>
          <c:tx>
            <c:strRef>
              <c:f>'V&amp;V-Violence-Global'!$B$51</c:f>
              <c:strCache>
                <c:ptCount val="1"/>
                <c:pt idx="0">
                  <c:v>Panasonic 18650-BE</c:v>
                </c:pt>
              </c:strCache>
            </c:strRef>
          </c:tx>
          <c:spPr>
            <a:ln w="28575" cap="rnd">
              <a:solidFill>
                <a:schemeClr val="accent3">
                  <a:lumMod val="80000"/>
                  <a:lumOff val="2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'V&amp;V-Violence-Global'!$C$51:$L$51</c:f>
              <c:numCache>
                <c:formatCode>0.0000</c:formatCode>
                <c:ptCount val="10"/>
                <c:pt idx="0">
                  <c:v>3.43130967266261</c:v>
                </c:pt>
                <c:pt idx="1">
                  <c:v>3.78798916427608</c:v>
                </c:pt>
                <c:pt idx="2">
                  <c:v>0.751933473511802</c:v>
                </c:pt>
                <c:pt idx="3">
                  <c:v>0.736050046754875</c:v>
                </c:pt>
                <c:pt idx="4">
                  <c:v>4.69716967407919</c:v>
                </c:pt>
                <c:pt idx="5">
                  <c:v>0</c:v>
                </c:pt>
                <c:pt idx="6">
                  <c:v>0</c:v>
                </c:pt>
                <c:pt idx="7">
                  <c:v>0</c:v>
                </c:pt>
                <c:pt idx="8">
                  <c:v>0</c:v>
                </c:pt>
                <c:pt idx="9">
                  <c:v>0</c:v>
                </c:pt>
              </c:numCache>
            </c:numRef>
          </c:val>
        </c:ser>
        <c:ser>
          <c:idx val="15"/>
          <c:order val="15"/>
          <c:tx>
            <c:strRef>
              <c:f>'V&amp;V-Violence-Global'!$B$52</c:f>
              <c:strCache>
                <c:ptCount val="1"/>
                <c:pt idx="0">
                  <c:v>Saft D-Cell-VES16</c:v>
                </c:pt>
              </c:strCache>
            </c:strRef>
          </c:tx>
          <c:spPr>
            <a:ln w="28575" cap="rnd">
              <a:solidFill>
                <a:schemeClr val="accent4">
                  <a:lumMod val="80000"/>
                  <a:lumOff val="2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'V&amp;V-Violence-Global'!$C$52:$L$52</c:f>
              <c:numCache>
                <c:formatCode>0.0000</c:formatCode>
                <c:ptCount val="10"/>
                <c:pt idx="0">
                  <c:v>4.44416975658771</c:v>
                </c:pt>
                <c:pt idx="1">
                  <c:v>7.9381206744607</c:v>
                </c:pt>
                <c:pt idx="2">
                  <c:v>1.15038816875782</c:v>
                </c:pt>
                <c:pt idx="3">
                  <c:v>1.15048866021337</c:v>
                </c:pt>
                <c:pt idx="4">
                  <c:v>1.590876061188</c:v>
                </c:pt>
                <c:pt idx="5">
                  <c:v>0</c:v>
                </c:pt>
                <c:pt idx="6">
                  <c:v>0</c:v>
                </c:pt>
                <c:pt idx="7">
                  <c:v>0</c:v>
                </c:pt>
                <c:pt idx="8">
                  <c:v>0</c:v>
                </c:pt>
                <c:pt idx="9">
                  <c:v>0</c:v>
                </c:pt>
              </c:numCache>
            </c:numRef>
          </c:val>
        </c:ser>
        <c:ser>
          <c:idx val="16"/>
          <c:order val="16"/>
          <c:tx>
            <c:strRef>
              <c:f>'V&amp;V-Violence-Global'!$B$53</c:f>
              <c:strCache>
                <c:ptCount val="1"/>
                <c:pt idx="0">
                  <c:v>Samsung 18650-26J</c:v>
                </c:pt>
              </c:strCache>
            </c:strRef>
          </c:tx>
          <c:spPr>
            <a:ln w="28575" cap="rnd">
              <a:solidFill>
                <a:schemeClr val="accent5">
                  <a:lumMod val="80000"/>
                  <a:lumOff val="2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'V&amp;V-Violence-Global'!$C$53:$L$53</c:f>
              <c:numCache>
                <c:formatCode>0.0000</c:formatCode>
                <c:ptCount val="10"/>
                <c:pt idx="0">
                  <c:v>3.43577467374346</c:v>
                </c:pt>
                <c:pt idx="1">
                  <c:v>2.34915765488256</c:v>
                </c:pt>
                <c:pt idx="2">
                  <c:v>0.397536504765712</c:v>
                </c:pt>
                <c:pt idx="3">
                  <c:v>0.397656648893493</c:v>
                </c:pt>
                <c:pt idx="4">
                  <c:v>7.16233748573808</c:v>
                </c:pt>
                <c:pt idx="5">
                  <c:v>0</c:v>
                </c:pt>
                <c:pt idx="6">
                  <c:v>0</c:v>
                </c:pt>
                <c:pt idx="7">
                  <c:v>0</c:v>
                </c:pt>
                <c:pt idx="8">
                  <c:v>0</c:v>
                </c:pt>
                <c:pt idx="9">
                  <c:v>0</c:v>
                </c:pt>
              </c:numCache>
            </c:numRef>
          </c:val>
        </c:ser>
        <c:ser>
          <c:idx val="17"/>
          <c:order val="17"/>
          <c:tx>
            <c:strRef>
              <c:f>'V&amp;V-Violence-Global'!$B$54</c:f>
              <c:strCache>
                <c:ptCount val="1"/>
                <c:pt idx="0">
                  <c:v>Samsung 18650-30Q</c:v>
                </c:pt>
              </c:strCache>
            </c:strRef>
          </c:tx>
          <c:spPr>
            <a:ln w="28575" cap="rnd">
              <a:solidFill>
                <a:schemeClr val="accent6">
                  <a:lumMod val="80000"/>
                  <a:lumOff val="2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'V&amp;V-Violence-Global'!$C$54:$L$54</c:f>
              <c:numCache>
                <c:formatCode>0.0000</c:formatCode>
                <c:ptCount val="10"/>
                <c:pt idx="0">
                  <c:v>8.33347405879169</c:v>
                </c:pt>
                <c:pt idx="1">
                  <c:v>6.22780100542546</c:v>
                </c:pt>
                <c:pt idx="2">
                  <c:v>3.02385028387377</c:v>
                </c:pt>
                <c:pt idx="3">
                  <c:v>3.02390186989596</c:v>
                </c:pt>
                <c:pt idx="4">
                  <c:v>8.29198147714407</c:v>
                </c:pt>
                <c:pt idx="5">
                  <c:v>0</c:v>
                </c:pt>
                <c:pt idx="6">
                  <c:v>0</c:v>
                </c:pt>
                <c:pt idx="7">
                  <c:v>0</c:v>
                </c:pt>
                <c:pt idx="8">
                  <c:v>0</c:v>
                </c:pt>
                <c:pt idx="9">
                  <c:v>0</c:v>
                </c:pt>
              </c:numCache>
            </c:numRef>
          </c:val>
        </c:ser>
        <c:ser>
          <c:idx val="18"/>
          <c:order val="18"/>
          <c:tx>
            <c:strRef>
              <c:f>'V&amp;V-Violence-Global'!$B$55</c:f>
              <c:strCache>
                <c:ptCount val="1"/>
                <c:pt idx="0">
                  <c:v>Sanyo 18650-2.15</c:v>
                </c:pt>
              </c:strCache>
            </c:strRef>
          </c:tx>
          <c:spPr>
            <a:ln w="28575" cap="rnd">
              <a:solidFill>
                <a:schemeClr val="accent1">
                  <a:lumMod val="8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'V&amp;V-Violence-Global'!$C$55:$L$55</c:f>
              <c:numCache>
                <c:formatCode>0.0000</c:formatCode>
                <c:ptCount val="10"/>
                <c:pt idx="0">
                  <c:v>2.78259037347208</c:v>
                </c:pt>
                <c:pt idx="1">
                  <c:v>0.892800032785811</c:v>
                </c:pt>
                <c:pt idx="2">
                  <c:v>0.215481741026216</c:v>
                </c:pt>
                <c:pt idx="3">
                  <c:v>0.215606637567747</c:v>
                </c:pt>
                <c:pt idx="4">
                  <c:v>2.2242679579771</c:v>
                </c:pt>
                <c:pt idx="5">
                  <c:v>0</c:v>
                </c:pt>
                <c:pt idx="6">
                  <c:v>0</c:v>
                </c:pt>
                <c:pt idx="7">
                  <c:v>0</c:v>
                </c:pt>
                <c:pt idx="8">
                  <c:v>0</c:v>
                </c:pt>
                <c:pt idx="9">
                  <c:v>0</c:v>
                </c:pt>
              </c:numCache>
            </c:numRef>
          </c:val>
        </c:ser>
        <c:ser>
          <c:idx val="19"/>
          <c:order val="19"/>
          <c:tx>
            <c:strRef>
              <c:f>'V&amp;V-Violence-Global'!$B$56</c:f>
              <c:strCache>
                <c:ptCount val="1"/>
                <c:pt idx="0">
                  <c:v>Sony 18650-VTC6</c:v>
                </c:pt>
              </c:strCache>
            </c:strRef>
          </c:tx>
          <c:spPr>
            <a:ln w="28575" cap="rnd">
              <a:solidFill>
                <a:schemeClr val="accent2">
                  <a:lumMod val="8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'V&amp;V-Violence-Global'!$C$56:$L$56</c:f>
              <c:numCache>
                <c:formatCode>0.0000</c:formatCode>
                <c:ptCount val="10"/>
                <c:pt idx="0">
                  <c:v>4.58333213040511</c:v>
                </c:pt>
                <c:pt idx="1">
                  <c:v>4.33395970626417</c:v>
                </c:pt>
                <c:pt idx="2">
                  <c:v>0.645650472826463</c:v>
                </c:pt>
                <c:pt idx="3">
                  <c:v>0.645764140110633</c:v>
                </c:pt>
                <c:pt idx="4">
                  <c:v>8.44789331994342</c:v>
                </c:pt>
                <c:pt idx="5">
                  <c:v>0</c:v>
                </c:pt>
                <c:pt idx="6">
                  <c:v>0</c:v>
                </c:pt>
                <c:pt idx="7">
                  <c:v>0</c:v>
                </c:pt>
                <c:pt idx="8">
                  <c:v>0</c:v>
                </c:pt>
                <c:pt idx="9">
                  <c:v>0</c:v>
                </c:pt>
              </c:numCache>
            </c:numRef>
          </c:val>
        </c:ser>
        <c:ser>
          <c:idx val="20"/>
          <c:order val="20"/>
          <c:tx>
            <c:strRef>
              <c:f>'V&amp;V-Violence-Global'!$B$57</c:f>
              <c:strCache>
                <c:ptCount val="1"/>
                <c:pt idx="0">
                  <c:v>Sony 18650-VC7</c:v>
                </c:pt>
              </c:strCache>
            </c:strRef>
          </c:tx>
          <c:spPr>
            <a:ln w="28575" cap="rnd">
              <a:solidFill>
                <a:schemeClr val="accent3">
                  <a:lumMod val="8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'V&amp;V-Violence-Global'!$C$57:$L$57</c:f>
              <c:numCache>
                <c:formatCode>0.0000</c:formatCode>
                <c:ptCount val="10"/>
                <c:pt idx="0">
                  <c:v>5.35015462094641</c:v>
                </c:pt>
                <c:pt idx="1">
                  <c:v>5.95721580079926</c:v>
                </c:pt>
                <c:pt idx="2">
                  <c:v>1.63857193549029</c:v>
                </c:pt>
                <c:pt idx="3">
                  <c:v>1.6386596832461</c:v>
                </c:pt>
                <c:pt idx="4">
                  <c:v>7.25738255961432</c:v>
                </c:pt>
                <c:pt idx="5">
                  <c:v>0</c:v>
                </c:pt>
                <c:pt idx="6">
                  <c:v>0</c:v>
                </c:pt>
                <c:pt idx="7">
                  <c:v>0</c:v>
                </c:pt>
                <c:pt idx="8">
                  <c:v>0</c:v>
                </c:pt>
                <c:pt idx="9">
                  <c:v>0</c:v>
                </c:pt>
              </c:numCache>
            </c:numRef>
          </c:val>
        </c:ser>
        <c:ser>
          <c:idx val="21"/>
          <c:order val="21"/>
          <c:tx>
            <c:strRef>
              <c:f>'V&amp;V-Violence-Global'!$B$58</c:f>
              <c:strCache>
                <c:ptCount val="1"/>
                <c:pt idx="0">
                  <c:v>Soteria 18650 (Control)</c:v>
                </c:pt>
              </c:strCache>
            </c:strRef>
          </c:tx>
          <c:spPr>
            <a:ln w="28575" cap="rnd">
              <a:solidFill>
                <a:schemeClr val="accent4">
                  <a:lumMod val="8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'V&amp;V-Violence-Global'!$C$58:$L$58</c:f>
              <c:numCache>
                <c:formatCode>0.0000</c:formatCode>
                <c:ptCount val="10"/>
                <c:pt idx="0">
                  <c:v>4.34978621133549</c:v>
                </c:pt>
                <c:pt idx="1">
                  <c:v>1.51024581892029</c:v>
                </c:pt>
                <c:pt idx="2">
                  <c:v>0.292666729803094</c:v>
                </c:pt>
                <c:pt idx="3">
                  <c:v>0.292789611483852</c:v>
                </c:pt>
                <c:pt idx="4">
                  <c:v>6.86121547674475</c:v>
                </c:pt>
                <c:pt idx="5">
                  <c:v>0</c:v>
                </c:pt>
                <c:pt idx="6">
                  <c:v>0</c:v>
                </c:pt>
                <c:pt idx="7">
                  <c:v>0</c:v>
                </c:pt>
                <c:pt idx="8">
                  <c:v>0</c:v>
                </c:pt>
                <c:pt idx="9">
                  <c:v>0</c:v>
                </c:pt>
              </c:numCache>
            </c:numRef>
          </c:val>
        </c:ser>
        <c:ser>
          <c:idx val="22"/>
          <c:order val="22"/>
          <c:tx>
            <c:strRef>
              <c:f>'V&amp;V-Violence-Global'!$B$59</c:f>
              <c:strCache>
                <c:ptCount val="1"/>
                <c:pt idx="0">
                  <c:v>Soteria 18650 (AL)</c:v>
                </c:pt>
              </c:strCache>
            </c:strRef>
          </c:tx>
          <c:spPr>
            <a:ln w="28575" cap="rnd">
              <a:solidFill>
                <a:schemeClr val="accent5">
                  <a:lumMod val="8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'V&amp;V-Violence-Global'!$C$59:$L$59</c:f>
              <c:numCache>
                <c:formatCode>0.0000</c:formatCode>
                <c:ptCount val="10"/>
                <c:pt idx="0">
                  <c:v>2.47049574193932</c:v>
                </c:pt>
                <c:pt idx="1">
                  <c:v>0.710824575786646</c:v>
                </c:pt>
                <c:pt idx="2">
                  <c:v>1.86717836250734</c:v>
                </c:pt>
                <c:pt idx="3">
                  <c:v>1.86726014265042</c:v>
                </c:pt>
                <c:pt idx="4">
                  <c:v>6.6974734700383</c:v>
                </c:pt>
                <c:pt idx="5">
                  <c:v>0</c:v>
                </c:pt>
                <c:pt idx="6">
                  <c:v>0</c:v>
                </c:pt>
                <c:pt idx="7">
                  <c:v>0</c:v>
                </c:pt>
                <c:pt idx="8">
                  <c:v>0</c:v>
                </c:pt>
                <c:pt idx="9">
                  <c:v>0</c:v>
                </c:pt>
              </c:numCache>
            </c:numRef>
          </c:val>
        </c:ser>
        <c:ser>
          <c:idx val="23"/>
          <c:order val="23"/>
          <c:tx>
            <c:strRef>
              <c:f>'V&amp;V-Violence-Global'!$B$60</c:f>
              <c:strCache>
                <c:ptCount val="1"/>
                <c:pt idx="0">
                  <c:v>Soteria 18650 (CU)</c:v>
                </c:pt>
              </c:strCache>
            </c:strRef>
          </c:tx>
          <c:spPr>
            <a:ln w="28575" cap="rnd">
              <a:solidFill>
                <a:schemeClr val="accent6">
                  <a:lumMod val="8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'V&amp;V-Violence-Global'!$C$60:$L$60</c:f>
              <c:numCache>
                <c:formatCode>0.0000</c:formatCode>
                <c:ptCount val="10"/>
                <c:pt idx="0">
                  <c:v>3.40495112897272</c:v>
                </c:pt>
                <c:pt idx="1">
                  <c:v>1.1083275160294</c:v>
                </c:pt>
                <c:pt idx="2">
                  <c:v>0.242424165363439</c:v>
                </c:pt>
                <c:pt idx="3">
                  <c:v>0.242548358591609</c:v>
                </c:pt>
                <c:pt idx="4">
                  <c:v>3.42894259957988</c:v>
                </c:pt>
                <c:pt idx="5">
                  <c:v>0</c:v>
                </c:pt>
                <c:pt idx="6">
                  <c:v>0</c:v>
                </c:pt>
                <c:pt idx="7">
                  <c:v>0</c:v>
                </c:pt>
                <c:pt idx="8">
                  <c:v>0</c:v>
                </c:pt>
                <c:pt idx="9">
                  <c:v>0</c:v>
                </c:pt>
              </c:numCache>
            </c:numRef>
          </c:val>
        </c:ser>
        <c:ser>
          <c:idx val="24"/>
          <c:order val="24"/>
          <c:tx>
            <c:strRef>
              <c:f>'V&amp;V-Violence-Global'!$B$61</c:f>
              <c:strCache>
                <c:ptCount val="1"/>
                <c:pt idx="0">
                  <c:v>Soteria 18650 (ALCU)</c:v>
                </c:pt>
              </c:strCache>
            </c:strRef>
          </c:tx>
          <c:spPr>
            <a:ln w="28575" cap="rnd">
              <a:solidFill>
                <a:schemeClr val="accent1">
                  <a:lumMod val="60000"/>
                  <a:lumOff val="4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'V&amp;V-Violence-Global'!$C$61:$L$61</c:f>
              <c:numCache>
                <c:formatCode>0.0000</c:formatCode>
                <c:ptCount val="10"/>
                <c:pt idx="0">
                  <c:v>2.39142130870809</c:v>
                </c:pt>
                <c:pt idx="1">
                  <c:v>0.67718752885685</c:v>
                </c:pt>
                <c:pt idx="2">
                  <c:v>0.591251281374724</c:v>
                </c:pt>
                <c:pt idx="3">
                  <c:v>0.59136636871218</c:v>
                </c:pt>
                <c:pt idx="4">
                  <c:v>7.04202627887348</c:v>
                </c:pt>
                <c:pt idx="5">
                  <c:v>0</c:v>
                </c:pt>
                <c:pt idx="6">
                  <c:v>0</c:v>
                </c:pt>
                <c:pt idx="7">
                  <c:v>0</c:v>
                </c:pt>
                <c:pt idx="8">
                  <c:v>0</c:v>
                </c:pt>
                <c:pt idx="9">
                  <c:v>0</c:v>
                </c:pt>
              </c:numCache>
            </c:numRef>
          </c:val>
        </c:ser>
        <c:ser>
          <c:idx val="25"/>
          <c:order val="25"/>
          <c:tx>
            <c:strRef>
              <c:f>'V&amp;V-Violence-Global'!$B$62</c:f>
              <c:strCache>
                <c:ptCount val="1"/>
                <c:pt idx="0">
                  <c:v>Soteria 18650 (DW)</c:v>
                </c:pt>
              </c:strCache>
            </c:strRef>
          </c:tx>
          <c:spPr>
            <a:ln w="28575" cap="rnd">
              <a:solidFill>
                <a:schemeClr val="accent2">
                  <a:lumMod val="60000"/>
                  <a:lumOff val="4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'V&amp;V-Violence-Global'!$C$62:$L$62</c:f>
              <c:numCache>
                <c:formatCode>0.0000</c:formatCode>
                <c:ptCount val="10"/>
                <c:pt idx="0">
                  <c:v>2.11541171970803</c:v>
                </c:pt>
                <c:pt idx="1">
                  <c:v>0.559777297523038</c:v>
                </c:pt>
                <c:pt idx="2">
                  <c:v>0.173851598492367</c:v>
                </c:pt>
                <c:pt idx="3">
                  <c:v>0.173977581759989</c:v>
                </c:pt>
                <c:pt idx="4">
                  <c:v>7.58735958430523</c:v>
                </c:pt>
                <c:pt idx="5">
                  <c:v>0</c:v>
                </c:pt>
                <c:pt idx="6">
                  <c:v>0</c:v>
                </c:pt>
                <c:pt idx="7">
                  <c:v>0</c:v>
                </c:pt>
                <c:pt idx="8">
                  <c:v>0</c:v>
                </c:pt>
                <c:pt idx="9">
                  <c:v>0</c:v>
                </c:pt>
              </c:numCache>
            </c:numRef>
          </c:val>
        </c:ser>
        <c:ser>
          <c:idx val="26"/>
          <c:order val="26"/>
          <c:tx>
            <c:strRef>
              <c:f>'V&amp;V-Violence-Global'!$B$63</c:f>
              <c:strCache>
                <c:ptCount val="1"/>
                <c:pt idx="0">
                  <c:v>Soteria 18650 (ALDW)</c:v>
                </c:pt>
              </c:strCache>
            </c:strRef>
          </c:tx>
          <c:spPr>
            <a:ln w="28575" cap="rnd">
              <a:solidFill>
                <a:schemeClr val="accent3">
                  <a:lumMod val="60000"/>
                  <a:lumOff val="40000"/>
                </a:schemeClr>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'V&amp;V-Violence-Global'!$C$63:$L$63</c:f>
              <c:numCache>
                <c:formatCode>0.0000</c:formatCode>
                <c:ptCount val="10"/>
                <c:pt idx="0">
                  <c:v>0.829541941191261</c:v>
                </c:pt>
                <c:pt idx="1">
                  <c:v>0.0127880834607002</c:v>
                </c:pt>
                <c:pt idx="2">
                  <c:v>0.10547416796071</c:v>
                </c:pt>
                <c:pt idx="3">
                  <c:v>0.105601936173885</c:v>
                </c:pt>
                <c:pt idx="4">
                  <c:v>7.28520669053204</c:v>
                </c:pt>
                <c:pt idx="5">
                  <c:v>0</c:v>
                </c:pt>
                <c:pt idx="6">
                  <c:v>0</c:v>
                </c:pt>
                <c:pt idx="7">
                  <c:v>0</c:v>
                </c:pt>
                <c:pt idx="8">
                  <c:v>0</c:v>
                </c:pt>
                <c:pt idx="9">
                  <c:v>0</c:v>
                </c:pt>
              </c:numCache>
            </c:numRef>
          </c:val>
        </c:ser>
        <c:ser>
          <c:idx val="27"/>
          <c:order val="27"/>
          <c:tx>
            <c:strRef>
              <c:f>'V&amp;V-Violence-Global'!$B$64</c:f>
              <c:strCache>
                <c:ptCount val="1"/>
                <c:pt idx="0">
                  <c:v>Soteria 18650 (ALCUDW)</c:v>
                </c:pt>
              </c:strCache>
            </c:strRef>
          </c:tx>
          <c:spPr>
            <a:ln w="22225" cap="rnd">
              <a:solidFill>
                <a:schemeClr val="tx1"/>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'V&amp;V-Violence-Global'!$C$64:$L$64</c:f>
              <c:numCache>
                <c:formatCode>0.0000</c:formatCode>
                <c:ptCount val="10"/>
                <c:pt idx="0">
                  <c:v>0.82975209713417</c:v>
                </c:pt>
                <c:pt idx="1">
                  <c:v>0.0128774805644847</c:v>
                </c:pt>
                <c:pt idx="2">
                  <c:v>3.19719755464964e-6</c:v>
                </c:pt>
                <c:pt idx="3">
                  <c:v>0.000133718657507831</c:v>
                </c:pt>
                <c:pt idx="4">
                  <c:v>7.25173749600999</c:v>
                </c:pt>
                <c:pt idx="5">
                  <c:v>0</c:v>
                </c:pt>
                <c:pt idx="6">
                  <c:v>0</c:v>
                </c:pt>
                <c:pt idx="7">
                  <c:v>0</c:v>
                </c:pt>
                <c:pt idx="8">
                  <c:v>0</c:v>
                </c:pt>
                <c:pt idx="9">
                  <c:v>0</c:v>
                </c:pt>
              </c:numCache>
            </c:numRef>
          </c:val>
        </c:ser>
        <c:ser>
          <c:idx val="28"/>
          <c:order val="28"/>
          <c:tx>
            <c:strRef>
              <c:f>'V&amp;V-Violence-Global'!$B$65</c:f>
              <c:strCache>
                <c:ptCount val="1"/>
                <c:pt idx="0">
                  <c:v>Outer Band</c:v>
                </c:pt>
              </c:strCache>
            </c:strRef>
          </c:tx>
          <c:spPr>
            <a:ln w="12700" cap="rnd">
              <a:solidFill>
                <a:schemeClr val="tx1"/>
              </a:solidFill>
              <a:round/>
            </a:ln>
            <a:effectLst/>
          </c:spPr>
          <c:marker>
            <c:symbol val="none"/>
          </c:marker>
          <c:dLbls>
            <c:delete val="1"/>
          </c:dLbls>
          <c:cat>
            <c:strRef>
              <c:f>'V&amp;V-Violence-Global'!$C$36:$L$36</c:f>
              <c:strCache>
                <c:ptCount val="10"/>
                <c:pt idx="0" c:formatCode="0.0000">
                  <c:v>Max-Norm-Total-Energy</c:v>
                </c:pt>
                <c:pt idx="1" c:formatCode="0.0000">
                  <c:v>Max-Corrected-Total-Energy-Yield</c:v>
                </c:pt>
                <c:pt idx="2" c:formatCode="0.0000">
                  <c:v>Max-Abs-Overall-H-F</c:v>
                </c:pt>
                <c:pt idx="3" c:formatCode="0.0000">
                  <c:v>Absolute-Overall-H-Flux-Max</c:v>
                </c:pt>
                <c:pt idx="4" c:formatCode="0.0000">
                  <c:v>Max-Percent-Original-Mass-Ejected</c:v>
                </c:pt>
                <c:pt idx="5" c:formatCode="0.0000">
                  <c:v>Toxicity</c:v>
                </c:pt>
                <c:pt idx="6" c:formatCode="0.0000">
                  <c:v>Flammability</c:v>
                </c:pt>
                <c:pt idx="7" c:formatCode="0.0000">
                  <c:v>Vent-Pressure</c:v>
                </c:pt>
                <c:pt idx="8" c:formatCode="0.0000">
                  <c:v>Vent-Velocity</c:v>
                </c:pt>
                <c:pt idx="9" c:formatCode="0.0000">
                  <c:v>Off-Nominal-Failure-Propensity</c:v>
                </c:pt>
              </c:strCache>
            </c:strRef>
          </c:cat>
          <c:val>
            <c:numRef>
              <c:f>'V&amp;V-Violence-Global'!$C$65:$L$65</c:f>
              <c:numCache>
                <c:formatCode>0.0000</c:formatCode>
                <c:ptCount val="10"/>
                <c:pt idx="0">
                  <c:v>10</c:v>
                </c:pt>
                <c:pt idx="1">
                  <c:v>10</c:v>
                </c:pt>
                <c:pt idx="2">
                  <c:v>10</c:v>
                </c:pt>
                <c:pt idx="3">
                  <c:v>10</c:v>
                </c:pt>
                <c:pt idx="4">
                  <c:v>10</c:v>
                </c:pt>
                <c:pt idx="5">
                  <c:v>10</c:v>
                </c:pt>
                <c:pt idx="6">
                  <c:v>10</c:v>
                </c:pt>
                <c:pt idx="7">
                  <c:v>10</c:v>
                </c:pt>
                <c:pt idx="8">
                  <c:v>10</c:v>
                </c:pt>
                <c:pt idx="9">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00"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span"/>
    <c:showDLblsOverMax val="0"/>
    <c:extLst>
      <c:ext uri="{0b15fc19-7d7d-44ad-8c2d-2c3a37ce22c3}">
        <chartProps xmlns="https://web.wps.cn/et/2018/main" chartId="{650f752f-e67b-4a42-b308-27a81ff266c6}"/>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'V&amp;V-SD-Global'!$B$36</c:f>
              <c:strCache>
                <c:ptCount val="1"/>
                <c:pt idx="0">
                  <c:v>KULR 18650-K330</c:v>
                </c:pt>
              </c:strCache>
            </c:strRef>
          </c:tx>
          <c:spPr>
            <a:ln w="28575" cap="rnd">
              <a:solidFill>
                <a:schemeClr val="accent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'V&amp;V-SD-Global'!$C$36:$AG$36</c:f>
              <c:numCache>
                <c:formatCode>General</c:formatCode>
                <c:ptCount val="14"/>
                <c:pt idx="0">
                  <c:v>3.22847159759431</c:v>
                </c:pt>
                <c:pt idx="1">
                  <c:v>1.82165256118284</c:v>
                </c:pt>
                <c:pt idx="2">
                  <c:v>4.99511081347445</c:v>
                </c:pt>
                <c:pt idx="3">
                  <c:v>1.55587349515296</c:v>
                </c:pt>
                <c:pt idx="4">
                  <c:v>1.69967742411312</c:v>
                </c:pt>
                <c:pt idx="5">
                  <c:v>3.28490804048952</c:v>
                </c:pt>
                <c:pt idx="6">
                  <c:v>8.95356392662514</c:v>
                </c:pt>
                <c:pt idx="7">
                  <c:v>9.09765181096733</c:v>
                </c:pt>
                <c:pt idx="8">
                  <c:v>1.51013205167442</c:v>
                </c:pt>
                <c:pt idx="9">
                  <c:v>4.27820817970095</c:v>
                </c:pt>
                <c:pt idx="10">
                  <c:v>5.22547311441558</c:v>
                </c:pt>
                <c:pt idx="11">
                  <c:v>2.72934242641563</c:v>
                </c:pt>
                <c:pt idx="12">
                  <c:v>3.86769970008413</c:v>
                </c:pt>
                <c:pt idx="13">
                  <c:v>4.09541990958646</c:v>
                </c:pt>
              </c:numCache>
            </c:numRef>
          </c:val>
        </c:ser>
        <c:ser>
          <c:idx val="1"/>
          <c:order val="1"/>
          <c:tx>
            <c:strRef>
              <c:f>'V&amp;V-SD-Global'!$B$37</c:f>
              <c:strCache>
                <c:ptCount val="1"/>
                <c:pt idx="0">
                  <c:v>KULR 21700-K500</c:v>
                </c:pt>
              </c:strCache>
            </c:strRef>
          </c:tx>
          <c:spPr>
            <a:ln w="28575" cap="rnd">
              <a:solidFill>
                <a:schemeClr val="accent2"/>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'V&amp;V-SD-Global'!$C$37:$AG$37</c:f>
              <c:numCache>
                <c:formatCode>General</c:formatCode>
                <c:ptCount val="14"/>
                <c:pt idx="0">
                  <c:v>4.44162077552557</c:v>
                </c:pt>
                <c:pt idx="1">
                  <c:v>5.95918410896608</c:v>
                </c:pt>
                <c:pt idx="2">
                  <c:v>4.91712550461288</c:v>
                </c:pt>
                <c:pt idx="3">
                  <c:v>5.62797978891483</c:v>
                </c:pt>
                <c:pt idx="4">
                  <c:v>6.08936356628358</c:v>
                </c:pt>
                <c:pt idx="5">
                  <c:v>1.92318770921672</c:v>
                </c:pt>
                <c:pt idx="6">
                  <c:v>4.93937551417552</c:v>
                </c:pt>
                <c:pt idx="7">
                  <c:v>5.59524734081779</c:v>
                </c:pt>
                <c:pt idx="8">
                  <c:v>3.29023832168876</c:v>
                </c:pt>
                <c:pt idx="9">
                  <c:v>6.63684799529746</c:v>
                </c:pt>
                <c:pt idx="10">
                  <c:v>5.66459603471925</c:v>
                </c:pt>
                <c:pt idx="11">
                  <c:v>4.07595489731804</c:v>
                </c:pt>
                <c:pt idx="12">
                  <c:v>5.01365638792065</c:v>
                </c:pt>
                <c:pt idx="13">
                  <c:v>2.46764491977659</c:v>
                </c:pt>
              </c:numCache>
            </c:numRef>
          </c:val>
        </c:ser>
        <c:ser>
          <c:idx val="2"/>
          <c:order val="2"/>
          <c:tx>
            <c:strRef>
              <c:f>'V&amp;V-SD-Global'!$B$38</c:f>
              <c:strCache>
                <c:ptCount val="1"/>
                <c:pt idx="0">
                  <c:v>LG 18650-M36</c:v>
                </c:pt>
              </c:strCache>
            </c:strRef>
          </c:tx>
          <c:spPr>
            <a:ln w="28575" cap="rnd">
              <a:solidFill>
                <a:schemeClr val="accent3"/>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'V&amp;V-SD-Global'!$C$38:$AG$38</c:f>
              <c:numCache>
                <c:formatCode>General</c:formatCode>
                <c:ptCount val="14"/>
                <c:pt idx="0">
                  <c:v>5.95831605746779</c:v>
                </c:pt>
                <c:pt idx="1">
                  <c:v>5.15501960191289</c:v>
                </c:pt>
                <c:pt idx="2">
                  <c:v>5.47518937359857</c:v>
                </c:pt>
                <c:pt idx="3">
                  <c:v>5.27107303534842</c:v>
                </c:pt>
                <c:pt idx="4">
                  <c:v>6.40949776438623</c:v>
                </c:pt>
                <c:pt idx="5">
                  <c:v>4.90372093707405</c:v>
                </c:pt>
                <c:pt idx="6">
                  <c:v>8.61469926898706</c:v>
                </c:pt>
                <c:pt idx="7">
                  <c:v>5.26254876243739</c:v>
                </c:pt>
                <c:pt idx="8">
                  <c:v>7.57015231658846</c:v>
                </c:pt>
                <c:pt idx="9">
                  <c:v>1.63318514099631</c:v>
                </c:pt>
                <c:pt idx="10">
                  <c:v>8.91769329666375</c:v>
                </c:pt>
                <c:pt idx="11">
                  <c:v>3.54301962082517</c:v>
                </c:pt>
                <c:pt idx="12">
                  <c:v>9.75114268050956</c:v>
                </c:pt>
                <c:pt idx="13">
                  <c:v>6.1223644921191</c:v>
                </c:pt>
              </c:numCache>
            </c:numRef>
          </c:val>
        </c:ser>
        <c:ser>
          <c:idx val="3"/>
          <c:order val="3"/>
          <c:tx>
            <c:strRef>
              <c:f>'V&amp;V-SD-Global'!$B$39</c:f>
              <c:strCache>
                <c:ptCount val="1"/>
                <c:pt idx="0">
                  <c:v>LG 18650-Test Cell (NBV-250)</c:v>
                </c:pt>
              </c:strCache>
            </c:strRef>
          </c:tx>
          <c:spPr>
            <a:ln w="28575" cap="rnd">
              <a:solidFill>
                <a:schemeClr val="accent4"/>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'V&amp;V-SD-Global'!$C$39:$AG$39</c:f>
              <c:numCache>
                <c:formatCode>General</c:formatCode>
                <c:ptCount val="14"/>
                <c:pt idx="0">
                  <c:v>4.6974400137376</c:v>
                </c:pt>
                <c:pt idx="1">
                  <c:v>2.02603316747415</c:v>
                </c:pt>
                <c:pt idx="2">
                  <c:v>4.85213829094179</c:v>
                </c:pt>
                <c:pt idx="3">
                  <c:v>2.26473072878113</c:v>
                </c:pt>
                <c:pt idx="4">
                  <c:v>4.3012694395254</c:v>
                </c:pt>
                <c:pt idx="5">
                  <c:v>1.53881126080363</c:v>
                </c:pt>
                <c:pt idx="6">
                  <c:v>2.7936988502614</c:v>
                </c:pt>
                <c:pt idx="7">
                  <c:v>2.1914372604825</c:v>
                </c:pt>
                <c:pt idx="8">
                  <c:v>6.55346346220725</c:v>
                </c:pt>
                <c:pt idx="9">
                  <c:v>1.56689165823087</c:v>
                </c:pt>
                <c:pt idx="10">
                  <c:v>4.05447157465276</c:v>
                </c:pt>
                <c:pt idx="11">
                  <c:v>1.8269833465797</c:v>
                </c:pt>
                <c:pt idx="12">
                  <c:v>1.89090306384498</c:v>
                </c:pt>
                <c:pt idx="13">
                  <c:v>2.66295233282791</c:v>
                </c:pt>
              </c:numCache>
            </c:numRef>
          </c:val>
        </c:ser>
        <c:ser>
          <c:idx val="4"/>
          <c:order val="4"/>
          <c:tx>
            <c:strRef>
              <c:f>'V&amp;V-SD-Global'!$B$40</c:f>
              <c:strCache>
                <c:ptCount val="1"/>
                <c:pt idx="0">
                  <c:v>LG 18650-Test Cell (NBV-220)</c:v>
                </c:pt>
              </c:strCache>
            </c:strRef>
          </c:tx>
          <c:spPr>
            <a:ln w="28575" cap="rnd">
              <a:solidFill>
                <a:schemeClr val="accent5"/>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'V&amp;V-SD-Global'!$C$40:$AG$40</c:f>
              <c:numCache>
                <c:formatCode>General</c:formatCode>
                <c:ptCount val="14"/>
                <c:pt idx="0">
                  <c:v>7.64655858141125</c:v>
                </c:pt>
                <c:pt idx="1">
                  <c:v>6.13334236522578</c:v>
                </c:pt>
                <c:pt idx="2">
                  <c:v>4.94455843774655</c:v>
                </c:pt>
                <c:pt idx="3">
                  <c:v>5.85133960616968</c:v>
                </c:pt>
                <c:pt idx="4">
                  <c:v>9.23229761526018</c:v>
                </c:pt>
                <c:pt idx="5">
                  <c:v>3.25336892318262</c:v>
                </c:pt>
                <c:pt idx="6">
                  <c:v>3.55646127052112</c:v>
                </c:pt>
                <c:pt idx="7">
                  <c:v>1.32384896924797</c:v>
                </c:pt>
                <c:pt idx="8">
                  <c:v>9.8000829124304</c:v>
                </c:pt>
                <c:pt idx="9">
                  <c:v>1.23091845116521</c:v>
                </c:pt>
                <c:pt idx="10">
                  <c:v>2.34659218607834</c:v>
                </c:pt>
                <c:pt idx="11">
                  <c:v>4.7475501272912</c:v>
                </c:pt>
                <c:pt idx="12">
                  <c:v>1.6562823986649</c:v>
                </c:pt>
                <c:pt idx="13">
                  <c:v>4.43798643878721</c:v>
                </c:pt>
              </c:numCache>
            </c:numRef>
          </c:val>
        </c:ser>
        <c:ser>
          <c:idx val="5"/>
          <c:order val="5"/>
          <c:tx>
            <c:strRef>
              <c:f>'V&amp;V-SD-Global'!$B$41</c:f>
              <c:strCache>
                <c:ptCount val="1"/>
                <c:pt idx="0">
                  <c:v>LG 18650-Test Cell (BV-250)</c:v>
                </c:pt>
              </c:strCache>
            </c:strRef>
          </c:tx>
          <c:spPr>
            <a:ln w="28575" cap="rnd">
              <a:solidFill>
                <a:schemeClr val="accent6"/>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'V&amp;V-SD-Global'!$C$41:$AG$41</c:f>
              <c:numCache>
                <c:formatCode>General</c:formatCode>
                <c:ptCount val="14"/>
                <c:pt idx="0">
                  <c:v>3.88841608299717</c:v>
                </c:pt>
                <c:pt idx="1">
                  <c:v>2.64982458940175</c:v>
                </c:pt>
                <c:pt idx="2">
                  <c:v>4.71782971514032</c:v>
                </c:pt>
                <c:pt idx="3">
                  <c:v>2.75317746020182</c:v>
                </c:pt>
                <c:pt idx="4">
                  <c:v>2.9485534649786</c:v>
                </c:pt>
                <c:pt idx="5">
                  <c:v>2.02092289513438</c:v>
                </c:pt>
                <c:pt idx="6">
                  <c:v>5.42167365266596</c:v>
                </c:pt>
                <c:pt idx="7">
                  <c:v>4.99967658212512</c:v>
                </c:pt>
                <c:pt idx="8">
                  <c:v>1.4795331619192</c:v>
                </c:pt>
                <c:pt idx="9">
                  <c:v>2.11185877829306</c:v>
                </c:pt>
                <c:pt idx="10">
                  <c:v>9.80130967715828</c:v>
                </c:pt>
                <c:pt idx="11">
                  <c:v>9.70155761410283</c:v>
                </c:pt>
                <c:pt idx="12">
                  <c:v>9.79468479216177</c:v>
                </c:pt>
                <c:pt idx="13">
                  <c:v>3.25325914427892</c:v>
                </c:pt>
              </c:numCache>
            </c:numRef>
          </c:val>
        </c:ser>
        <c:ser>
          <c:idx val="6"/>
          <c:order val="6"/>
          <c:tx>
            <c:strRef>
              <c:f>'V&amp;V-SD-Global'!$B$42</c:f>
              <c:strCache>
                <c:ptCount val="1"/>
                <c:pt idx="0">
                  <c:v>LG 18650-Test Cell (BV-220)</c:v>
                </c:pt>
              </c:strCache>
            </c:strRef>
          </c:tx>
          <c:spPr>
            <a:ln w="28575" cap="rnd">
              <a:solidFill>
                <a:schemeClr val="accent1">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'V&amp;V-SD-Global'!$C$42:$AG$42</c:f>
              <c:numCache>
                <c:formatCode>General</c:formatCode>
                <c:ptCount val="14"/>
                <c:pt idx="0">
                  <c:v>4.04425214559513</c:v>
                </c:pt>
                <c:pt idx="1">
                  <c:v>2.31146297667609</c:v>
                </c:pt>
                <c:pt idx="2">
                  <c:v>5.34491391623576</c:v>
                </c:pt>
                <c:pt idx="3">
                  <c:v>1.95875209947309</c:v>
                </c:pt>
                <c:pt idx="4">
                  <c:v>3.20911674781475</c:v>
                </c:pt>
                <c:pt idx="5">
                  <c:v>1.4304543329126</c:v>
                </c:pt>
                <c:pt idx="6">
                  <c:v>7.59453556059431</c:v>
                </c:pt>
                <c:pt idx="7">
                  <c:v>6.36456474484181</c:v>
                </c:pt>
                <c:pt idx="8">
                  <c:v>5.89055158198509</c:v>
                </c:pt>
                <c:pt idx="9">
                  <c:v>7.65235285637336</c:v>
                </c:pt>
                <c:pt idx="10">
                  <c:v>2.72198637467235</c:v>
                </c:pt>
                <c:pt idx="11">
                  <c:v>2.58789289049574</c:v>
                </c:pt>
                <c:pt idx="12">
                  <c:v>2.80759966718175</c:v>
                </c:pt>
                <c:pt idx="13">
                  <c:v>1.79882817391425</c:v>
                </c:pt>
              </c:numCache>
            </c:numRef>
          </c:val>
        </c:ser>
        <c:ser>
          <c:idx val="7"/>
          <c:order val="7"/>
          <c:tx>
            <c:strRef>
              <c:f>'V&amp;V-SD-Global'!$B$43</c:f>
              <c:strCache>
                <c:ptCount val="1"/>
                <c:pt idx="0">
                  <c:v>LG 18650-MJ1 (Korean)</c:v>
                </c:pt>
              </c:strCache>
            </c:strRef>
          </c:tx>
          <c:spPr>
            <a:ln w="28575" cap="rnd">
              <a:solidFill>
                <a:schemeClr val="accent2">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'V&amp;V-SD-Global'!$C$43:$AG$43</c:f>
              <c:numCache>
                <c:formatCode>General</c:formatCode>
                <c:ptCount val="14"/>
                <c:pt idx="0">
                  <c:v>5.79461706841349</c:v>
                </c:pt>
                <c:pt idx="1">
                  <c:v>5.14013310542181</c:v>
                </c:pt>
                <c:pt idx="2">
                  <c:v>5.03182486144016</c:v>
                </c:pt>
                <c:pt idx="3">
                  <c:v>5.39819375744575</c:v>
                </c:pt>
                <c:pt idx="4">
                  <c:v>6.25987305297507</c:v>
                </c:pt>
                <c:pt idx="5">
                  <c:v>2.00552553968247</c:v>
                </c:pt>
                <c:pt idx="6">
                  <c:v>3.80366357035531</c:v>
                </c:pt>
                <c:pt idx="7">
                  <c:v>2.50013929223645</c:v>
                </c:pt>
                <c:pt idx="8">
                  <c:v>5.99812044001402</c:v>
                </c:pt>
                <c:pt idx="9">
                  <c:v>2.40916012046394</c:v>
                </c:pt>
                <c:pt idx="10">
                  <c:v>2.16780841542002</c:v>
                </c:pt>
                <c:pt idx="11">
                  <c:v>2.59339028447016</c:v>
                </c:pt>
                <c:pt idx="12">
                  <c:v>1.48782117823448</c:v>
                </c:pt>
                <c:pt idx="13">
                  <c:v>3.21984885207262</c:v>
                </c:pt>
              </c:numCache>
            </c:numRef>
          </c:val>
        </c:ser>
        <c:ser>
          <c:idx val="8"/>
          <c:order val="8"/>
          <c:tx>
            <c:strRef>
              <c:f>'V&amp;V-SD-Global'!$B$44</c:f>
              <c:strCache>
                <c:ptCount val="1"/>
                <c:pt idx="0">
                  <c:v>LG 21700-M50 (BV)</c:v>
                </c:pt>
              </c:strCache>
            </c:strRef>
          </c:tx>
          <c:spPr>
            <a:ln w="28575" cap="rnd">
              <a:solidFill>
                <a:schemeClr val="accent3">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'V&amp;V-SD-Global'!$C$44:$AG$44</c:f>
              <c:numCache>
                <c:formatCode>General</c:formatCode>
                <c:ptCount val="14"/>
                <c:pt idx="0">
                  <c:v>5.97742177227521</c:v>
                </c:pt>
                <c:pt idx="1">
                  <c:v>9.91394686525571</c:v>
                </c:pt>
                <c:pt idx="2">
                  <c:v>4.91426268140016</c:v>
                </c:pt>
                <c:pt idx="3">
                  <c:v>9.90723219622799</c:v>
                </c:pt>
                <c:pt idx="4">
                  <c:v>9.91246513331795</c:v>
                </c:pt>
                <c:pt idx="5">
                  <c:v>2.4767135097908</c:v>
                </c:pt>
                <c:pt idx="6">
                  <c:v>9.96022522095217</c:v>
                </c:pt>
                <c:pt idx="7">
                  <c:v>9.96699811746223</c:v>
                </c:pt>
                <c:pt idx="8">
                  <c:v>3.6831695949598</c:v>
                </c:pt>
                <c:pt idx="9">
                  <c:v>9.42169611841438</c:v>
                </c:pt>
                <c:pt idx="10">
                  <c:v>5.37954324012418</c:v>
                </c:pt>
                <c:pt idx="11">
                  <c:v>6.37892817488203</c:v>
                </c:pt>
                <c:pt idx="12">
                  <c:v>5.67343717973068</c:v>
                </c:pt>
                <c:pt idx="13">
                  <c:v>4.01829265309126</c:v>
                </c:pt>
              </c:numCache>
            </c:numRef>
          </c:val>
        </c:ser>
        <c:ser>
          <c:idx val="9"/>
          <c:order val="9"/>
          <c:tx>
            <c:strRef>
              <c:f>'V&amp;V-SD-Global'!$B$45</c:f>
              <c:strCache>
                <c:ptCount val="1"/>
                <c:pt idx="0">
                  <c:v>MOLiCEL 18650-J</c:v>
                </c:pt>
              </c:strCache>
            </c:strRef>
          </c:tx>
          <c:spPr>
            <a:ln w="28575" cap="rnd">
              <a:solidFill>
                <a:schemeClr val="accent4">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'V&amp;V-SD-Global'!$C$45:$AG$45</c:f>
              <c:numCache>
                <c:formatCode>General</c:formatCode>
                <c:ptCount val="14"/>
                <c:pt idx="0">
                  <c:v>3.03605139751827</c:v>
                </c:pt>
                <c:pt idx="1">
                  <c:v>0.745808971562198</c:v>
                </c:pt>
                <c:pt idx="2">
                  <c:v>4.86905833209971</c:v>
                </c:pt>
                <c:pt idx="3">
                  <c:v>0.849892768337129</c:v>
                </c:pt>
                <c:pt idx="4">
                  <c:v>0.728650814115532</c:v>
                </c:pt>
                <c:pt idx="5">
                  <c:v>2.40660119990036</c:v>
                </c:pt>
                <c:pt idx="6">
                  <c:v>1.5744934103117</c:v>
                </c:pt>
                <c:pt idx="7">
                  <c:v>0.160185413602816</c:v>
                </c:pt>
                <c:pt idx="8">
                  <c:v>0.789022982860686</c:v>
                </c:pt>
                <c:pt idx="9">
                  <c:v>0.57830388158562</c:v>
                </c:pt>
                <c:pt idx="10">
                  <c:v>3.1252222552505</c:v>
                </c:pt>
                <c:pt idx="11">
                  <c:v>4.67663189107014</c:v>
                </c:pt>
                <c:pt idx="12">
                  <c:v>2.3622540909323</c:v>
                </c:pt>
                <c:pt idx="13">
                  <c:v>0.0504082631535142</c:v>
                </c:pt>
              </c:numCache>
            </c:numRef>
          </c:val>
        </c:ser>
        <c:ser>
          <c:idx val="10"/>
          <c:order val="10"/>
          <c:tx>
            <c:strRef>
              <c:f>'V&amp;V-SD-Global'!$B$46</c:f>
              <c:strCache>
                <c:ptCount val="1"/>
                <c:pt idx="0">
                  <c:v>MOLiCEL 18650-Test Cell (DW-Gold)</c:v>
                </c:pt>
              </c:strCache>
            </c:strRef>
          </c:tx>
          <c:spPr>
            <a:ln w="28575" cap="rnd">
              <a:solidFill>
                <a:schemeClr val="accent5">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'V&amp;V-SD-Global'!$C$46:$AG$46</c:f>
              <c:numCache>
                <c:formatCode>General</c:formatCode>
                <c:ptCount val="14"/>
                <c:pt idx="0">
                  <c:v>3.64946907777865</c:v>
                </c:pt>
                <c:pt idx="1">
                  <c:v>0.964162262005963</c:v>
                </c:pt>
                <c:pt idx="2">
                  <c:v>4.52481062640143</c:v>
                </c:pt>
                <c:pt idx="3">
                  <c:v>0.950392913057509</c:v>
                </c:pt>
                <c:pt idx="4">
                  <c:v>1.44890624622825</c:v>
                </c:pt>
                <c:pt idx="5">
                  <c:v>3.57875389800118</c:v>
                </c:pt>
                <c:pt idx="6">
                  <c:v>2.60215545011191</c:v>
                </c:pt>
                <c:pt idx="7">
                  <c:v>0.0330018825377719</c:v>
                </c:pt>
                <c:pt idx="8">
                  <c:v>1.27920687546814</c:v>
                </c:pt>
                <c:pt idx="9">
                  <c:v>0.57830388158562</c:v>
                </c:pt>
                <c:pt idx="10">
                  <c:v>2.58638292146635</c:v>
                </c:pt>
                <c:pt idx="11">
                  <c:v>3.4612029460664</c:v>
                </c:pt>
                <c:pt idx="12">
                  <c:v>0.205315207838227</c:v>
                </c:pt>
                <c:pt idx="13">
                  <c:v>0.378813817118886</c:v>
                </c:pt>
              </c:numCache>
            </c:numRef>
          </c:val>
        </c:ser>
        <c:ser>
          <c:idx val="11"/>
          <c:order val="11"/>
          <c:tx>
            <c:strRef>
              <c:f>'V&amp;V-SD-Global'!$B$47</c:f>
              <c:strCache>
                <c:ptCount val="1"/>
                <c:pt idx="0">
                  <c:v>MOLiCEL 18650-Test Cell (DW-Silver)</c:v>
                </c:pt>
              </c:strCache>
            </c:strRef>
          </c:tx>
          <c:spPr>
            <a:ln w="28575" cap="rnd">
              <a:solidFill>
                <a:schemeClr val="accent6">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'V&amp;V-SD-Global'!$C$47:$AG$47</c:f>
              <c:numCache>
                <c:formatCode>General</c:formatCode>
                <c:ptCount val="14"/>
                <c:pt idx="0">
                  <c:v>3.17554936705003</c:v>
                </c:pt>
                <c:pt idx="1">
                  <c:v>1.33712052863225</c:v>
                </c:pt>
                <c:pt idx="2">
                  <c:v>4.6441389315384</c:v>
                </c:pt>
                <c:pt idx="3">
                  <c:v>0.396691383628514</c:v>
                </c:pt>
                <c:pt idx="4">
                  <c:v>0.892444870852369</c:v>
                </c:pt>
                <c:pt idx="5">
                  <c:v>2.50164700336588</c:v>
                </c:pt>
                <c:pt idx="6">
                  <c:v>1.70848608462232</c:v>
                </c:pt>
                <c:pt idx="7">
                  <c:v>0.0354208036436196</c:v>
                </c:pt>
                <c:pt idx="8">
                  <c:v>1.06481975572354</c:v>
                </c:pt>
                <c:pt idx="9">
                  <c:v>0.57830388158562</c:v>
                </c:pt>
                <c:pt idx="10">
                  <c:v>2.39087599877781</c:v>
                </c:pt>
                <c:pt idx="11">
                  <c:v>0.816745314438084</c:v>
                </c:pt>
                <c:pt idx="12">
                  <c:v>0.205315207838227</c:v>
                </c:pt>
                <c:pt idx="13">
                  <c:v>0.496092501164331</c:v>
                </c:pt>
              </c:numCache>
            </c:numRef>
          </c:val>
        </c:ser>
        <c:ser>
          <c:idx val="12"/>
          <c:order val="12"/>
          <c:tx>
            <c:strRef>
              <c:f>'V&amp;V-SD-Global'!$B$48</c:f>
              <c:strCache>
                <c:ptCount val="1"/>
                <c:pt idx="0">
                  <c:v>MOLiCEL 18650-M35A</c:v>
                </c:pt>
              </c:strCache>
            </c:strRef>
          </c:tx>
          <c:spPr>
            <a:ln w="28575" cap="rnd">
              <a:solidFill>
                <a:schemeClr val="accent1">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'V&amp;V-SD-Global'!$C$48:$AG$48</c:f>
              <c:numCache>
                <c:formatCode>General</c:formatCode>
                <c:ptCount val="14"/>
                <c:pt idx="0">
                  <c:v>3.20558099087988</c:v>
                </c:pt>
                <c:pt idx="1">
                  <c:v>1.51444701037329</c:v>
                </c:pt>
                <c:pt idx="2">
                  <c:v>4.76029390298077</c:v>
                </c:pt>
                <c:pt idx="3">
                  <c:v>1.60212329736002</c:v>
                </c:pt>
                <c:pt idx="4">
                  <c:v>1.83349975931679</c:v>
                </c:pt>
                <c:pt idx="5">
                  <c:v>4.50092021072775</c:v>
                </c:pt>
                <c:pt idx="6">
                  <c:v>8.61342127556122</c:v>
                </c:pt>
                <c:pt idx="7">
                  <c:v>4.91399391480405</c:v>
                </c:pt>
                <c:pt idx="8">
                  <c:v>3.23683178597156</c:v>
                </c:pt>
                <c:pt idx="9">
                  <c:v>1.7159469801117</c:v>
                </c:pt>
                <c:pt idx="10">
                  <c:v>0.198690322841729</c:v>
                </c:pt>
                <c:pt idx="11">
                  <c:v>0.298442385897169</c:v>
                </c:pt>
                <c:pt idx="12">
                  <c:v>0.205315207838227</c:v>
                </c:pt>
                <c:pt idx="13">
                  <c:v>4.72228069540465</c:v>
                </c:pt>
              </c:numCache>
            </c:numRef>
          </c:val>
        </c:ser>
        <c:ser>
          <c:idx val="13"/>
          <c:order val="13"/>
          <c:tx>
            <c:strRef>
              <c:f>'V&amp;V-SD-Global'!$B$49</c:f>
              <c:strCache>
                <c:ptCount val="1"/>
                <c:pt idx="0">
                  <c:v>MOLiCEL 18650-P28A</c:v>
                </c:pt>
              </c:strCache>
            </c:strRef>
          </c:tx>
          <c:spPr>
            <a:ln w="28575" cap="rnd">
              <a:solidFill>
                <a:schemeClr val="accent2">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'V&amp;V-SD-Global'!$C$49:$AG$49</c:f>
              <c:numCache>
                <c:formatCode>General</c:formatCode>
                <c:ptCount val="14"/>
                <c:pt idx="0">
                  <c:v>2.35344141858876</c:v>
                </c:pt>
                <c:pt idx="1">
                  <c:v>0.0860531347442972</c:v>
                </c:pt>
                <c:pt idx="2">
                  <c:v>4.6267564360063</c:v>
                </c:pt>
                <c:pt idx="3">
                  <c:v>0.0927678037720194</c:v>
                </c:pt>
                <c:pt idx="4">
                  <c:v>0.0875348666820457</c:v>
                </c:pt>
                <c:pt idx="5">
                  <c:v>0.434779800389753</c:v>
                </c:pt>
                <c:pt idx="6">
                  <c:v>0.0397747790478324</c:v>
                </c:pt>
                <c:pt idx="7">
                  <c:v>0.0515578103528895</c:v>
                </c:pt>
                <c:pt idx="8">
                  <c:v>0.309726787003158</c:v>
                </c:pt>
                <c:pt idx="9">
                  <c:v>0.57830388158562</c:v>
                </c:pt>
                <c:pt idx="10">
                  <c:v>0.198690322841729</c:v>
                </c:pt>
                <c:pt idx="11">
                  <c:v>0.298442385897169</c:v>
                </c:pt>
                <c:pt idx="12">
                  <c:v>0.205315207838227</c:v>
                </c:pt>
                <c:pt idx="13">
                  <c:v>1.59833955398653</c:v>
                </c:pt>
              </c:numCache>
            </c:numRef>
          </c:val>
        </c:ser>
        <c:ser>
          <c:idx val="14"/>
          <c:order val="14"/>
          <c:tx>
            <c:strRef>
              <c:f>'V&amp;V-SD-Global'!$B$50</c:f>
              <c:strCache>
                <c:ptCount val="1"/>
                <c:pt idx="0">
                  <c:v>Saft D-Cell-VES16</c:v>
                </c:pt>
              </c:strCache>
            </c:strRef>
          </c:tx>
          <c:spPr>
            <a:ln w="28575" cap="rnd">
              <a:solidFill>
                <a:schemeClr val="accent3">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'V&amp;V-SD-Global'!$C$50:$AG$50</c:f>
              <c:numCache>
                <c:formatCode>General</c:formatCode>
                <c:ptCount val="14"/>
                <c:pt idx="0">
                  <c:v>5.31660520216389</c:v>
                </c:pt>
                <c:pt idx="1">
                  <c:v>8.81836394150691</c:v>
                </c:pt>
                <c:pt idx="2">
                  <c:v>5.1106105697305</c:v>
                </c:pt>
                <c:pt idx="3">
                  <c:v>7.67721486168119</c:v>
                </c:pt>
                <c:pt idx="4">
                  <c:v>7.26386271738285</c:v>
                </c:pt>
                <c:pt idx="5">
                  <c:v>2.72929904437862</c:v>
                </c:pt>
                <c:pt idx="6">
                  <c:v>4.36024632298647</c:v>
                </c:pt>
                <c:pt idx="7">
                  <c:v>3.16517903732053</c:v>
                </c:pt>
                <c:pt idx="8">
                  <c:v>1.73406715773644</c:v>
                </c:pt>
                <c:pt idx="9">
                  <c:v>0.57830388158562</c:v>
                </c:pt>
                <c:pt idx="10">
                  <c:v>4.18180845697024</c:v>
                </c:pt>
                <c:pt idx="11">
                  <c:v>6.28127668933987</c:v>
                </c:pt>
                <c:pt idx="12">
                  <c:v>2.17791991859282</c:v>
                </c:pt>
                <c:pt idx="13">
                  <c:v>1.64816748513879</c:v>
                </c:pt>
              </c:numCache>
            </c:numRef>
          </c:val>
        </c:ser>
        <c:ser>
          <c:idx val="15"/>
          <c:order val="15"/>
          <c:tx>
            <c:strRef>
              <c:f>'V&amp;V-SD-Global'!$B$51</c:f>
              <c:strCache>
                <c:ptCount val="1"/>
                <c:pt idx="0">
                  <c:v>Samsung 18650-26J</c:v>
                </c:pt>
              </c:strCache>
            </c:strRef>
          </c:tx>
          <c:spPr>
            <a:ln w="28575" cap="rnd">
              <a:solidFill>
                <a:schemeClr val="accent4">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'V&amp;V-SD-Global'!$C$51:$AG$51</c:f>
              <c:numCache>
                <c:formatCode>General</c:formatCode>
                <c:ptCount val="14"/>
                <c:pt idx="0">
                  <c:v>5.31814692622896</c:v>
                </c:pt>
                <c:pt idx="1">
                  <c:v>3.73025229807246</c:v>
                </c:pt>
                <c:pt idx="2">
                  <c:v>4.57561727238451</c:v>
                </c:pt>
                <c:pt idx="3">
                  <c:v>3.64027922447432</c:v>
                </c:pt>
                <c:pt idx="4">
                  <c:v>3.75563282124018</c:v>
                </c:pt>
                <c:pt idx="5">
                  <c:v>4.58001285305087</c:v>
                </c:pt>
                <c:pt idx="6">
                  <c:v>3.37094525508995</c:v>
                </c:pt>
                <c:pt idx="7">
                  <c:v>0.269253086902368</c:v>
                </c:pt>
                <c:pt idx="8">
                  <c:v>0.693197600721835</c:v>
                </c:pt>
                <c:pt idx="9">
                  <c:v>0.57830388158562</c:v>
                </c:pt>
                <c:pt idx="10">
                  <c:v>0.198690322841729</c:v>
                </c:pt>
                <c:pt idx="11">
                  <c:v>0.298442385897169</c:v>
                </c:pt>
                <c:pt idx="12">
                  <c:v>0.205315207838227</c:v>
                </c:pt>
                <c:pt idx="13">
                  <c:v>9.40305733035928</c:v>
                </c:pt>
              </c:numCache>
            </c:numRef>
          </c:val>
        </c:ser>
        <c:ser>
          <c:idx val="16"/>
          <c:order val="16"/>
          <c:tx>
            <c:strRef>
              <c:f>'V&amp;V-SD-Global'!$B$52</c:f>
              <c:strCache>
                <c:ptCount val="1"/>
                <c:pt idx="0">
                  <c:v>Samsung 18650-30Q</c:v>
                </c:pt>
              </c:strCache>
            </c:strRef>
          </c:tx>
          <c:spPr>
            <a:ln w="28575" cap="rnd">
              <a:solidFill>
                <a:schemeClr val="accent5">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'V&amp;V-SD-Global'!$C$52:$AG$52</c:f>
              <c:numCache>
                <c:formatCode>General</c:formatCode>
                <c:ptCount val="14"/>
                <c:pt idx="0">
                  <c:v>5.10390373557316</c:v>
                </c:pt>
                <c:pt idx="1">
                  <c:v>2.26045246421317</c:v>
                </c:pt>
                <c:pt idx="2">
                  <c:v>4.85292146716282</c:v>
                </c:pt>
                <c:pt idx="3">
                  <c:v>1.9256093129261</c:v>
                </c:pt>
                <c:pt idx="4">
                  <c:v>4.15311194940263</c:v>
                </c:pt>
                <c:pt idx="5">
                  <c:v>0.0486700555873649</c:v>
                </c:pt>
                <c:pt idx="6">
                  <c:v>0.392103588015472</c:v>
                </c:pt>
                <c:pt idx="7">
                  <c:v>0.70127290590466</c:v>
                </c:pt>
                <c:pt idx="8">
                  <c:v>6.59117971689888</c:v>
                </c:pt>
                <c:pt idx="9">
                  <c:v>1.15122467199819</c:v>
                </c:pt>
                <c:pt idx="10">
                  <c:v>4.43805124118372</c:v>
                </c:pt>
                <c:pt idx="11">
                  <c:v>1.35875596469058</c:v>
                </c:pt>
                <c:pt idx="12">
                  <c:v>2.28186789437413</c:v>
                </c:pt>
                <c:pt idx="13">
                  <c:v>2.14565560274215</c:v>
                </c:pt>
              </c:numCache>
            </c:numRef>
          </c:val>
        </c:ser>
        <c:ser>
          <c:idx val="17"/>
          <c:order val="17"/>
          <c:tx>
            <c:strRef>
              <c:f>'V&amp;V-SD-Global'!$B$53</c:f>
              <c:strCache>
                <c:ptCount val="1"/>
                <c:pt idx="0">
                  <c:v>Sanyo 18650-2.15</c:v>
                </c:pt>
              </c:strCache>
            </c:strRef>
          </c:tx>
          <c:spPr>
            <a:ln w="28575" cap="rnd">
              <a:solidFill>
                <a:schemeClr val="accent6">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'V&amp;V-SD-Global'!$C$53:$AG$53</c:f>
              <c:numCache>
                <c:formatCode>General</c:formatCode>
                <c:ptCount val="14"/>
                <c:pt idx="0">
                  <c:v>4.59708698610617</c:v>
                </c:pt>
                <c:pt idx="1">
                  <c:v>1.77537558034266</c:v>
                </c:pt>
                <c:pt idx="2">
                  <c:v>4.65438816833142</c:v>
                </c:pt>
                <c:pt idx="3">
                  <c:v>2.25480798776197</c:v>
                </c:pt>
                <c:pt idx="4">
                  <c:v>2.12654870463681</c:v>
                </c:pt>
                <c:pt idx="5">
                  <c:v>2.39491754757463</c:v>
                </c:pt>
                <c:pt idx="6">
                  <c:v>1.52426480559082</c:v>
                </c:pt>
                <c:pt idx="7">
                  <c:v>0.317359802947748</c:v>
                </c:pt>
                <c:pt idx="8">
                  <c:v>0.199917087569601</c:v>
                </c:pt>
                <c:pt idx="9">
                  <c:v>0.57830388158562</c:v>
                </c:pt>
                <c:pt idx="10">
                  <c:v>0.198690322841729</c:v>
                </c:pt>
                <c:pt idx="11">
                  <c:v>0.298442385897169</c:v>
                </c:pt>
                <c:pt idx="12">
                  <c:v>0.205315207838227</c:v>
                </c:pt>
                <c:pt idx="13">
                  <c:v>1.03889165807251</c:v>
                </c:pt>
              </c:numCache>
            </c:numRef>
          </c:val>
        </c:ser>
        <c:ser>
          <c:idx val="18"/>
          <c:order val="18"/>
          <c:tx>
            <c:strRef>
              <c:f>'V&amp;V-SD-Global'!$B$54</c:f>
              <c:strCache>
                <c:ptCount val="1"/>
                <c:pt idx="0">
                  <c:v>Sony 18650-VTC6</c:v>
                </c:pt>
              </c:strCache>
            </c:strRef>
          </c:tx>
          <c:spPr>
            <a:ln w="28575" cap="rnd">
              <a:solidFill>
                <a:schemeClr val="accent1">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'V&amp;V-SD-Global'!$C$54:$AG$54</c:f>
              <c:numCache>
                <c:formatCode>General</c:formatCode>
                <c:ptCount val="14"/>
                <c:pt idx="0">
                  <c:v>3.44528529898131</c:v>
                </c:pt>
                <c:pt idx="1">
                  <c:v>1.32950526115163</c:v>
                </c:pt>
                <c:pt idx="2">
                  <c:v>4.63347231617908</c:v>
                </c:pt>
                <c:pt idx="3">
                  <c:v>2.02135512944027</c:v>
                </c:pt>
                <c:pt idx="4">
                  <c:v>1.88022676652109</c:v>
                </c:pt>
                <c:pt idx="5">
                  <c:v>2.84977457674086</c:v>
                </c:pt>
                <c:pt idx="6">
                  <c:v>1.99492341509611</c:v>
                </c:pt>
                <c:pt idx="7">
                  <c:v>0.0546468321022653</c:v>
                </c:pt>
                <c:pt idx="8">
                  <c:v>0.362499218141049</c:v>
                </c:pt>
                <c:pt idx="9">
                  <c:v>0.57830388158562</c:v>
                </c:pt>
                <c:pt idx="10">
                  <c:v>0.198690322841729</c:v>
                </c:pt>
                <c:pt idx="11">
                  <c:v>0.298442385897169</c:v>
                </c:pt>
                <c:pt idx="12">
                  <c:v>0.205315207838227</c:v>
                </c:pt>
                <c:pt idx="13">
                  <c:v>4.64676013258372</c:v>
                </c:pt>
              </c:numCache>
            </c:numRef>
          </c:val>
        </c:ser>
        <c:ser>
          <c:idx val="19"/>
          <c:order val="19"/>
          <c:tx>
            <c:strRef>
              <c:f>'V&amp;V-SD-Global'!$B$55</c:f>
              <c:strCache>
                <c:ptCount val="1"/>
                <c:pt idx="0">
                  <c:v>Sony 18650-VC7</c:v>
                </c:pt>
              </c:strCache>
            </c:strRef>
          </c:tx>
          <c:spPr>
            <a:ln w="28575" cap="rnd">
              <a:solidFill>
                <a:schemeClr val="accent2">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'V&amp;V-SD-Global'!$C$55:$AG$55</c:f>
              <c:numCache>
                <c:formatCode>General</c:formatCode>
                <c:ptCount val="14"/>
                <c:pt idx="0">
                  <c:v>4.32351851325751</c:v>
                </c:pt>
                <c:pt idx="1">
                  <c:v>3.45196427692873</c:v>
                </c:pt>
                <c:pt idx="2">
                  <c:v>5.11934734979717</c:v>
                </c:pt>
                <c:pt idx="3">
                  <c:v>3.45908158961722</c:v>
                </c:pt>
                <c:pt idx="4">
                  <c:v>3.7582280965617</c:v>
                </c:pt>
                <c:pt idx="5">
                  <c:v>1.92895600379906</c:v>
                </c:pt>
                <c:pt idx="6">
                  <c:v>7.32769144857267</c:v>
                </c:pt>
                <c:pt idx="7">
                  <c:v>5.80419671889153</c:v>
                </c:pt>
                <c:pt idx="8">
                  <c:v>4.42487279377858</c:v>
                </c:pt>
                <c:pt idx="9">
                  <c:v>4.24837830886022</c:v>
                </c:pt>
                <c:pt idx="10">
                  <c:v>2.57933555605626</c:v>
                </c:pt>
                <c:pt idx="11">
                  <c:v>5.77539240684898</c:v>
                </c:pt>
                <c:pt idx="12">
                  <c:v>2.86362369578877</c:v>
                </c:pt>
                <c:pt idx="13">
                  <c:v>3.53820651929665</c:v>
                </c:pt>
              </c:numCache>
            </c:numRef>
          </c:val>
        </c:ser>
        <c:ser>
          <c:idx val="20"/>
          <c:order val="20"/>
          <c:tx>
            <c:strRef>
              <c:f>'V&amp;V-SD-Global'!$B$56</c:f>
              <c:strCache>
                <c:ptCount val="1"/>
                <c:pt idx="0">
                  <c:v>Soteria 18650 (Control)</c:v>
                </c:pt>
              </c:strCache>
            </c:strRef>
          </c:tx>
          <c:spPr>
            <a:ln w="28575" cap="rnd">
              <a:solidFill>
                <a:schemeClr val="accent3">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'V&amp;V-SD-Global'!$C$56:$AG$56</c:f>
              <c:numCache>
                <c:formatCode>General</c:formatCode>
                <c:ptCount val="14"/>
                <c:pt idx="0">
                  <c:v>3.98003780017846</c:v>
                </c:pt>
                <c:pt idx="1">
                  <c:v>1.60319367141939</c:v>
                </c:pt>
                <c:pt idx="2">
                  <c:v>4.81948628478524</c:v>
                </c:pt>
                <c:pt idx="3">
                  <c:v>1.4043872637307</c:v>
                </c:pt>
                <c:pt idx="4">
                  <c:v>1.4615378464691</c:v>
                </c:pt>
                <c:pt idx="5">
                  <c:v>6.47863146612683</c:v>
                </c:pt>
                <c:pt idx="6">
                  <c:v>4.77471981042809</c:v>
                </c:pt>
                <c:pt idx="7">
                  <c:v>0.351204563846573</c:v>
                </c:pt>
                <c:pt idx="8">
                  <c:v>1.06434285055098</c:v>
                </c:pt>
                <c:pt idx="9">
                  <c:v>0.57830388158562</c:v>
                </c:pt>
                <c:pt idx="10">
                  <c:v>0.198690322841729</c:v>
                </c:pt>
                <c:pt idx="11">
                  <c:v>0.298442385897169</c:v>
                </c:pt>
                <c:pt idx="12">
                  <c:v>0.205315207838227</c:v>
                </c:pt>
                <c:pt idx="13">
                  <c:v>8.4023846542168</c:v>
                </c:pt>
              </c:numCache>
            </c:numRef>
          </c:val>
        </c:ser>
        <c:ser>
          <c:idx val="21"/>
          <c:order val="21"/>
          <c:tx>
            <c:strRef>
              <c:f>'V&amp;V-SD-Global'!$B$57</c:f>
              <c:strCache>
                <c:ptCount val="1"/>
                <c:pt idx="0">
                  <c:v>Soteria 18650 (AL)</c:v>
                </c:pt>
              </c:strCache>
            </c:strRef>
          </c:tx>
          <c:spPr>
            <a:ln w="28575" cap="rnd">
              <a:solidFill>
                <a:schemeClr val="accent4">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'V&amp;V-SD-Global'!$C$57:$AG$57</c:f>
              <c:numCache>
                <c:formatCode>General</c:formatCode>
                <c:ptCount val="14"/>
                <c:pt idx="0">
                  <c:v>5.73617832839681</c:v>
                </c:pt>
                <c:pt idx="1">
                  <c:v>2.47322553836343</c:v>
                </c:pt>
                <c:pt idx="2">
                  <c:v>4.87005509039861</c:v>
                </c:pt>
                <c:pt idx="3">
                  <c:v>3.39639313003975</c:v>
                </c:pt>
                <c:pt idx="4">
                  <c:v>3.26393962748614</c:v>
                </c:pt>
                <c:pt idx="5">
                  <c:v>6.78246600376143</c:v>
                </c:pt>
                <c:pt idx="6">
                  <c:v>5.00180513453425</c:v>
                </c:pt>
                <c:pt idx="7">
                  <c:v>0.383259093043652</c:v>
                </c:pt>
                <c:pt idx="8">
                  <c:v>0.262583070853877</c:v>
                </c:pt>
                <c:pt idx="9">
                  <c:v>0.57830388158562</c:v>
                </c:pt>
                <c:pt idx="10">
                  <c:v>1.58025854441087</c:v>
                </c:pt>
                <c:pt idx="11">
                  <c:v>2.90600256661917</c:v>
                </c:pt>
                <c:pt idx="12">
                  <c:v>0.205315207838227</c:v>
                </c:pt>
                <c:pt idx="13">
                  <c:v>7.68630789797404</c:v>
                </c:pt>
              </c:numCache>
            </c:numRef>
          </c:val>
        </c:ser>
        <c:ser>
          <c:idx val="22"/>
          <c:order val="22"/>
          <c:tx>
            <c:strRef>
              <c:f>'V&amp;V-SD-Global'!$B$58</c:f>
              <c:strCache>
                <c:ptCount val="1"/>
                <c:pt idx="0">
                  <c:v>Soteria 18650 (CU)</c:v>
                </c:pt>
              </c:strCache>
            </c:strRef>
          </c:tx>
          <c:spPr>
            <a:ln w="28575" cap="rnd">
              <a:solidFill>
                <a:schemeClr val="accent5">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'V&amp;V-SD-Global'!$C$58:$AG$58</c:f>
              <c:numCache>
                <c:formatCode>General</c:formatCode>
                <c:ptCount val="14"/>
                <c:pt idx="0">
                  <c:v>3.90492889560356</c:v>
                </c:pt>
                <c:pt idx="1">
                  <c:v>1.43495514328049</c:v>
                </c:pt>
                <c:pt idx="2">
                  <c:v>4.88014916177774</c:v>
                </c:pt>
                <c:pt idx="3">
                  <c:v>1.77426360640664</c:v>
                </c:pt>
                <c:pt idx="4">
                  <c:v>1.38445038040316</c:v>
                </c:pt>
                <c:pt idx="5">
                  <c:v>3.33047601667709</c:v>
                </c:pt>
                <c:pt idx="6">
                  <c:v>2.25645526628466</c:v>
                </c:pt>
                <c:pt idx="7">
                  <c:v>0.334374617723086</c:v>
                </c:pt>
                <c:pt idx="8">
                  <c:v>0.399158847928444</c:v>
                </c:pt>
                <c:pt idx="9">
                  <c:v>0.57830388158562</c:v>
                </c:pt>
                <c:pt idx="10">
                  <c:v>0.198690322841729</c:v>
                </c:pt>
                <c:pt idx="11">
                  <c:v>0.298442385897169</c:v>
                </c:pt>
                <c:pt idx="12">
                  <c:v>0.205315207838227</c:v>
                </c:pt>
                <c:pt idx="13">
                  <c:v>2.25214148280899</c:v>
                </c:pt>
              </c:numCache>
            </c:numRef>
          </c:val>
        </c:ser>
        <c:ser>
          <c:idx val="23"/>
          <c:order val="23"/>
          <c:tx>
            <c:strRef>
              <c:f>'V&amp;V-SD-Global'!$B$59</c:f>
              <c:strCache>
                <c:ptCount val="1"/>
                <c:pt idx="0">
                  <c:v>Soteria 18650 (ALCU)</c:v>
                </c:pt>
              </c:strCache>
            </c:strRef>
          </c:tx>
          <c:spPr>
            <a:ln w="28575" cap="rnd">
              <a:solidFill>
                <a:schemeClr val="accent6">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'V&amp;V-SD-Global'!$C$59:$AG$59</c:f>
              <c:numCache>
                <c:formatCode>General</c:formatCode>
                <c:ptCount val="14"/>
                <c:pt idx="0">
                  <c:v>5.93921644197103</c:v>
                </c:pt>
                <c:pt idx="1">
                  <c:v>2.32369527661086</c:v>
                </c:pt>
                <c:pt idx="2">
                  <c:v>4.7530437693836</c:v>
                </c:pt>
                <c:pt idx="3">
                  <c:v>3.74739399652967</c:v>
                </c:pt>
                <c:pt idx="4">
                  <c:v>3.47232628654914</c:v>
                </c:pt>
                <c:pt idx="5">
                  <c:v>5.96673111644372</c:v>
                </c:pt>
                <c:pt idx="6">
                  <c:v>4.42938683457141</c:v>
                </c:pt>
                <c:pt idx="7">
                  <c:v>0.55160179509073</c:v>
                </c:pt>
                <c:pt idx="8">
                  <c:v>0.285878916385418</c:v>
                </c:pt>
                <c:pt idx="9">
                  <c:v>0.57830388158562</c:v>
                </c:pt>
                <c:pt idx="10">
                  <c:v>3.76458026271434</c:v>
                </c:pt>
                <c:pt idx="11">
                  <c:v>3.83438792220369</c:v>
                </c:pt>
                <c:pt idx="12">
                  <c:v>0.205315207838227</c:v>
                </c:pt>
                <c:pt idx="13">
                  <c:v>6.59110095949631</c:v>
                </c:pt>
              </c:numCache>
            </c:numRef>
          </c:val>
        </c:ser>
        <c:ser>
          <c:idx val="24"/>
          <c:order val="24"/>
          <c:tx>
            <c:strRef>
              <c:f>'V&amp;V-SD-Global'!$B$60</c:f>
              <c:strCache>
                <c:ptCount val="1"/>
                <c:pt idx="0">
                  <c:v>Soteria 18650 (DW)</c:v>
                </c:pt>
              </c:strCache>
            </c:strRef>
          </c:tx>
          <c:spPr>
            <a:ln w="28575" cap="rnd">
              <a:solidFill>
                <a:schemeClr val="accent1">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'V&amp;V-SD-Global'!$C$60:$AG$60</c:f>
              <c:numCache>
                <c:formatCode>General</c:formatCode>
                <c:ptCount val="14"/>
                <c:pt idx="0">
                  <c:v>5.32484974653374</c:v>
                </c:pt>
                <c:pt idx="1">
                  <c:v>3.27319046207095</c:v>
                </c:pt>
                <c:pt idx="2">
                  <c:v>4.93621498459563</c:v>
                </c:pt>
                <c:pt idx="3">
                  <c:v>2.99686365285766</c:v>
                </c:pt>
                <c:pt idx="4">
                  <c:v>2.84177559412978</c:v>
                </c:pt>
                <c:pt idx="5">
                  <c:v>6.71046412335398</c:v>
                </c:pt>
                <c:pt idx="6">
                  <c:v>5.00342891295831</c:v>
                </c:pt>
                <c:pt idx="7">
                  <c:v>0.27483221753589</c:v>
                </c:pt>
                <c:pt idx="8">
                  <c:v>0.759982406157873</c:v>
                </c:pt>
                <c:pt idx="9">
                  <c:v>0.57830388158562</c:v>
                </c:pt>
                <c:pt idx="10">
                  <c:v>0.198690322841729</c:v>
                </c:pt>
                <c:pt idx="11">
                  <c:v>0.298442385897169</c:v>
                </c:pt>
                <c:pt idx="12">
                  <c:v>0.205315207838227</c:v>
                </c:pt>
                <c:pt idx="13">
                  <c:v>9.12462293175381</c:v>
                </c:pt>
              </c:numCache>
            </c:numRef>
          </c:val>
        </c:ser>
        <c:ser>
          <c:idx val="25"/>
          <c:order val="25"/>
          <c:tx>
            <c:strRef>
              <c:f>'V&amp;V-SD-Global'!$B$61</c:f>
              <c:strCache>
                <c:ptCount val="1"/>
                <c:pt idx="0">
                  <c:v>Soteria 18650 (ALDW)</c:v>
                </c:pt>
              </c:strCache>
            </c:strRef>
          </c:tx>
          <c:spPr>
            <a:ln w="28575" cap="rnd">
              <a:solidFill>
                <a:schemeClr val="accent2">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'V&amp;V-SD-Global'!$C$61:$AG$61</c:f>
              <c:numCache>
                <c:formatCode>General</c:formatCode>
                <c:ptCount val="14"/>
                <c:pt idx="0">
                  <c:v>3.65174276777314</c:v>
                </c:pt>
                <c:pt idx="1">
                  <c:v>2.44187381198824</c:v>
                </c:pt>
                <c:pt idx="2">
                  <c:v>4.85982207163111</c:v>
                </c:pt>
                <c:pt idx="3">
                  <c:v>1.52793860632282</c:v>
                </c:pt>
                <c:pt idx="4">
                  <c:v>1.12459467956507</c:v>
                </c:pt>
                <c:pt idx="5">
                  <c:v>9.50464889552712</c:v>
                </c:pt>
                <c:pt idx="6">
                  <c:v>7.07151736527626</c:v>
                </c:pt>
                <c:pt idx="7">
                  <c:v>0.556634068187209</c:v>
                </c:pt>
                <c:pt idx="8">
                  <c:v>0.287056641076199</c:v>
                </c:pt>
                <c:pt idx="9">
                  <c:v>0.57830388158562</c:v>
                </c:pt>
                <c:pt idx="10">
                  <c:v>0.198690322841729</c:v>
                </c:pt>
                <c:pt idx="11">
                  <c:v>0.298442385897169</c:v>
                </c:pt>
                <c:pt idx="12">
                  <c:v>0.205315207838227</c:v>
                </c:pt>
                <c:pt idx="13">
                  <c:v>9.44972268604156</c:v>
                </c:pt>
              </c:numCache>
            </c:numRef>
          </c:val>
        </c:ser>
        <c:ser>
          <c:idx val="26"/>
          <c:order val="26"/>
          <c:tx>
            <c:strRef>
              <c:f>'V&amp;V-SD-Global'!$B$62</c:f>
              <c:strCache>
                <c:ptCount val="1"/>
                <c:pt idx="0">
                  <c:v>Soteria 18650 (ALCUDW)</c:v>
                </c:pt>
              </c:strCache>
            </c:strRef>
          </c:tx>
          <c:spPr>
            <a:ln w="28575" cap="rnd">
              <a:solidFill>
                <a:schemeClr val="accent3">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'V&amp;V-SD-Global'!$C$62:$AG$62</c:f>
              <c:numCache>
                <c:formatCode>General</c:formatCode>
                <c:ptCount val="14"/>
                <c:pt idx="0">
                  <c:v>4.93170807238291</c:v>
                </c:pt>
                <c:pt idx="1">
                  <c:v>3.17442384684166</c:v>
                </c:pt>
                <c:pt idx="2">
                  <c:v>4.94896274968678</c:v>
                </c:pt>
                <c:pt idx="3">
                  <c:v>2.82219348462172</c:v>
                </c:pt>
                <c:pt idx="4">
                  <c:v>2.4382775583545</c:v>
                </c:pt>
                <c:pt idx="5">
                  <c:v>9.95132994441263</c:v>
                </c:pt>
                <c:pt idx="6">
                  <c:v>7.60849706214814</c:v>
                </c:pt>
                <c:pt idx="7">
                  <c:v>0.274221692006015</c:v>
                </c:pt>
                <c:pt idx="8">
                  <c:v>0.555901052015177</c:v>
                </c:pt>
                <c:pt idx="9">
                  <c:v>0.57830388158562</c:v>
                </c:pt>
                <c:pt idx="10">
                  <c:v>2.6569061597283</c:v>
                </c:pt>
                <c:pt idx="11">
                  <c:v>2.68453717403266</c:v>
                </c:pt>
                <c:pt idx="12">
                  <c:v>0.205315207838227</c:v>
                </c:pt>
                <c:pt idx="13">
                  <c:v>9.94959173684649</c:v>
                </c:pt>
              </c:numCache>
            </c:numRef>
          </c:val>
        </c:ser>
        <c:ser>
          <c:idx val="27"/>
          <c:order val="27"/>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939c08c-a32c-41b9-9712-87e75a114788}"/>
      </c:ext>
    </c:extLst>
  </c:chart>
  <c:spPr>
    <a:no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'V&amp;V-SD-Global'!$B$36</c:f>
              <c:strCache>
                <c:ptCount val="1"/>
                <c:pt idx="0">
                  <c:v>KULR 18650-K330</c:v>
                </c:pt>
              </c:strCache>
            </c:strRef>
          </c:tx>
          <c:spPr>
            <a:ln w="28575" cap="rnd">
              <a:solidFill>
                <a:schemeClr val="accent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'V&amp;V-SD-Global'!$C$36:$AG$36</c:f>
              <c:numCache>
                <c:formatCode>General</c:formatCode>
                <c:ptCount val="14"/>
                <c:pt idx="0">
                  <c:v>3.22847159759431</c:v>
                </c:pt>
                <c:pt idx="1">
                  <c:v>1.82165256118284</c:v>
                </c:pt>
                <c:pt idx="2">
                  <c:v>4.99511081347445</c:v>
                </c:pt>
                <c:pt idx="3">
                  <c:v>1.55587349515296</c:v>
                </c:pt>
                <c:pt idx="4">
                  <c:v>1.69967742411312</c:v>
                </c:pt>
                <c:pt idx="5">
                  <c:v>3.28490804048952</c:v>
                </c:pt>
                <c:pt idx="6">
                  <c:v>8.95356392662514</c:v>
                </c:pt>
                <c:pt idx="7">
                  <c:v>9.09765181096733</c:v>
                </c:pt>
                <c:pt idx="8">
                  <c:v>1.51013205167442</c:v>
                </c:pt>
                <c:pt idx="9">
                  <c:v>4.27820817970095</c:v>
                </c:pt>
                <c:pt idx="10">
                  <c:v>5.22547311441558</c:v>
                </c:pt>
                <c:pt idx="11">
                  <c:v>2.72934242641563</c:v>
                </c:pt>
                <c:pt idx="12">
                  <c:v>3.86769970008413</c:v>
                </c:pt>
                <c:pt idx="13">
                  <c:v>4.09541990958646</c:v>
                </c:pt>
              </c:numCache>
            </c:numRef>
          </c:val>
        </c:ser>
        <c:ser>
          <c:idx val="2"/>
          <c:order val="1"/>
          <c:tx>
            <c:strRef>
              <c:f>'V&amp;V-SD-Global'!$B$38</c:f>
              <c:strCache>
                <c:ptCount val="1"/>
                <c:pt idx="0">
                  <c:v>LG 18650-M36</c:v>
                </c:pt>
              </c:strCache>
            </c:strRef>
          </c:tx>
          <c:spPr>
            <a:ln w="28575" cap="rnd">
              <a:solidFill>
                <a:schemeClr val="accent3"/>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'V&amp;V-SD-Global'!$C$38:$AG$38</c:f>
              <c:numCache>
                <c:formatCode>General</c:formatCode>
                <c:ptCount val="14"/>
                <c:pt idx="0">
                  <c:v>5.95831605746779</c:v>
                </c:pt>
                <c:pt idx="1">
                  <c:v>5.15501960191289</c:v>
                </c:pt>
                <c:pt idx="2">
                  <c:v>5.47518937359857</c:v>
                </c:pt>
                <c:pt idx="3">
                  <c:v>5.27107303534842</c:v>
                </c:pt>
                <c:pt idx="4">
                  <c:v>6.40949776438623</c:v>
                </c:pt>
                <c:pt idx="5">
                  <c:v>4.90372093707405</c:v>
                </c:pt>
                <c:pt idx="6">
                  <c:v>8.61469926898706</c:v>
                </c:pt>
                <c:pt idx="7">
                  <c:v>5.26254876243739</c:v>
                </c:pt>
                <c:pt idx="8">
                  <c:v>7.57015231658846</c:v>
                </c:pt>
                <c:pt idx="9">
                  <c:v>1.63318514099631</c:v>
                </c:pt>
                <c:pt idx="10">
                  <c:v>8.91769329666375</c:v>
                </c:pt>
                <c:pt idx="11">
                  <c:v>3.54301962082517</c:v>
                </c:pt>
                <c:pt idx="12">
                  <c:v>9.75114268050956</c:v>
                </c:pt>
                <c:pt idx="13">
                  <c:v>6.1223644921191</c:v>
                </c:pt>
              </c:numCache>
            </c:numRef>
          </c:val>
        </c:ser>
        <c:ser>
          <c:idx val="3"/>
          <c:order val="2"/>
          <c:tx>
            <c:strRef>
              <c:f>'V&amp;V-SD-Global'!$B$39</c:f>
              <c:strCache>
                <c:ptCount val="1"/>
                <c:pt idx="0">
                  <c:v>LG 18650-Test Cell (NBV-250)</c:v>
                </c:pt>
              </c:strCache>
            </c:strRef>
          </c:tx>
          <c:spPr>
            <a:ln w="28575" cap="rnd">
              <a:solidFill>
                <a:schemeClr val="accent4"/>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'V&amp;V-SD-Global'!$C$39:$AG$39</c:f>
              <c:numCache>
                <c:formatCode>General</c:formatCode>
                <c:ptCount val="14"/>
                <c:pt idx="0">
                  <c:v>4.6974400137376</c:v>
                </c:pt>
                <c:pt idx="1">
                  <c:v>2.02603316747415</c:v>
                </c:pt>
                <c:pt idx="2">
                  <c:v>4.85213829094179</c:v>
                </c:pt>
                <c:pt idx="3">
                  <c:v>2.26473072878113</c:v>
                </c:pt>
                <c:pt idx="4">
                  <c:v>4.3012694395254</c:v>
                </c:pt>
                <c:pt idx="5">
                  <c:v>1.53881126080363</c:v>
                </c:pt>
                <c:pt idx="6">
                  <c:v>2.7936988502614</c:v>
                </c:pt>
                <c:pt idx="7">
                  <c:v>2.1914372604825</c:v>
                </c:pt>
                <c:pt idx="8">
                  <c:v>6.55346346220725</c:v>
                </c:pt>
                <c:pt idx="9">
                  <c:v>1.56689165823087</c:v>
                </c:pt>
                <c:pt idx="10">
                  <c:v>4.05447157465276</c:v>
                </c:pt>
                <c:pt idx="11">
                  <c:v>1.8269833465797</c:v>
                </c:pt>
                <c:pt idx="12">
                  <c:v>1.89090306384498</c:v>
                </c:pt>
                <c:pt idx="13">
                  <c:v>2.66295233282791</c:v>
                </c:pt>
              </c:numCache>
            </c:numRef>
          </c:val>
        </c:ser>
        <c:ser>
          <c:idx val="4"/>
          <c:order val="3"/>
          <c:tx>
            <c:strRef>
              <c:f>'V&amp;V-SD-Global'!$B$40</c:f>
              <c:strCache>
                <c:ptCount val="1"/>
                <c:pt idx="0">
                  <c:v>LG 18650-Test Cell (NBV-220)</c:v>
                </c:pt>
              </c:strCache>
            </c:strRef>
          </c:tx>
          <c:spPr>
            <a:ln w="28575" cap="rnd">
              <a:solidFill>
                <a:schemeClr val="accent5"/>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'V&amp;V-SD-Global'!$C$40:$AG$40</c:f>
              <c:numCache>
                <c:formatCode>General</c:formatCode>
                <c:ptCount val="14"/>
                <c:pt idx="0">
                  <c:v>7.64655858141125</c:v>
                </c:pt>
                <c:pt idx="1">
                  <c:v>6.13334236522578</c:v>
                </c:pt>
                <c:pt idx="2">
                  <c:v>4.94455843774655</c:v>
                </c:pt>
                <c:pt idx="3">
                  <c:v>5.85133960616968</c:v>
                </c:pt>
                <c:pt idx="4">
                  <c:v>9.23229761526018</c:v>
                </c:pt>
                <c:pt idx="5">
                  <c:v>3.25336892318262</c:v>
                </c:pt>
                <c:pt idx="6">
                  <c:v>3.55646127052112</c:v>
                </c:pt>
                <c:pt idx="7">
                  <c:v>1.32384896924797</c:v>
                </c:pt>
                <c:pt idx="8">
                  <c:v>9.8000829124304</c:v>
                </c:pt>
                <c:pt idx="9">
                  <c:v>1.23091845116521</c:v>
                </c:pt>
                <c:pt idx="10">
                  <c:v>2.34659218607834</c:v>
                </c:pt>
                <c:pt idx="11">
                  <c:v>4.7475501272912</c:v>
                </c:pt>
                <c:pt idx="12">
                  <c:v>1.6562823986649</c:v>
                </c:pt>
                <c:pt idx="13">
                  <c:v>4.43798643878721</c:v>
                </c:pt>
              </c:numCache>
            </c:numRef>
          </c:val>
        </c:ser>
        <c:ser>
          <c:idx val="5"/>
          <c:order val="4"/>
          <c:tx>
            <c:strRef>
              <c:f>'V&amp;V-SD-Global'!$B$41</c:f>
              <c:strCache>
                <c:ptCount val="1"/>
                <c:pt idx="0">
                  <c:v>LG 18650-Test Cell (BV-250)</c:v>
                </c:pt>
              </c:strCache>
            </c:strRef>
          </c:tx>
          <c:spPr>
            <a:ln w="28575" cap="rnd">
              <a:solidFill>
                <a:schemeClr val="accent6"/>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'V&amp;V-SD-Global'!$C$41:$AG$41</c:f>
              <c:numCache>
                <c:formatCode>General</c:formatCode>
                <c:ptCount val="14"/>
                <c:pt idx="0">
                  <c:v>3.88841608299717</c:v>
                </c:pt>
                <c:pt idx="1">
                  <c:v>2.64982458940175</c:v>
                </c:pt>
                <c:pt idx="2">
                  <c:v>4.71782971514032</c:v>
                </c:pt>
                <c:pt idx="3">
                  <c:v>2.75317746020182</c:v>
                </c:pt>
                <c:pt idx="4">
                  <c:v>2.9485534649786</c:v>
                </c:pt>
                <c:pt idx="5">
                  <c:v>2.02092289513438</c:v>
                </c:pt>
                <c:pt idx="6">
                  <c:v>5.42167365266596</c:v>
                </c:pt>
                <c:pt idx="7">
                  <c:v>4.99967658212512</c:v>
                </c:pt>
                <c:pt idx="8">
                  <c:v>1.4795331619192</c:v>
                </c:pt>
                <c:pt idx="9">
                  <c:v>2.11185877829306</c:v>
                </c:pt>
                <c:pt idx="10">
                  <c:v>9.80130967715828</c:v>
                </c:pt>
                <c:pt idx="11">
                  <c:v>9.70155761410283</c:v>
                </c:pt>
                <c:pt idx="12">
                  <c:v>9.79468479216177</c:v>
                </c:pt>
                <c:pt idx="13">
                  <c:v>3.25325914427892</c:v>
                </c:pt>
              </c:numCache>
            </c:numRef>
          </c:val>
        </c:ser>
        <c:ser>
          <c:idx val="6"/>
          <c:order val="5"/>
          <c:tx>
            <c:strRef>
              <c:f>'V&amp;V-SD-Global'!$B$42</c:f>
              <c:strCache>
                <c:ptCount val="1"/>
                <c:pt idx="0">
                  <c:v>LG 18650-Test Cell (BV-220)</c:v>
                </c:pt>
              </c:strCache>
            </c:strRef>
          </c:tx>
          <c:spPr>
            <a:ln w="28575" cap="rnd">
              <a:solidFill>
                <a:schemeClr val="accent1">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'V&amp;V-SD-Global'!$C$42:$AG$42</c:f>
              <c:numCache>
                <c:formatCode>General</c:formatCode>
                <c:ptCount val="14"/>
                <c:pt idx="0">
                  <c:v>4.04425214559513</c:v>
                </c:pt>
                <c:pt idx="1">
                  <c:v>2.31146297667609</c:v>
                </c:pt>
                <c:pt idx="2">
                  <c:v>5.34491391623576</c:v>
                </c:pt>
                <c:pt idx="3">
                  <c:v>1.95875209947309</c:v>
                </c:pt>
                <c:pt idx="4">
                  <c:v>3.20911674781475</c:v>
                </c:pt>
                <c:pt idx="5">
                  <c:v>1.4304543329126</c:v>
                </c:pt>
                <c:pt idx="6">
                  <c:v>7.59453556059431</c:v>
                </c:pt>
                <c:pt idx="7">
                  <c:v>6.36456474484181</c:v>
                </c:pt>
                <c:pt idx="8">
                  <c:v>5.89055158198509</c:v>
                </c:pt>
                <c:pt idx="9">
                  <c:v>7.65235285637336</c:v>
                </c:pt>
                <c:pt idx="10">
                  <c:v>2.72198637467235</c:v>
                </c:pt>
                <c:pt idx="11">
                  <c:v>2.58789289049574</c:v>
                </c:pt>
                <c:pt idx="12">
                  <c:v>2.80759966718175</c:v>
                </c:pt>
                <c:pt idx="13">
                  <c:v>1.79882817391425</c:v>
                </c:pt>
              </c:numCache>
            </c:numRef>
          </c:val>
        </c:ser>
        <c:ser>
          <c:idx val="7"/>
          <c:order val="6"/>
          <c:tx>
            <c:strRef>
              <c:f>'V&amp;V-SD-Global'!$B$43</c:f>
              <c:strCache>
                <c:ptCount val="1"/>
                <c:pt idx="0">
                  <c:v>LG 18650-MJ1 (Korean)</c:v>
                </c:pt>
              </c:strCache>
            </c:strRef>
          </c:tx>
          <c:spPr>
            <a:ln w="28575" cap="rnd">
              <a:solidFill>
                <a:schemeClr val="accent2">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'V&amp;V-SD-Global'!$C$43:$AG$43</c:f>
              <c:numCache>
                <c:formatCode>General</c:formatCode>
                <c:ptCount val="14"/>
                <c:pt idx="0">
                  <c:v>5.79461706841349</c:v>
                </c:pt>
                <c:pt idx="1">
                  <c:v>5.14013310542181</c:v>
                </c:pt>
                <c:pt idx="2">
                  <c:v>5.03182486144016</c:v>
                </c:pt>
                <c:pt idx="3">
                  <c:v>5.39819375744575</c:v>
                </c:pt>
                <c:pt idx="4">
                  <c:v>6.25987305297507</c:v>
                </c:pt>
                <c:pt idx="5">
                  <c:v>2.00552553968247</c:v>
                </c:pt>
                <c:pt idx="6">
                  <c:v>3.80366357035531</c:v>
                </c:pt>
                <c:pt idx="7">
                  <c:v>2.50013929223645</c:v>
                </c:pt>
                <c:pt idx="8">
                  <c:v>5.99812044001402</c:v>
                </c:pt>
                <c:pt idx="9">
                  <c:v>2.40916012046394</c:v>
                </c:pt>
                <c:pt idx="10">
                  <c:v>2.16780841542002</c:v>
                </c:pt>
                <c:pt idx="11">
                  <c:v>2.59339028447016</c:v>
                </c:pt>
                <c:pt idx="12">
                  <c:v>1.48782117823448</c:v>
                </c:pt>
                <c:pt idx="13">
                  <c:v>3.21984885207262</c:v>
                </c:pt>
              </c:numCache>
            </c:numRef>
          </c:val>
        </c:ser>
        <c:ser>
          <c:idx val="9"/>
          <c:order val="7"/>
          <c:tx>
            <c:strRef>
              <c:f>'V&amp;V-SD-Global'!$B$45</c:f>
              <c:strCache>
                <c:ptCount val="1"/>
                <c:pt idx="0">
                  <c:v>MOLiCEL 18650-J</c:v>
                </c:pt>
              </c:strCache>
            </c:strRef>
          </c:tx>
          <c:spPr>
            <a:ln w="28575" cap="rnd">
              <a:solidFill>
                <a:schemeClr val="accent4">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'V&amp;V-SD-Global'!$C$45:$AG$45</c:f>
              <c:numCache>
                <c:formatCode>General</c:formatCode>
                <c:ptCount val="14"/>
                <c:pt idx="0">
                  <c:v>3.03605139751827</c:v>
                </c:pt>
                <c:pt idx="1">
                  <c:v>0.745808971562198</c:v>
                </c:pt>
                <c:pt idx="2">
                  <c:v>4.86905833209971</c:v>
                </c:pt>
                <c:pt idx="3">
                  <c:v>0.849892768337129</c:v>
                </c:pt>
                <c:pt idx="4">
                  <c:v>0.728650814115532</c:v>
                </c:pt>
                <c:pt idx="5">
                  <c:v>2.40660119990036</c:v>
                </c:pt>
                <c:pt idx="6">
                  <c:v>1.5744934103117</c:v>
                </c:pt>
                <c:pt idx="7">
                  <c:v>0.160185413602816</c:v>
                </c:pt>
                <c:pt idx="8">
                  <c:v>0.789022982860686</c:v>
                </c:pt>
                <c:pt idx="9">
                  <c:v>0.57830388158562</c:v>
                </c:pt>
                <c:pt idx="10">
                  <c:v>3.1252222552505</c:v>
                </c:pt>
                <c:pt idx="11">
                  <c:v>4.67663189107014</c:v>
                </c:pt>
                <c:pt idx="12">
                  <c:v>2.3622540909323</c:v>
                </c:pt>
                <c:pt idx="13">
                  <c:v>0.0504082631535142</c:v>
                </c:pt>
              </c:numCache>
            </c:numRef>
          </c:val>
        </c:ser>
        <c:ser>
          <c:idx val="10"/>
          <c:order val="8"/>
          <c:tx>
            <c:strRef>
              <c:f>'V&amp;V-SD-Global'!$B$46</c:f>
              <c:strCache>
                <c:ptCount val="1"/>
                <c:pt idx="0">
                  <c:v>MOLiCEL 18650-Test Cell (DW-Gold)</c:v>
                </c:pt>
              </c:strCache>
            </c:strRef>
          </c:tx>
          <c:spPr>
            <a:ln w="28575" cap="rnd">
              <a:solidFill>
                <a:schemeClr val="accent5">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'V&amp;V-SD-Global'!$C$46:$AG$46</c:f>
              <c:numCache>
                <c:formatCode>General</c:formatCode>
                <c:ptCount val="14"/>
                <c:pt idx="0">
                  <c:v>3.64946907777865</c:v>
                </c:pt>
                <c:pt idx="1">
                  <c:v>0.964162262005963</c:v>
                </c:pt>
                <c:pt idx="2">
                  <c:v>4.52481062640143</c:v>
                </c:pt>
                <c:pt idx="3">
                  <c:v>0.950392913057509</c:v>
                </c:pt>
                <c:pt idx="4">
                  <c:v>1.44890624622825</c:v>
                </c:pt>
                <c:pt idx="5">
                  <c:v>3.57875389800118</c:v>
                </c:pt>
                <c:pt idx="6">
                  <c:v>2.60215545011191</c:v>
                </c:pt>
                <c:pt idx="7">
                  <c:v>0.0330018825377719</c:v>
                </c:pt>
                <c:pt idx="8">
                  <c:v>1.27920687546814</c:v>
                </c:pt>
                <c:pt idx="9">
                  <c:v>0.57830388158562</c:v>
                </c:pt>
                <c:pt idx="10">
                  <c:v>2.58638292146635</c:v>
                </c:pt>
                <c:pt idx="11">
                  <c:v>3.4612029460664</c:v>
                </c:pt>
                <c:pt idx="12">
                  <c:v>0.205315207838227</c:v>
                </c:pt>
                <c:pt idx="13">
                  <c:v>0.378813817118886</c:v>
                </c:pt>
              </c:numCache>
            </c:numRef>
          </c:val>
        </c:ser>
        <c:ser>
          <c:idx val="11"/>
          <c:order val="9"/>
          <c:tx>
            <c:strRef>
              <c:f>'V&amp;V-SD-Global'!$B$47</c:f>
              <c:strCache>
                <c:ptCount val="1"/>
                <c:pt idx="0">
                  <c:v>MOLiCEL 18650-Test Cell (DW-Silver)</c:v>
                </c:pt>
              </c:strCache>
            </c:strRef>
          </c:tx>
          <c:spPr>
            <a:ln w="28575" cap="rnd">
              <a:solidFill>
                <a:schemeClr val="accent6">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'V&amp;V-SD-Global'!$C$47:$AG$47</c:f>
              <c:numCache>
                <c:formatCode>General</c:formatCode>
                <c:ptCount val="14"/>
                <c:pt idx="0">
                  <c:v>3.17554936705003</c:v>
                </c:pt>
                <c:pt idx="1">
                  <c:v>1.33712052863225</c:v>
                </c:pt>
                <c:pt idx="2">
                  <c:v>4.6441389315384</c:v>
                </c:pt>
                <c:pt idx="3">
                  <c:v>0.396691383628514</c:v>
                </c:pt>
                <c:pt idx="4">
                  <c:v>0.892444870852369</c:v>
                </c:pt>
                <c:pt idx="5">
                  <c:v>2.50164700336588</c:v>
                </c:pt>
                <c:pt idx="6">
                  <c:v>1.70848608462232</c:v>
                </c:pt>
                <c:pt idx="7">
                  <c:v>0.0354208036436196</c:v>
                </c:pt>
                <c:pt idx="8">
                  <c:v>1.06481975572354</c:v>
                </c:pt>
                <c:pt idx="9">
                  <c:v>0.57830388158562</c:v>
                </c:pt>
                <c:pt idx="10">
                  <c:v>2.39087599877781</c:v>
                </c:pt>
                <c:pt idx="11">
                  <c:v>0.816745314438084</c:v>
                </c:pt>
                <c:pt idx="12">
                  <c:v>0.205315207838227</c:v>
                </c:pt>
                <c:pt idx="13">
                  <c:v>0.496092501164331</c:v>
                </c:pt>
              </c:numCache>
            </c:numRef>
          </c:val>
        </c:ser>
        <c:ser>
          <c:idx val="12"/>
          <c:order val="10"/>
          <c:tx>
            <c:strRef>
              <c:f>'V&amp;V-SD-Global'!$B$48</c:f>
              <c:strCache>
                <c:ptCount val="1"/>
                <c:pt idx="0">
                  <c:v>MOLiCEL 18650-M35A</c:v>
                </c:pt>
              </c:strCache>
            </c:strRef>
          </c:tx>
          <c:spPr>
            <a:ln w="28575" cap="rnd">
              <a:solidFill>
                <a:schemeClr val="accent1">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'V&amp;V-SD-Global'!$C$48:$AG$48</c:f>
              <c:numCache>
                <c:formatCode>General</c:formatCode>
                <c:ptCount val="14"/>
                <c:pt idx="0">
                  <c:v>3.20558099087988</c:v>
                </c:pt>
                <c:pt idx="1">
                  <c:v>1.51444701037329</c:v>
                </c:pt>
                <c:pt idx="2">
                  <c:v>4.76029390298077</c:v>
                </c:pt>
                <c:pt idx="3">
                  <c:v>1.60212329736002</c:v>
                </c:pt>
                <c:pt idx="4">
                  <c:v>1.83349975931679</c:v>
                </c:pt>
                <c:pt idx="5">
                  <c:v>4.50092021072775</c:v>
                </c:pt>
                <c:pt idx="6">
                  <c:v>8.61342127556122</c:v>
                </c:pt>
                <c:pt idx="7">
                  <c:v>4.91399391480405</c:v>
                </c:pt>
                <c:pt idx="8">
                  <c:v>3.23683178597156</c:v>
                </c:pt>
                <c:pt idx="9">
                  <c:v>1.7159469801117</c:v>
                </c:pt>
                <c:pt idx="10">
                  <c:v>0.198690322841729</c:v>
                </c:pt>
                <c:pt idx="11">
                  <c:v>0.298442385897169</c:v>
                </c:pt>
                <c:pt idx="12">
                  <c:v>0.205315207838227</c:v>
                </c:pt>
                <c:pt idx="13">
                  <c:v>4.72228069540465</c:v>
                </c:pt>
              </c:numCache>
            </c:numRef>
          </c:val>
        </c:ser>
        <c:ser>
          <c:idx val="13"/>
          <c:order val="11"/>
          <c:tx>
            <c:strRef>
              <c:f>'V&amp;V-SD-Global'!$B$49</c:f>
              <c:strCache>
                <c:ptCount val="1"/>
                <c:pt idx="0">
                  <c:v>MOLiCEL 18650-P28A</c:v>
                </c:pt>
              </c:strCache>
            </c:strRef>
          </c:tx>
          <c:spPr>
            <a:ln w="28575" cap="rnd">
              <a:solidFill>
                <a:schemeClr val="accent2">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'V&amp;V-SD-Global'!$C$49:$AG$49</c:f>
              <c:numCache>
                <c:formatCode>General</c:formatCode>
                <c:ptCount val="14"/>
                <c:pt idx="0">
                  <c:v>2.35344141858876</c:v>
                </c:pt>
                <c:pt idx="1">
                  <c:v>0.0860531347442972</c:v>
                </c:pt>
                <c:pt idx="2">
                  <c:v>4.6267564360063</c:v>
                </c:pt>
                <c:pt idx="3">
                  <c:v>0.0927678037720194</c:v>
                </c:pt>
                <c:pt idx="4">
                  <c:v>0.0875348666820457</c:v>
                </c:pt>
                <c:pt idx="5">
                  <c:v>0.434779800389753</c:v>
                </c:pt>
                <c:pt idx="6">
                  <c:v>0.0397747790478324</c:v>
                </c:pt>
                <c:pt idx="7">
                  <c:v>0.0515578103528895</c:v>
                </c:pt>
                <c:pt idx="8">
                  <c:v>0.309726787003158</c:v>
                </c:pt>
                <c:pt idx="9">
                  <c:v>0.57830388158562</c:v>
                </c:pt>
                <c:pt idx="10">
                  <c:v>0.198690322841729</c:v>
                </c:pt>
                <c:pt idx="11">
                  <c:v>0.298442385897169</c:v>
                </c:pt>
                <c:pt idx="12">
                  <c:v>0.205315207838227</c:v>
                </c:pt>
                <c:pt idx="13">
                  <c:v>1.59833955398653</c:v>
                </c:pt>
              </c:numCache>
            </c:numRef>
          </c:val>
        </c:ser>
        <c:ser>
          <c:idx val="15"/>
          <c:order val="12"/>
          <c:tx>
            <c:strRef>
              <c:f>'V&amp;V-SD-Global'!$B$51</c:f>
              <c:strCache>
                <c:ptCount val="1"/>
                <c:pt idx="0">
                  <c:v>Samsung 18650-26J</c:v>
                </c:pt>
              </c:strCache>
            </c:strRef>
          </c:tx>
          <c:spPr>
            <a:ln w="28575" cap="rnd">
              <a:solidFill>
                <a:schemeClr val="accent4">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'V&amp;V-SD-Global'!$C$51:$AG$51</c:f>
              <c:numCache>
                <c:formatCode>General</c:formatCode>
                <c:ptCount val="14"/>
                <c:pt idx="0">
                  <c:v>5.31814692622896</c:v>
                </c:pt>
                <c:pt idx="1">
                  <c:v>3.73025229807246</c:v>
                </c:pt>
                <c:pt idx="2">
                  <c:v>4.57561727238451</c:v>
                </c:pt>
                <c:pt idx="3">
                  <c:v>3.64027922447432</c:v>
                </c:pt>
                <c:pt idx="4">
                  <c:v>3.75563282124018</c:v>
                </c:pt>
                <c:pt idx="5">
                  <c:v>4.58001285305087</c:v>
                </c:pt>
                <c:pt idx="6">
                  <c:v>3.37094525508995</c:v>
                </c:pt>
                <c:pt idx="7">
                  <c:v>0.269253086902368</c:v>
                </c:pt>
                <c:pt idx="8">
                  <c:v>0.693197600721835</c:v>
                </c:pt>
                <c:pt idx="9">
                  <c:v>0.57830388158562</c:v>
                </c:pt>
                <c:pt idx="10">
                  <c:v>0.198690322841729</c:v>
                </c:pt>
                <c:pt idx="11">
                  <c:v>0.298442385897169</c:v>
                </c:pt>
                <c:pt idx="12">
                  <c:v>0.205315207838227</c:v>
                </c:pt>
                <c:pt idx="13">
                  <c:v>9.40305733035928</c:v>
                </c:pt>
              </c:numCache>
            </c:numRef>
          </c:val>
        </c:ser>
        <c:ser>
          <c:idx val="16"/>
          <c:order val="13"/>
          <c:tx>
            <c:strRef>
              <c:f>'V&amp;V-SD-Global'!$B$52</c:f>
              <c:strCache>
                <c:ptCount val="1"/>
                <c:pt idx="0">
                  <c:v>Samsung 18650-30Q</c:v>
                </c:pt>
              </c:strCache>
            </c:strRef>
          </c:tx>
          <c:spPr>
            <a:ln w="28575" cap="rnd">
              <a:solidFill>
                <a:schemeClr val="accent5">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'V&amp;V-SD-Global'!$C$52:$AG$52</c:f>
              <c:numCache>
                <c:formatCode>General</c:formatCode>
                <c:ptCount val="14"/>
                <c:pt idx="0">
                  <c:v>5.10390373557316</c:v>
                </c:pt>
                <c:pt idx="1">
                  <c:v>2.26045246421317</c:v>
                </c:pt>
                <c:pt idx="2">
                  <c:v>4.85292146716282</c:v>
                </c:pt>
                <c:pt idx="3">
                  <c:v>1.9256093129261</c:v>
                </c:pt>
                <c:pt idx="4">
                  <c:v>4.15311194940263</c:v>
                </c:pt>
                <c:pt idx="5">
                  <c:v>0.0486700555873649</c:v>
                </c:pt>
                <c:pt idx="6">
                  <c:v>0.392103588015472</c:v>
                </c:pt>
                <c:pt idx="7">
                  <c:v>0.70127290590466</c:v>
                </c:pt>
                <c:pt idx="8">
                  <c:v>6.59117971689888</c:v>
                </c:pt>
                <c:pt idx="9">
                  <c:v>1.15122467199819</c:v>
                </c:pt>
                <c:pt idx="10">
                  <c:v>4.43805124118372</c:v>
                </c:pt>
                <c:pt idx="11">
                  <c:v>1.35875596469058</c:v>
                </c:pt>
                <c:pt idx="12">
                  <c:v>2.28186789437413</c:v>
                </c:pt>
                <c:pt idx="13">
                  <c:v>2.14565560274215</c:v>
                </c:pt>
              </c:numCache>
            </c:numRef>
          </c:val>
        </c:ser>
        <c:ser>
          <c:idx val="17"/>
          <c:order val="14"/>
          <c:tx>
            <c:strRef>
              <c:f>'V&amp;V-SD-Global'!$B$53</c:f>
              <c:strCache>
                <c:ptCount val="1"/>
                <c:pt idx="0">
                  <c:v>Sanyo 18650-2.15</c:v>
                </c:pt>
              </c:strCache>
            </c:strRef>
          </c:tx>
          <c:spPr>
            <a:ln w="28575" cap="rnd">
              <a:solidFill>
                <a:schemeClr val="accent6">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'V&amp;V-SD-Global'!$C$53:$AG$53</c:f>
              <c:numCache>
                <c:formatCode>General</c:formatCode>
                <c:ptCount val="14"/>
                <c:pt idx="0">
                  <c:v>4.59708698610617</c:v>
                </c:pt>
                <c:pt idx="1">
                  <c:v>1.77537558034266</c:v>
                </c:pt>
                <c:pt idx="2">
                  <c:v>4.65438816833142</c:v>
                </c:pt>
                <c:pt idx="3">
                  <c:v>2.25480798776197</c:v>
                </c:pt>
                <c:pt idx="4">
                  <c:v>2.12654870463681</c:v>
                </c:pt>
                <c:pt idx="5">
                  <c:v>2.39491754757463</c:v>
                </c:pt>
                <c:pt idx="6">
                  <c:v>1.52426480559082</c:v>
                </c:pt>
                <c:pt idx="7">
                  <c:v>0.317359802947748</c:v>
                </c:pt>
                <c:pt idx="8">
                  <c:v>0.199917087569601</c:v>
                </c:pt>
                <c:pt idx="9">
                  <c:v>0.57830388158562</c:v>
                </c:pt>
                <c:pt idx="10">
                  <c:v>0.198690322841729</c:v>
                </c:pt>
                <c:pt idx="11">
                  <c:v>0.298442385897169</c:v>
                </c:pt>
                <c:pt idx="12">
                  <c:v>0.205315207838227</c:v>
                </c:pt>
                <c:pt idx="13">
                  <c:v>1.03889165807251</c:v>
                </c:pt>
              </c:numCache>
            </c:numRef>
          </c:val>
        </c:ser>
        <c:ser>
          <c:idx val="18"/>
          <c:order val="15"/>
          <c:tx>
            <c:strRef>
              <c:f>'V&amp;V-SD-Global'!$B$54</c:f>
              <c:strCache>
                <c:ptCount val="1"/>
                <c:pt idx="0">
                  <c:v>Sony 18650-VTC6</c:v>
                </c:pt>
              </c:strCache>
            </c:strRef>
          </c:tx>
          <c:spPr>
            <a:ln w="28575" cap="rnd">
              <a:solidFill>
                <a:schemeClr val="accent1">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'V&amp;V-SD-Global'!$C$54:$AG$54</c:f>
              <c:numCache>
                <c:formatCode>General</c:formatCode>
                <c:ptCount val="14"/>
                <c:pt idx="0">
                  <c:v>3.44528529898131</c:v>
                </c:pt>
                <c:pt idx="1">
                  <c:v>1.32950526115163</c:v>
                </c:pt>
                <c:pt idx="2">
                  <c:v>4.63347231617908</c:v>
                </c:pt>
                <c:pt idx="3">
                  <c:v>2.02135512944027</c:v>
                </c:pt>
                <c:pt idx="4">
                  <c:v>1.88022676652109</c:v>
                </c:pt>
                <c:pt idx="5">
                  <c:v>2.84977457674086</c:v>
                </c:pt>
                <c:pt idx="6">
                  <c:v>1.99492341509611</c:v>
                </c:pt>
                <c:pt idx="7">
                  <c:v>0.0546468321022653</c:v>
                </c:pt>
                <c:pt idx="8">
                  <c:v>0.362499218141049</c:v>
                </c:pt>
                <c:pt idx="9">
                  <c:v>0.57830388158562</c:v>
                </c:pt>
                <c:pt idx="10">
                  <c:v>0.198690322841729</c:v>
                </c:pt>
                <c:pt idx="11">
                  <c:v>0.298442385897169</c:v>
                </c:pt>
                <c:pt idx="12">
                  <c:v>0.205315207838227</c:v>
                </c:pt>
                <c:pt idx="13">
                  <c:v>4.64676013258372</c:v>
                </c:pt>
              </c:numCache>
            </c:numRef>
          </c:val>
        </c:ser>
        <c:ser>
          <c:idx val="19"/>
          <c:order val="16"/>
          <c:tx>
            <c:strRef>
              <c:f>'V&amp;V-SD-Global'!$B$55</c:f>
              <c:strCache>
                <c:ptCount val="1"/>
                <c:pt idx="0">
                  <c:v>Sony 18650-VC7</c:v>
                </c:pt>
              </c:strCache>
            </c:strRef>
          </c:tx>
          <c:spPr>
            <a:ln w="28575" cap="rnd">
              <a:solidFill>
                <a:schemeClr val="accent2">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'V&amp;V-SD-Global'!$C$55:$AG$55</c:f>
              <c:numCache>
                <c:formatCode>General</c:formatCode>
                <c:ptCount val="14"/>
                <c:pt idx="0">
                  <c:v>4.32351851325751</c:v>
                </c:pt>
                <c:pt idx="1">
                  <c:v>3.45196427692873</c:v>
                </c:pt>
                <c:pt idx="2">
                  <c:v>5.11934734979717</c:v>
                </c:pt>
                <c:pt idx="3">
                  <c:v>3.45908158961722</c:v>
                </c:pt>
                <c:pt idx="4">
                  <c:v>3.7582280965617</c:v>
                </c:pt>
                <c:pt idx="5">
                  <c:v>1.92895600379906</c:v>
                </c:pt>
                <c:pt idx="6">
                  <c:v>7.32769144857267</c:v>
                </c:pt>
                <c:pt idx="7">
                  <c:v>5.80419671889153</c:v>
                </c:pt>
                <c:pt idx="8">
                  <c:v>4.42487279377858</c:v>
                </c:pt>
                <c:pt idx="9">
                  <c:v>4.24837830886022</c:v>
                </c:pt>
                <c:pt idx="10">
                  <c:v>2.57933555605626</c:v>
                </c:pt>
                <c:pt idx="11">
                  <c:v>5.77539240684898</c:v>
                </c:pt>
                <c:pt idx="12">
                  <c:v>2.86362369578877</c:v>
                </c:pt>
                <c:pt idx="13">
                  <c:v>3.53820651929665</c:v>
                </c:pt>
              </c:numCache>
            </c:numRef>
          </c:val>
        </c:ser>
        <c:ser>
          <c:idx val="20"/>
          <c:order val="17"/>
          <c:tx>
            <c:strRef>
              <c:f>'V&amp;V-SD-Global'!$B$56</c:f>
              <c:strCache>
                <c:ptCount val="1"/>
                <c:pt idx="0">
                  <c:v>Soteria 18650 (Control)</c:v>
                </c:pt>
              </c:strCache>
            </c:strRef>
          </c:tx>
          <c:spPr>
            <a:ln w="28575" cap="rnd">
              <a:solidFill>
                <a:schemeClr val="accent3">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'V&amp;V-SD-Global'!$C$56:$AG$56</c:f>
              <c:numCache>
                <c:formatCode>General</c:formatCode>
                <c:ptCount val="14"/>
                <c:pt idx="0">
                  <c:v>3.98003780017846</c:v>
                </c:pt>
                <c:pt idx="1">
                  <c:v>1.60319367141939</c:v>
                </c:pt>
                <c:pt idx="2">
                  <c:v>4.81948628478524</c:v>
                </c:pt>
                <c:pt idx="3">
                  <c:v>1.4043872637307</c:v>
                </c:pt>
                <c:pt idx="4">
                  <c:v>1.4615378464691</c:v>
                </c:pt>
                <c:pt idx="5">
                  <c:v>6.47863146612683</c:v>
                </c:pt>
                <c:pt idx="6">
                  <c:v>4.77471981042809</c:v>
                </c:pt>
                <c:pt idx="7">
                  <c:v>0.351204563846573</c:v>
                </c:pt>
                <c:pt idx="8">
                  <c:v>1.06434285055098</c:v>
                </c:pt>
                <c:pt idx="9">
                  <c:v>0.57830388158562</c:v>
                </c:pt>
                <c:pt idx="10">
                  <c:v>0.198690322841729</c:v>
                </c:pt>
                <c:pt idx="11">
                  <c:v>0.298442385897169</c:v>
                </c:pt>
                <c:pt idx="12">
                  <c:v>0.205315207838227</c:v>
                </c:pt>
                <c:pt idx="13">
                  <c:v>8.4023846542168</c:v>
                </c:pt>
              </c:numCache>
            </c:numRef>
          </c:val>
        </c:ser>
        <c:ser>
          <c:idx val="21"/>
          <c:order val="18"/>
          <c:tx>
            <c:strRef>
              <c:f>'V&amp;V-SD-Global'!$B$57</c:f>
              <c:strCache>
                <c:ptCount val="1"/>
                <c:pt idx="0">
                  <c:v>Soteria 18650 (AL)</c:v>
                </c:pt>
              </c:strCache>
            </c:strRef>
          </c:tx>
          <c:spPr>
            <a:ln w="28575" cap="rnd">
              <a:solidFill>
                <a:schemeClr val="accent4">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'V&amp;V-SD-Global'!$C$57:$AG$57</c:f>
              <c:numCache>
                <c:formatCode>General</c:formatCode>
                <c:ptCount val="14"/>
                <c:pt idx="0">
                  <c:v>5.73617832839681</c:v>
                </c:pt>
                <c:pt idx="1">
                  <c:v>2.47322553836343</c:v>
                </c:pt>
                <c:pt idx="2">
                  <c:v>4.87005509039861</c:v>
                </c:pt>
                <c:pt idx="3">
                  <c:v>3.39639313003975</c:v>
                </c:pt>
                <c:pt idx="4">
                  <c:v>3.26393962748614</c:v>
                </c:pt>
                <c:pt idx="5">
                  <c:v>6.78246600376143</c:v>
                </c:pt>
                <c:pt idx="6">
                  <c:v>5.00180513453425</c:v>
                </c:pt>
                <c:pt idx="7">
                  <c:v>0.383259093043652</c:v>
                </c:pt>
                <c:pt idx="8">
                  <c:v>0.262583070853877</c:v>
                </c:pt>
                <c:pt idx="9">
                  <c:v>0.57830388158562</c:v>
                </c:pt>
                <c:pt idx="10">
                  <c:v>1.58025854441087</c:v>
                </c:pt>
                <c:pt idx="11">
                  <c:v>2.90600256661917</c:v>
                </c:pt>
                <c:pt idx="12">
                  <c:v>0.205315207838227</c:v>
                </c:pt>
                <c:pt idx="13">
                  <c:v>7.68630789797404</c:v>
                </c:pt>
              </c:numCache>
            </c:numRef>
          </c:val>
        </c:ser>
        <c:ser>
          <c:idx val="22"/>
          <c:order val="19"/>
          <c:tx>
            <c:strRef>
              <c:f>'V&amp;V-SD-Global'!$B$58</c:f>
              <c:strCache>
                <c:ptCount val="1"/>
                <c:pt idx="0">
                  <c:v>Soteria 18650 (CU)</c:v>
                </c:pt>
              </c:strCache>
            </c:strRef>
          </c:tx>
          <c:spPr>
            <a:ln w="28575" cap="rnd">
              <a:solidFill>
                <a:schemeClr val="accent5">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'V&amp;V-SD-Global'!$C$58:$AG$58</c:f>
              <c:numCache>
                <c:formatCode>General</c:formatCode>
                <c:ptCount val="14"/>
                <c:pt idx="0">
                  <c:v>3.90492889560356</c:v>
                </c:pt>
                <c:pt idx="1">
                  <c:v>1.43495514328049</c:v>
                </c:pt>
                <c:pt idx="2">
                  <c:v>4.88014916177774</c:v>
                </c:pt>
                <c:pt idx="3">
                  <c:v>1.77426360640664</c:v>
                </c:pt>
                <c:pt idx="4">
                  <c:v>1.38445038040316</c:v>
                </c:pt>
                <c:pt idx="5">
                  <c:v>3.33047601667709</c:v>
                </c:pt>
                <c:pt idx="6">
                  <c:v>2.25645526628466</c:v>
                </c:pt>
                <c:pt idx="7">
                  <c:v>0.334374617723086</c:v>
                </c:pt>
                <c:pt idx="8">
                  <c:v>0.399158847928444</c:v>
                </c:pt>
                <c:pt idx="9">
                  <c:v>0.57830388158562</c:v>
                </c:pt>
                <c:pt idx="10">
                  <c:v>0.198690322841729</c:v>
                </c:pt>
                <c:pt idx="11">
                  <c:v>0.298442385897169</c:v>
                </c:pt>
                <c:pt idx="12">
                  <c:v>0.205315207838227</c:v>
                </c:pt>
                <c:pt idx="13">
                  <c:v>2.25214148280899</c:v>
                </c:pt>
              </c:numCache>
            </c:numRef>
          </c:val>
        </c:ser>
        <c:ser>
          <c:idx val="23"/>
          <c:order val="20"/>
          <c:tx>
            <c:strRef>
              <c:f>'V&amp;V-SD-Global'!$B$59</c:f>
              <c:strCache>
                <c:ptCount val="1"/>
                <c:pt idx="0">
                  <c:v>Soteria 18650 (ALCU)</c:v>
                </c:pt>
              </c:strCache>
            </c:strRef>
          </c:tx>
          <c:spPr>
            <a:ln w="28575" cap="rnd">
              <a:solidFill>
                <a:schemeClr val="accent6">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'V&amp;V-SD-Global'!$C$59:$AG$59</c:f>
              <c:numCache>
                <c:formatCode>General</c:formatCode>
                <c:ptCount val="14"/>
                <c:pt idx="0">
                  <c:v>5.93921644197103</c:v>
                </c:pt>
                <c:pt idx="1">
                  <c:v>2.32369527661086</c:v>
                </c:pt>
                <c:pt idx="2">
                  <c:v>4.7530437693836</c:v>
                </c:pt>
                <c:pt idx="3">
                  <c:v>3.74739399652967</c:v>
                </c:pt>
                <c:pt idx="4">
                  <c:v>3.47232628654914</c:v>
                </c:pt>
                <c:pt idx="5">
                  <c:v>5.96673111644372</c:v>
                </c:pt>
                <c:pt idx="6">
                  <c:v>4.42938683457141</c:v>
                </c:pt>
                <c:pt idx="7">
                  <c:v>0.55160179509073</c:v>
                </c:pt>
                <c:pt idx="8">
                  <c:v>0.285878916385418</c:v>
                </c:pt>
                <c:pt idx="9">
                  <c:v>0.57830388158562</c:v>
                </c:pt>
                <c:pt idx="10">
                  <c:v>3.76458026271434</c:v>
                </c:pt>
                <c:pt idx="11">
                  <c:v>3.83438792220369</c:v>
                </c:pt>
                <c:pt idx="12">
                  <c:v>0.205315207838227</c:v>
                </c:pt>
                <c:pt idx="13">
                  <c:v>6.59110095949631</c:v>
                </c:pt>
              </c:numCache>
            </c:numRef>
          </c:val>
        </c:ser>
        <c:ser>
          <c:idx val="24"/>
          <c:order val="21"/>
          <c:tx>
            <c:strRef>
              <c:f>'V&amp;V-SD-Global'!$B$60</c:f>
              <c:strCache>
                <c:ptCount val="1"/>
                <c:pt idx="0">
                  <c:v>Soteria 18650 (DW)</c:v>
                </c:pt>
              </c:strCache>
            </c:strRef>
          </c:tx>
          <c:spPr>
            <a:ln w="28575" cap="rnd">
              <a:solidFill>
                <a:schemeClr val="accent1">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'V&amp;V-SD-Global'!$C$60:$AG$60</c:f>
              <c:numCache>
                <c:formatCode>General</c:formatCode>
                <c:ptCount val="14"/>
                <c:pt idx="0">
                  <c:v>5.32484974653374</c:v>
                </c:pt>
                <c:pt idx="1">
                  <c:v>3.27319046207095</c:v>
                </c:pt>
                <c:pt idx="2">
                  <c:v>4.93621498459563</c:v>
                </c:pt>
                <c:pt idx="3">
                  <c:v>2.99686365285766</c:v>
                </c:pt>
                <c:pt idx="4">
                  <c:v>2.84177559412978</c:v>
                </c:pt>
                <c:pt idx="5">
                  <c:v>6.71046412335398</c:v>
                </c:pt>
                <c:pt idx="6">
                  <c:v>5.00342891295831</c:v>
                </c:pt>
                <c:pt idx="7">
                  <c:v>0.27483221753589</c:v>
                </c:pt>
                <c:pt idx="8">
                  <c:v>0.759982406157873</c:v>
                </c:pt>
                <c:pt idx="9">
                  <c:v>0.57830388158562</c:v>
                </c:pt>
                <c:pt idx="10">
                  <c:v>0.198690322841729</c:v>
                </c:pt>
                <c:pt idx="11">
                  <c:v>0.298442385897169</c:v>
                </c:pt>
                <c:pt idx="12">
                  <c:v>0.205315207838227</c:v>
                </c:pt>
                <c:pt idx="13">
                  <c:v>9.12462293175381</c:v>
                </c:pt>
              </c:numCache>
            </c:numRef>
          </c:val>
        </c:ser>
        <c:ser>
          <c:idx val="25"/>
          <c:order val="22"/>
          <c:tx>
            <c:strRef>
              <c:f>'V&amp;V-SD-Global'!$B$61</c:f>
              <c:strCache>
                <c:ptCount val="1"/>
                <c:pt idx="0">
                  <c:v>Soteria 18650 (ALDW)</c:v>
                </c:pt>
              </c:strCache>
            </c:strRef>
          </c:tx>
          <c:spPr>
            <a:ln w="28575" cap="rnd">
              <a:solidFill>
                <a:schemeClr val="accent2">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'V&amp;V-SD-Global'!$C$61:$AG$61</c:f>
              <c:numCache>
                <c:formatCode>General</c:formatCode>
                <c:ptCount val="14"/>
                <c:pt idx="0">
                  <c:v>3.65174276777314</c:v>
                </c:pt>
                <c:pt idx="1">
                  <c:v>2.44187381198824</c:v>
                </c:pt>
                <c:pt idx="2">
                  <c:v>4.85982207163111</c:v>
                </c:pt>
                <c:pt idx="3">
                  <c:v>1.52793860632282</c:v>
                </c:pt>
                <c:pt idx="4">
                  <c:v>1.12459467956507</c:v>
                </c:pt>
                <c:pt idx="5">
                  <c:v>9.50464889552712</c:v>
                </c:pt>
                <c:pt idx="6">
                  <c:v>7.07151736527626</c:v>
                </c:pt>
                <c:pt idx="7">
                  <c:v>0.556634068187209</c:v>
                </c:pt>
                <c:pt idx="8">
                  <c:v>0.287056641076199</c:v>
                </c:pt>
                <c:pt idx="9">
                  <c:v>0.57830388158562</c:v>
                </c:pt>
                <c:pt idx="10">
                  <c:v>0.198690322841729</c:v>
                </c:pt>
                <c:pt idx="11">
                  <c:v>0.298442385897169</c:v>
                </c:pt>
                <c:pt idx="12">
                  <c:v>0.205315207838227</c:v>
                </c:pt>
                <c:pt idx="13">
                  <c:v>9.44972268604156</c:v>
                </c:pt>
              </c:numCache>
            </c:numRef>
          </c:val>
        </c:ser>
        <c:ser>
          <c:idx val="26"/>
          <c:order val="23"/>
          <c:tx>
            <c:strRef>
              <c:f>'V&amp;V-SD-Global'!$B$62</c:f>
              <c:strCache>
                <c:ptCount val="1"/>
                <c:pt idx="0">
                  <c:v>Soteria 18650 (ALCUDW)</c:v>
                </c:pt>
              </c:strCache>
            </c:strRef>
          </c:tx>
          <c:spPr>
            <a:ln w="28575" cap="rnd">
              <a:solidFill>
                <a:schemeClr val="accent3">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'V&amp;V-SD-Global'!$C$62:$AG$62</c:f>
              <c:numCache>
                <c:formatCode>General</c:formatCode>
                <c:ptCount val="14"/>
                <c:pt idx="0">
                  <c:v>4.93170807238291</c:v>
                </c:pt>
                <c:pt idx="1">
                  <c:v>3.17442384684166</c:v>
                </c:pt>
                <c:pt idx="2">
                  <c:v>4.94896274968678</c:v>
                </c:pt>
                <c:pt idx="3">
                  <c:v>2.82219348462172</c:v>
                </c:pt>
                <c:pt idx="4">
                  <c:v>2.4382775583545</c:v>
                </c:pt>
                <c:pt idx="5">
                  <c:v>9.95132994441263</c:v>
                </c:pt>
                <c:pt idx="6">
                  <c:v>7.60849706214814</c:v>
                </c:pt>
                <c:pt idx="7">
                  <c:v>0.274221692006015</c:v>
                </c:pt>
                <c:pt idx="8">
                  <c:v>0.555901052015177</c:v>
                </c:pt>
                <c:pt idx="9">
                  <c:v>0.57830388158562</c:v>
                </c:pt>
                <c:pt idx="10">
                  <c:v>2.6569061597283</c:v>
                </c:pt>
                <c:pt idx="11">
                  <c:v>2.68453717403266</c:v>
                </c:pt>
                <c:pt idx="12">
                  <c:v>0.205315207838227</c:v>
                </c:pt>
                <c:pt idx="13">
                  <c:v>9.94959173684649</c:v>
                </c:pt>
              </c:numCache>
            </c:numRef>
          </c:val>
        </c:ser>
        <c:ser>
          <c:idx val="27"/>
          <c:order val="24"/>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bb4de0-59a7-4bc0-9bec-d27055fd5264}"/>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14"/>
          <c:order val="0"/>
          <c:tx>
            <c:strRef>
              <c:f>'V&amp;V-SD-Global'!$B$50</c:f>
              <c:strCache>
                <c:ptCount val="1"/>
                <c:pt idx="0">
                  <c:v>Saft D-Cell-VES16</c:v>
                </c:pt>
              </c:strCache>
            </c:strRef>
          </c:tx>
          <c:spPr>
            <a:ln w="28575" cap="rnd">
              <a:solidFill>
                <a:schemeClr val="accent3">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'V&amp;V-SD-Global'!$C$50:$AG$50</c:f>
              <c:numCache>
                <c:formatCode>General</c:formatCode>
                <c:ptCount val="14"/>
                <c:pt idx="0">
                  <c:v>5.31660520216389</c:v>
                </c:pt>
                <c:pt idx="1">
                  <c:v>8.81836394150691</c:v>
                </c:pt>
                <c:pt idx="2">
                  <c:v>5.1106105697305</c:v>
                </c:pt>
                <c:pt idx="3">
                  <c:v>7.67721486168119</c:v>
                </c:pt>
                <c:pt idx="4">
                  <c:v>7.26386271738285</c:v>
                </c:pt>
                <c:pt idx="5">
                  <c:v>2.72929904437862</c:v>
                </c:pt>
                <c:pt idx="6">
                  <c:v>4.36024632298647</c:v>
                </c:pt>
                <c:pt idx="7">
                  <c:v>3.16517903732053</c:v>
                </c:pt>
                <c:pt idx="8">
                  <c:v>1.73406715773644</c:v>
                </c:pt>
                <c:pt idx="9">
                  <c:v>0.57830388158562</c:v>
                </c:pt>
                <c:pt idx="10">
                  <c:v>4.18180845697024</c:v>
                </c:pt>
                <c:pt idx="11">
                  <c:v>6.28127668933987</c:v>
                </c:pt>
                <c:pt idx="12">
                  <c:v>2.17791991859282</c:v>
                </c:pt>
                <c:pt idx="13">
                  <c:v>1.64816748513879</c:v>
                </c:pt>
              </c:numCache>
            </c:numRef>
          </c:val>
        </c:ser>
        <c:ser>
          <c:idx val="27"/>
          <c:order val="1"/>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657927e-3978-4432-897a-e3d8907284bd}"/>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1"/>
          <c:order val="0"/>
          <c:tx>
            <c:strRef>
              <c:f>'V&amp;V-SD-Global'!$B$37</c:f>
              <c:strCache>
                <c:ptCount val="1"/>
                <c:pt idx="0">
                  <c:v>KULR 21700-K500</c:v>
                </c:pt>
              </c:strCache>
            </c:strRef>
          </c:tx>
          <c:spPr>
            <a:ln w="28575" cap="rnd">
              <a:solidFill>
                <a:schemeClr val="accent2"/>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'V&amp;V-SD-Global'!$C$37:$AG$37</c:f>
              <c:numCache>
                <c:formatCode>General</c:formatCode>
                <c:ptCount val="14"/>
                <c:pt idx="0">
                  <c:v>4.44162077552557</c:v>
                </c:pt>
                <c:pt idx="1">
                  <c:v>5.95918410896608</c:v>
                </c:pt>
                <c:pt idx="2">
                  <c:v>4.91712550461288</c:v>
                </c:pt>
                <c:pt idx="3">
                  <c:v>5.62797978891483</c:v>
                </c:pt>
                <c:pt idx="4">
                  <c:v>6.08936356628358</c:v>
                </c:pt>
                <c:pt idx="5">
                  <c:v>1.92318770921672</c:v>
                </c:pt>
                <c:pt idx="6">
                  <c:v>4.93937551417552</c:v>
                </c:pt>
                <c:pt idx="7">
                  <c:v>5.59524734081779</c:v>
                </c:pt>
                <c:pt idx="8">
                  <c:v>3.29023832168876</c:v>
                </c:pt>
                <c:pt idx="9">
                  <c:v>6.63684799529746</c:v>
                </c:pt>
                <c:pt idx="10">
                  <c:v>5.66459603471925</c:v>
                </c:pt>
                <c:pt idx="11">
                  <c:v>4.07595489731804</c:v>
                </c:pt>
                <c:pt idx="12">
                  <c:v>5.01365638792065</c:v>
                </c:pt>
                <c:pt idx="13">
                  <c:v>2.46764491977659</c:v>
                </c:pt>
              </c:numCache>
            </c:numRef>
          </c:val>
        </c:ser>
        <c:ser>
          <c:idx val="8"/>
          <c:order val="1"/>
          <c:tx>
            <c:strRef>
              <c:f>'V&amp;V-SD-Global'!$B$44</c:f>
              <c:strCache>
                <c:ptCount val="1"/>
                <c:pt idx="0">
                  <c:v>LG 21700-M50 (BV)</c:v>
                </c:pt>
              </c:strCache>
            </c:strRef>
          </c:tx>
          <c:spPr>
            <a:ln w="28575" cap="rnd">
              <a:solidFill>
                <a:schemeClr val="accent3">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'V&amp;V-SD-Global'!$C$44:$AG$44</c:f>
              <c:numCache>
                <c:formatCode>General</c:formatCode>
                <c:ptCount val="14"/>
                <c:pt idx="0">
                  <c:v>5.97742177227521</c:v>
                </c:pt>
                <c:pt idx="1">
                  <c:v>9.91394686525571</c:v>
                </c:pt>
                <c:pt idx="2">
                  <c:v>4.91426268140016</c:v>
                </c:pt>
                <c:pt idx="3">
                  <c:v>9.90723219622799</c:v>
                </c:pt>
                <c:pt idx="4">
                  <c:v>9.91246513331795</c:v>
                </c:pt>
                <c:pt idx="5">
                  <c:v>2.4767135097908</c:v>
                </c:pt>
                <c:pt idx="6">
                  <c:v>9.96022522095217</c:v>
                </c:pt>
                <c:pt idx="7">
                  <c:v>9.96699811746223</c:v>
                </c:pt>
                <c:pt idx="8">
                  <c:v>3.6831695949598</c:v>
                </c:pt>
                <c:pt idx="9">
                  <c:v>9.42169611841438</c:v>
                </c:pt>
                <c:pt idx="10">
                  <c:v>5.37954324012418</c:v>
                </c:pt>
                <c:pt idx="11">
                  <c:v>6.37892817488203</c:v>
                </c:pt>
                <c:pt idx="12">
                  <c:v>5.67343717973068</c:v>
                </c:pt>
                <c:pt idx="13">
                  <c:v>4.01829265309126</c:v>
                </c:pt>
              </c:numCache>
            </c:numRef>
          </c:val>
        </c:ser>
        <c:ser>
          <c:idx val="27"/>
          <c:order val="2"/>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e2e851b-d4db-4f54-bbdf-1a2838effd5b}"/>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'V&amp;V-SD-Global'!$B$36</c:f>
              <c:strCache>
                <c:ptCount val="1"/>
                <c:pt idx="0">
                  <c:v>KULR 18650-K330</c:v>
                </c:pt>
              </c:strCache>
            </c:strRef>
          </c:tx>
          <c:spPr>
            <a:ln w="28575" cap="rnd">
              <a:solidFill>
                <a:schemeClr val="accent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'V&amp;V-SD-Global'!$C$36:$AG$36</c:f>
              <c:numCache>
                <c:formatCode>General</c:formatCode>
                <c:ptCount val="14"/>
                <c:pt idx="0">
                  <c:v>3.22847159759431</c:v>
                </c:pt>
                <c:pt idx="1">
                  <c:v>1.82165256118284</c:v>
                </c:pt>
                <c:pt idx="2">
                  <c:v>4.99511081347445</c:v>
                </c:pt>
                <c:pt idx="3">
                  <c:v>1.55587349515296</c:v>
                </c:pt>
                <c:pt idx="4">
                  <c:v>1.69967742411312</c:v>
                </c:pt>
                <c:pt idx="5">
                  <c:v>3.28490804048952</c:v>
                </c:pt>
                <c:pt idx="6">
                  <c:v>8.95356392662514</c:v>
                </c:pt>
                <c:pt idx="7">
                  <c:v>9.09765181096733</c:v>
                </c:pt>
                <c:pt idx="8">
                  <c:v>1.51013205167442</c:v>
                </c:pt>
                <c:pt idx="9">
                  <c:v>4.27820817970095</c:v>
                </c:pt>
                <c:pt idx="10">
                  <c:v>5.22547311441558</c:v>
                </c:pt>
                <c:pt idx="11">
                  <c:v>2.72934242641563</c:v>
                </c:pt>
                <c:pt idx="12">
                  <c:v>3.86769970008413</c:v>
                </c:pt>
                <c:pt idx="13">
                  <c:v>4.09541990958646</c:v>
                </c:pt>
              </c:numCache>
            </c:numRef>
          </c:val>
        </c:ser>
        <c:ser>
          <c:idx val="1"/>
          <c:order val="1"/>
          <c:tx>
            <c:strRef>
              <c:f>'V&amp;V-SD-Global'!$B$37</c:f>
              <c:strCache>
                <c:ptCount val="1"/>
                <c:pt idx="0">
                  <c:v>KULR 21700-K500</c:v>
                </c:pt>
              </c:strCache>
            </c:strRef>
          </c:tx>
          <c:spPr>
            <a:ln w="28575" cap="rnd">
              <a:solidFill>
                <a:schemeClr val="accent2"/>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'V&amp;V-SD-Global'!$C$37:$AG$37</c:f>
              <c:numCache>
                <c:formatCode>General</c:formatCode>
                <c:ptCount val="14"/>
                <c:pt idx="0">
                  <c:v>4.44162077552557</c:v>
                </c:pt>
                <c:pt idx="1">
                  <c:v>5.95918410896608</c:v>
                </c:pt>
                <c:pt idx="2">
                  <c:v>4.91712550461288</c:v>
                </c:pt>
                <c:pt idx="3">
                  <c:v>5.62797978891483</c:v>
                </c:pt>
                <c:pt idx="4">
                  <c:v>6.08936356628358</c:v>
                </c:pt>
                <c:pt idx="5">
                  <c:v>1.92318770921672</c:v>
                </c:pt>
                <c:pt idx="6">
                  <c:v>4.93937551417552</c:v>
                </c:pt>
                <c:pt idx="7">
                  <c:v>5.59524734081779</c:v>
                </c:pt>
                <c:pt idx="8">
                  <c:v>3.29023832168876</c:v>
                </c:pt>
                <c:pt idx="9">
                  <c:v>6.63684799529746</c:v>
                </c:pt>
                <c:pt idx="10">
                  <c:v>5.66459603471925</c:v>
                </c:pt>
                <c:pt idx="11">
                  <c:v>4.07595489731804</c:v>
                </c:pt>
                <c:pt idx="12">
                  <c:v>5.01365638792065</c:v>
                </c:pt>
                <c:pt idx="13">
                  <c:v>2.46764491977659</c:v>
                </c:pt>
              </c:numCache>
            </c:numRef>
          </c:val>
        </c:ser>
        <c:ser>
          <c:idx val="8"/>
          <c:order val="2"/>
          <c:tx>
            <c:strRef>
              <c:f>'V&amp;V-SD-Global'!$B$44</c:f>
              <c:strCache>
                <c:ptCount val="1"/>
                <c:pt idx="0">
                  <c:v>LG 21700-M50 (BV)</c:v>
                </c:pt>
              </c:strCache>
            </c:strRef>
          </c:tx>
          <c:spPr>
            <a:ln w="28575" cap="rnd">
              <a:solidFill>
                <a:schemeClr val="accent3">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'V&amp;V-SD-Global'!$C$44:$AG$44</c:f>
              <c:numCache>
                <c:formatCode>General</c:formatCode>
                <c:ptCount val="14"/>
                <c:pt idx="0">
                  <c:v>5.97742177227521</c:v>
                </c:pt>
                <c:pt idx="1">
                  <c:v>9.91394686525571</c:v>
                </c:pt>
                <c:pt idx="2">
                  <c:v>4.91426268140016</c:v>
                </c:pt>
                <c:pt idx="3">
                  <c:v>9.90723219622799</c:v>
                </c:pt>
                <c:pt idx="4">
                  <c:v>9.91246513331795</c:v>
                </c:pt>
                <c:pt idx="5">
                  <c:v>2.4767135097908</c:v>
                </c:pt>
                <c:pt idx="6">
                  <c:v>9.96022522095217</c:v>
                </c:pt>
                <c:pt idx="7">
                  <c:v>9.96699811746223</c:v>
                </c:pt>
                <c:pt idx="8">
                  <c:v>3.6831695949598</c:v>
                </c:pt>
                <c:pt idx="9">
                  <c:v>9.42169611841438</c:v>
                </c:pt>
                <c:pt idx="10">
                  <c:v>5.37954324012418</c:v>
                </c:pt>
                <c:pt idx="11">
                  <c:v>6.37892817488203</c:v>
                </c:pt>
                <c:pt idx="12">
                  <c:v>5.67343717973068</c:v>
                </c:pt>
                <c:pt idx="13">
                  <c:v>4.01829265309126</c:v>
                </c:pt>
              </c:numCache>
            </c:numRef>
          </c:val>
        </c:ser>
        <c:ser>
          <c:idx val="14"/>
          <c:order val="3"/>
          <c:tx>
            <c:strRef>
              <c:f>'V&amp;V-SD-Global'!$B$50</c:f>
              <c:strCache>
                <c:ptCount val="1"/>
                <c:pt idx="0">
                  <c:v>Saft D-Cell-VES16</c:v>
                </c:pt>
              </c:strCache>
            </c:strRef>
          </c:tx>
          <c:spPr>
            <a:ln w="28575" cap="rnd">
              <a:solidFill>
                <a:schemeClr val="accent3">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'V&amp;V-SD-Global'!$C$50:$AG$50</c:f>
              <c:numCache>
                <c:formatCode>General</c:formatCode>
                <c:ptCount val="14"/>
                <c:pt idx="0">
                  <c:v>5.31660520216389</c:v>
                </c:pt>
                <c:pt idx="1">
                  <c:v>8.81836394150691</c:v>
                </c:pt>
                <c:pt idx="2">
                  <c:v>5.1106105697305</c:v>
                </c:pt>
                <c:pt idx="3">
                  <c:v>7.67721486168119</c:v>
                </c:pt>
                <c:pt idx="4">
                  <c:v>7.26386271738285</c:v>
                </c:pt>
                <c:pt idx="5">
                  <c:v>2.72929904437862</c:v>
                </c:pt>
                <c:pt idx="6">
                  <c:v>4.36024632298647</c:v>
                </c:pt>
                <c:pt idx="7">
                  <c:v>3.16517903732053</c:v>
                </c:pt>
                <c:pt idx="8">
                  <c:v>1.73406715773644</c:v>
                </c:pt>
                <c:pt idx="9">
                  <c:v>0.57830388158562</c:v>
                </c:pt>
                <c:pt idx="10">
                  <c:v>4.18180845697024</c:v>
                </c:pt>
                <c:pt idx="11">
                  <c:v>6.28127668933987</c:v>
                </c:pt>
                <c:pt idx="12">
                  <c:v>2.17791991859282</c:v>
                </c:pt>
                <c:pt idx="13">
                  <c:v>1.64816748513879</c:v>
                </c:pt>
              </c:numCache>
            </c:numRef>
          </c:val>
        </c:ser>
        <c:ser>
          <c:idx val="27"/>
          <c:order val="4"/>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1054e01-a4af-4836-b62a-bfc073b87eb5}"/>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2"/>
          <c:order val="0"/>
          <c:tx>
            <c:strRef>
              <c:f>'V&amp;V-SD-Global'!$B$38</c:f>
              <c:strCache>
                <c:ptCount val="1"/>
                <c:pt idx="0">
                  <c:v>LG 18650-M36</c:v>
                </c:pt>
              </c:strCache>
            </c:strRef>
          </c:tx>
          <c:spPr>
            <a:ln w="28575" cap="rnd">
              <a:solidFill>
                <a:schemeClr val="accent3"/>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'V&amp;V-SD-Global'!$C$38:$AG$38</c:f>
              <c:numCache>
                <c:formatCode>General</c:formatCode>
                <c:ptCount val="14"/>
                <c:pt idx="0">
                  <c:v>5.95831605746779</c:v>
                </c:pt>
                <c:pt idx="1">
                  <c:v>5.15501960191289</c:v>
                </c:pt>
                <c:pt idx="2">
                  <c:v>5.47518937359857</c:v>
                </c:pt>
                <c:pt idx="3">
                  <c:v>5.27107303534842</c:v>
                </c:pt>
                <c:pt idx="4">
                  <c:v>6.40949776438623</c:v>
                </c:pt>
                <c:pt idx="5">
                  <c:v>4.90372093707405</c:v>
                </c:pt>
                <c:pt idx="6">
                  <c:v>8.61469926898706</c:v>
                </c:pt>
                <c:pt idx="7">
                  <c:v>5.26254876243739</c:v>
                </c:pt>
                <c:pt idx="8">
                  <c:v>7.57015231658846</c:v>
                </c:pt>
                <c:pt idx="9">
                  <c:v>1.63318514099631</c:v>
                </c:pt>
                <c:pt idx="10">
                  <c:v>8.91769329666375</c:v>
                </c:pt>
                <c:pt idx="11">
                  <c:v>3.54301962082517</c:v>
                </c:pt>
                <c:pt idx="12">
                  <c:v>9.75114268050956</c:v>
                </c:pt>
                <c:pt idx="13">
                  <c:v>6.1223644921191</c:v>
                </c:pt>
              </c:numCache>
            </c:numRef>
          </c:val>
        </c:ser>
        <c:ser>
          <c:idx val="3"/>
          <c:order val="1"/>
          <c:tx>
            <c:strRef>
              <c:f>'V&amp;V-SD-Global'!$B$39</c:f>
              <c:strCache>
                <c:ptCount val="1"/>
                <c:pt idx="0">
                  <c:v>LG 18650-Test Cell (NBV-250)</c:v>
                </c:pt>
              </c:strCache>
            </c:strRef>
          </c:tx>
          <c:spPr>
            <a:ln w="28575" cap="rnd">
              <a:solidFill>
                <a:schemeClr val="accent4"/>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'V&amp;V-SD-Global'!$C$39:$AG$39</c:f>
              <c:numCache>
                <c:formatCode>General</c:formatCode>
                <c:ptCount val="14"/>
                <c:pt idx="0">
                  <c:v>4.6974400137376</c:v>
                </c:pt>
                <c:pt idx="1">
                  <c:v>2.02603316747415</c:v>
                </c:pt>
                <c:pt idx="2">
                  <c:v>4.85213829094179</c:v>
                </c:pt>
                <c:pt idx="3">
                  <c:v>2.26473072878113</c:v>
                </c:pt>
                <c:pt idx="4">
                  <c:v>4.3012694395254</c:v>
                </c:pt>
                <c:pt idx="5">
                  <c:v>1.53881126080363</c:v>
                </c:pt>
                <c:pt idx="6">
                  <c:v>2.7936988502614</c:v>
                </c:pt>
                <c:pt idx="7">
                  <c:v>2.1914372604825</c:v>
                </c:pt>
                <c:pt idx="8">
                  <c:v>6.55346346220725</c:v>
                </c:pt>
                <c:pt idx="9">
                  <c:v>1.56689165823087</c:v>
                </c:pt>
                <c:pt idx="10">
                  <c:v>4.05447157465276</c:v>
                </c:pt>
                <c:pt idx="11">
                  <c:v>1.8269833465797</c:v>
                </c:pt>
                <c:pt idx="12">
                  <c:v>1.89090306384498</c:v>
                </c:pt>
                <c:pt idx="13">
                  <c:v>2.66295233282791</c:v>
                </c:pt>
              </c:numCache>
            </c:numRef>
          </c:val>
        </c:ser>
        <c:ser>
          <c:idx val="4"/>
          <c:order val="2"/>
          <c:tx>
            <c:strRef>
              <c:f>'V&amp;V-SD-Global'!$B$40</c:f>
              <c:strCache>
                <c:ptCount val="1"/>
                <c:pt idx="0">
                  <c:v>LG 18650-Test Cell (NBV-220)</c:v>
                </c:pt>
              </c:strCache>
            </c:strRef>
          </c:tx>
          <c:spPr>
            <a:ln w="28575" cap="rnd">
              <a:solidFill>
                <a:schemeClr val="accent5"/>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'V&amp;V-SD-Global'!$C$40:$AG$40</c:f>
              <c:numCache>
                <c:formatCode>General</c:formatCode>
                <c:ptCount val="14"/>
                <c:pt idx="0">
                  <c:v>7.64655858141125</c:v>
                </c:pt>
                <c:pt idx="1">
                  <c:v>6.13334236522578</c:v>
                </c:pt>
                <c:pt idx="2">
                  <c:v>4.94455843774655</c:v>
                </c:pt>
                <c:pt idx="3">
                  <c:v>5.85133960616968</c:v>
                </c:pt>
                <c:pt idx="4">
                  <c:v>9.23229761526018</c:v>
                </c:pt>
                <c:pt idx="5">
                  <c:v>3.25336892318262</c:v>
                </c:pt>
                <c:pt idx="6">
                  <c:v>3.55646127052112</c:v>
                </c:pt>
                <c:pt idx="7">
                  <c:v>1.32384896924797</c:v>
                </c:pt>
                <c:pt idx="8">
                  <c:v>9.8000829124304</c:v>
                </c:pt>
                <c:pt idx="9">
                  <c:v>1.23091845116521</c:v>
                </c:pt>
                <c:pt idx="10">
                  <c:v>2.34659218607834</c:v>
                </c:pt>
                <c:pt idx="11">
                  <c:v>4.7475501272912</c:v>
                </c:pt>
                <c:pt idx="12">
                  <c:v>1.6562823986649</c:v>
                </c:pt>
                <c:pt idx="13">
                  <c:v>4.43798643878721</c:v>
                </c:pt>
              </c:numCache>
            </c:numRef>
          </c:val>
        </c:ser>
        <c:ser>
          <c:idx val="7"/>
          <c:order val="3"/>
          <c:tx>
            <c:strRef>
              <c:f>'V&amp;V-SD-Global'!$B$43</c:f>
              <c:strCache>
                <c:ptCount val="1"/>
                <c:pt idx="0">
                  <c:v>LG 18650-MJ1 (Korean)</c:v>
                </c:pt>
              </c:strCache>
            </c:strRef>
          </c:tx>
          <c:spPr>
            <a:ln w="28575" cap="rnd">
              <a:solidFill>
                <a:schemeClr val="accent2">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'V&amp;V-SD-Global'!$C$43:$AG$43</c:f>
              <c:numCache>
                <c:formatCode>General</c:formatCode>
                <c:ptCount val="14"/>
                <c:pt idx="0">
                  <c:v>5.79461706841349</c:v>
                </c:pt>
                <c:pt idx="1">
                  <c:v>5.14013310542181</c:v>
                </c:pt>
                <c:pt idx="2">
                  <c:v>5.03182486144016</c:v>
                </c:pt>
                <c:pt idx="3">
                  <c:v>5.39819375744575</c:v>
                </c:pt>
                <c:pt idx="4">
                  <c:v>6.25987305297507</c:v>
                </c:pt>
                <c:pt idx="5">
                  <c:v>2.00552553968247</c:v>
                </c:pt>
                <c:pt idx="6">
                  <c:v>3.80366357035531</c:v>
                </c:pt>
                <c:pt idx="7">
                  <c:v>2.50013929223645</c:v>
                </c:pt>
                <c:pt idx="8">
                  <c:v>5.99812044001402</c:v>
                </c:pt>
                <c:pt idx="9">
                  <c:v>2.40916012046394</c:v>
                </c:pt>
                <c:pt idx="10">
                  <c:v>2.16780841542002</c:v>
                </c:pt>
                <c:pt idx="11">
                  <c:v>2.59339028447016</c:v>
                </c:pt>
                <c:pt idx="12">
                  <c:v>1.48782117823448</c:v>
                </c:pt>
                <c:pt idx="13">
                  <c:v>3.21984885207262</c:v>
                </c:pt>
              </c:numCache>
            </c:numRef>
          </c:val>
        </c:ser>
        <c:ser>
          <c:idx val="12"/>
          <c:order val="4"/>
          <c:tx>
            <c:strRef>
              <c:f>'V&amp;V-SD-Global'!$B$48</c:f>
              <c:strCache>
                <c:ptCount val="1"/>
                <c:pt idx="0">
                  <c:v>MOLiCEL 18650-M35A</c:v>
                </c:pt>
              </c:strCache>
            </c:strRef>
          </c:tx>
          <c:spPr>
            <a:ln w="28575" cap="rnd">
              <a:solidFill>
                <a:schemeClr val="accent1">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'V&amp;V-SD-Global'!$C$48:$AG$48</c:f>
              <c:numCache>
                <c:formatCode>General</c:formatCode>
                <c:ptCount val="14"/>
                <c:pt idx="0">
                  <c:v>3.20558099087988</c:v>
                </c:pt>
                <c:pt idx="1">
                  <c:v>1.51444701037329</c:v>
                </c:pt>
                <c:pt idx="2">
                  <c:v>4.76029390298077</c:v>
                </c:pt>
                <c:pt idx="3">
                  <c:v>1.60212329736002</c:v>
                </c:pt>
                <c:pt idx="4">
                  <c:v>1.83349975931679</c:v>
                </c:pt>
                <c:pt idx="5">
                  <c:v>4.50092021072775</c:v>
                </c:pt>
                <c:pt idx="6">
                  <c:v>8.61342127556122</c:v>
                </c:pt>
                <c:pt idx="7">
                  <c:v>4.91399391480405</c:v>
                </c:pt>
                <c:pt idx="8">
                  <c:v>3.23683178597156</c:v>
                </c:pt>
                <c:pt idx="9">
                  <c:v>1.7159469801117</c:v>
                </c:pt>
                <c:pt idx="10">
                  <c:v>0.198690322841729</c:v>
                </c:pt>
                <c:pt idx="11">
                  <c:v>0.298442385897169</c:v>
                </c:pt>
                <c:pt idx="12">
                  <c:v>0.205315207838227</c:v>
                </c:pt>
                <c:pt idx="13">
                  <c:v>4.72228069540465</c:v>
                </c:pt>
              </c:numCache>
            </c:numRef>
          </c:val>
        </c:ser>
        <c:ser>
          <c:idx val="27"/>
          <c:order val="5"/>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b897da2-1e77-4918-9e22-693c1503157d}"/>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'V&amp;V-SD-Global'!$B$36</c:f>
              <c:strCache>
                <c:ptCount val="1"/>
                <c:pt idx="0">
                  <c:v>KULR 18650-K330</c:v>
                </c:pt>
              </c:strCache>
            </c:strRef>
          </c:tx>
          <c:spPr>
            <a:ln w="28575" cap="rnd">
              <a:solidFill>
                <a:schemeClr val="accent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'V&amp;V-SD-Global'!$C$36:$AG$36</c:f>
              <c:numCache>
                <c:formatCode>General</c:formatCode>
                <c:ptCount val="14"/>
                <c:pt idx="0">
                  <c:v>3.22847159759431</c:v>
                </c:pt>
                <c:pt idx="1">
                  <c:v>1.82165256118284</c:v>
                </c:pt>
                <c:pt idx="2">
                  <c:v>4.99511081347445</c:v>
                </c:pt>
                <c:pt idx="3">
                  <c:v>1.55587349515296</c:v>
                </c:pt>
                <c:pt idx="4">
                  <c:v>1.69967742411312</c:v>
                </c:pt>
                <c:pt idx="5">
                  <c:v>3.28490804048952</c:v>
                </c:pt>
                <c:pt idx="6">
                  <c:v>8.95356392662514</c:v>
                </c:pt>
                <c:pt idx="7">
                  <c:v>9.09765181096733</c:v>
                </c:pt>
                <c:pt idx="8">
                  <c:v>1.51013205167442</c:v>
                </c:pt>
                <c:pt idx="9">
                  <c:v>4.27820817970095</c:v>
                </c:pt>
                <c:pt idx="10">
                  <c:v>5.22547311441558</c:v>
                </c:pt>
                <c:pt idx="11">
                  <c:v>2.72934242641563</c:v>
                </c:pt>
                <c:pt idx="12">
                  <c:v>3.86769970008413</c:v>
                </c:pt>
                <c:pt idx="13">
                  <c:v>4.09541990958646</c:v>
                </c:pt>
              </c:numCache>
            </c:numRef>
          </c:val>
        </c:ser>
        <c:ser>
          <c:idx val="5"/>
          <c:order val="1"/>
          <c:tx>
            <c:strRef>
              <c:f>'V&amp;V-SD-Global'!$B$41</c:f>
              <c:strCache>
                <c:ptCount val="1"/>
                <c:pt idx="0">
                  <c:v>LG 18650-Test Cell (BV-250)</c:v>
                </c:pt>
              </c:strCache>
            </c:strRef>
          </c:tx>
          <c:spPr>
            <a:ln w="28575" cap="rnd">
              <a:solidFill>
                <a:schemeClr val="accent6"/>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'V&amp;V-SD-Global'!$C$41:$AG$41</c:f>
              <c:numCache>
                <c:formatCode>General</c:formatCode>
                <c:ptCount val="14"/>
                <c:pt idx="0">
                  <c:v>3.88841608299717</c:v>
                </c:pt>
                <c:pt idx="1">
                  <c:v>2.64982458940175</c:v>
                </c:pt>
                <c:pt idx="2">
                  <c:v>4.71782971514032</c:v>
                </c:pt>
                <c:pt idx="3">
                  <c:v>2.75317746020182</c:v>
                </c:pt>
                <c:pt idx="4">
                  <c:v>2.9485534649786</c:v>
                </c:pt>
                <c:pt idx="5">
                  <c:v>2.02092289513438</c:v>
                </c:pt>
                <c:pt idx="6">
                  <c:v>5.42167365266596</c:v>
                </c:pt>
                <c:pt idx="7">
                  <c:v>4.99967658212512</c:v>
                </c:pt>
                <c:pt idx="8">
                  <c:v>1.4795331619192</c:v>
                </c:pt>
                <c:pt idx="9">
                  <c:v>2.11185877829306</c:v>
                </c:pt>
                <c:pt idx="10">
                  <c:v>9.80130967715828</c:v>
                </c:pt>
                <c:pt idx="11">
                  <c:v>9.70155761410283</c:v>
                </c:pt>
                <c:pt idx="12">
                  <c:v>9.79468479216177</c:v>
                </c:pt>
                <c:pt idx="13">
                  <c:v>3.25325914427892</c:v>
                </c:pt>
              </c:numCache>
            </c:numRef>
          </c:val>
        </c:ser>
        <c:ser>
          <c:idx val="6"/>
          <c:order val="2"/>
          <c:tx>
            <c:strRef>
              <c:f>'V&amp;V-SD-Global'!$B$42</c:f>
              <c:strCache>
                <c:ptCount val="1"/>
                <c:pt idx="0">
                  <c:v>LG 18650-Test Cell (BV-220)</c:v>
                </c:pt>
              </c:strCache>
            </c:strRef>
          </c:tx>
          <c:spPr>
            <a:ln w="28575" cap="rnd">
              <a:solidFill>
                <a:schemeClr val="accent1">
                  <a:lumMod val="6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'V&amp;V-SD-Global'!$C$42:$AG$42</c:f>
              <c:numCache>
                <c:formatCode>General</c:formatCode>
                <c:ptCount val="14"/>
                <c:pt idx="0">
                  <c:v>4.04425214559513</c:v>
                </c:pt>
                <c:pt idx="1">
                  <c:v>2.31146297667609</c:v>
                </c:pt>
                <c:pt idx="2">
                  <c:v>5.34491391623576</c:v>
                </c:pt>
                <c:pt idx="3">
                  <c:v>1.95875209947309</c:v>
                </c:pt>
                <c:pt idx="4">
                  <c:v>3.20911674781475</c:v>
                </c:pt>
                <c:pt idx="5">
                  <c:v>1.4304543329126</c:v>
                </c:pt>
                <c:pt idx="6">
                  <c:v>7.59453556059431</c:v>
                </c:pt>
                <c:pt idx="7">
                  <c:v>6.36456474484181</c:v>
                </c:pt>
                <c:pt idx="8">
                  <c:v>5.89055158198509</c:v>
                </c:pt>
                <c:pt idx="9">
                  <c:v>7.65235285637336</c:v>
                </c:pt>
                <c:pt idx="10">
                  <c:v>2.72198637467235</c:v>
                </c:pt>
                <c:pt idx="11">
                  <c:v>2.58789289049574</c:v>
                </c:pt>
                <c:pt idx="12">
                  <c:v>2.80759966718175</c:v>
                </c:pt>
                <c:pt idx="13">
                  <c:v>1.79882817391425</c:v>
                </c:pt>
              </c:numCache>
            </c:numRef>
          </c:val>
        </c:ser>
        <c:ser>
          <c:idx val="19"/>
          <c:order val="3"/>
          <c:tx>
            <c:strRef>
              <c:f>'V&amp;V-SD-Global'!$B$55</c:f>
              <c:strCache>
                <c:ptCount val="1"/>
                <c:pt idx="0">
                  <c:v>Sony 18650-VC7</c:v>
                </c:pt>
              </c:strCache>
            </c:strRef>
          </c:tx>
          <c:spPr>
            <a:ln w="28575" cap="rnd">
              <a:solidFill>
                <a:schemeClr val="accent2">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'V&amp;V-SD-Global'!$C$55:$AG$55</c:f>
              <c:numCache>
                <c:formatCode>General</c:formatCode>
                <c:ptCount val="14"/>
                <c:pt idx="0">
                  <c:v>4.32351851325751</c:v>
                </c:pt>
                <c:pt idx="1">
                  <c:v>3.45196427692873</c:v>
                </c:pt>
                <c:pt idx="2">
                  <c:v>5.11934734979717</c:v>
                </c:pt>
                <c:pt idx="3">
                  <c:v>3.45908158961722</c:v>
                </c:pt>
                <c:pt idx="4">
                  <c:v>3.7582280965617</c:v>
                </c:pt>
                <c:pt idx="5">
                  <c:v>1.92895600379906</c:v>
                </c:pt>
                <c:pt idx="6">
                  <c:v>7.32769144857267</c:v>
                </c:pt>
                <c:pt idx="7">
                  <c:v>5.80419671889153</c:v>
                </c:pt>
                <c:pt idx="8">
                  <c:v>4.42487279377858</c:v>
                </c:pt>
                <c:pt idx="9">
                  <c:v>4.24837830886022</c:v>
                </c:pt>
                <c:pt idx="10">
                  <c:v>2.57933555605626</c:v>
                </c:pt>
                <c:pt idx="11">
                  <c:v>5.77539240684898</c:v>
                </c:pt>
                <c:pt idx="12">
                  <c:v>2.86362369578877</c:v>
                </c:pt>
                <c:pt idx="13">
                  <c:v>3.53820651929665</c:v>
                </c:pt>
              </c:numCache>
            </c:numRef>
          </c:val>
        </c:ser>
        <c:ser>
          <c:idx val="27"/>
          <c:order val="4"/>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29ed08e-08f0-4293-beda-d0ef4f44fd4a}"/>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15"/>
          <c:order val="0"/>
          <c:tx>
            <c:strRef>
              <c:f>'V&amp;V-SD-Global'!$B$51</c:f>
              <c:strCache>
                <c:ptCount val="1"/>
                <c:pt idx="0">
                  <c:v>Samsung 18650-26J</c:v>
                </c:pt>
              </c:strCache>
            </c:strRef>
          </c:tx>
          <c:spPr>
            <a:ln w="28575" cap="rnd">
              <a:solidFill>
                <a:schemeClr val="accent4">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'V&amp;V-SD-Global'!$C$51:$AG$51</c:f>
              <c:numCache>
                <c:formatCode>General</c:formatCode>
                <c:ptCount val="14"/>
                <c:pt idx="0">
                  <c:v>5.31814692622896</c:v>
                </c:pt>
                <c:pt idx="1">
                  <c:v>3.73025229807246</c:v>
                </c:pt>
                <c:pt idx="2">
                  <c:v>4.57561727238451</c:v>
                </c:pt>
                <c:pt idx="3">
                  <c:v>3.64027922447432</c:v>
                </c:pt>
                <c:pt idx="4">
                  <c:v>3.75563282124018</c:v>
                </c:pt>
                <c:pt idx="5">
                  <c:v>4.58001285305087</c:v>
                </c:pt>
                <c:pt idx="6">
                  <c:v>3.37094525508995</c:v>
                </c:pt>
                <c:pt idx="7">
                  <c:v>0.269253086902368</c:v>
                </c:pt>
                <c:pt idx="8">
                  <c:v>0.693197600721835</c:v>
                </c:pt>
                <c:pt idx="9">
                  <c:v>0.57830388158562</c:v>
                </c:pt>
                <c:pt idx="10">
                  <c:v>0.198690322841729</c:v>
                </c:pt>
                <c:pt idx="11">
                  <c:v>0.298442385897169</c:v>
                </c:pt>
                <c:pt idx="12">
                  <c:v>0.205315207838227</c:v>
                </c:pt>
                <c:pt idx="13">
                  <c:v>9.40305733035928</c:v>
                </c:pt>
              </c:numCache>
            </c:numRef>
          </c:val>
        </c:ser>
        <c:ser>
          <c:idx val="16"/>
          <c:order val="1"/>
          <c:tx>
            <c:strRef>
              <c:f>'V&amp;V-SD-Global'!$B$52</c:f>
              <c:strCache>
                <c:ptCount val="1"/>
                <c:pt idx="0">
                  <c:v>Samsung 18650-30Q</c:v>
                </c:pt>
              </c:strCache>
            </c:strRef>
          </c:tx>
          <c:spPr>
            <a:ln w="28575" cap="rnd">
              <a:solidFill>
                <a:schemeClr val="accent5">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'V&amp;V-SD-Global'!$C$52:$AG$52</c:f>
              <c:numCache>
                <c:formatCode>General</c:formatCode>
                <c:ptCount val="14"/>
                <c:pt idx="0">
                  <c:v>5.10390373557316</c:v>
                </c:pt>
                <c:pt idx="1">
                  <c:v>2.26045246421317</c:v>
                </c:pt>
                <c:pt idx="2">
                  <c:v>4.85292146716282</c:v>
                </c:pt>
                <c:pt idx="3">
                  <c:v>1.9256093129261</c:v>
                </c:pt>
                <c:pt idx="4">
                  <c:v>4.15311194940263</c:v>
                </c:pt>
                <c:pt idx="5">
                  <c:v>0.0486700555873649</c:v>
                </c:pt>
                <c:pt idx="6">
                  <c:v>0.392103588015472</c:v>
                </c:pt>
                <c:pt idx="7">
                  <c:v>0.70127290590466</c:v>
                </c:pt>
                <c:pt idx="8">
                  <c:v>6.59117971689888</c:v>
                </c:pt>
                <c:pt idx="9">
                  <c:v>1.15122467199819</c:v>
                </c:pt>
                <c:pt idx="10">
                  <c:v>4.43805124118372</c:v>
                </c:pt>
                <c:pt idx="11">
                  <c:v>1.35875596469058</c:v>
                </c:pt>
                <c:pt idx="12">
                  <c:v>2.28186789437413</c:v>
                </c:pt>
                <c:pt idx="13">
                  <c:v>2.14565560274215</c:v>
                </c:pt>
              </c:numCache>
            </c:numRef>
          </c:val>
        </c:ser>
        <c:ser>
          <c:idx val="17"/>
          <c:order val="2"/>
          <c:tx>
            <c:strRef>
              <c:f>'V&amp;V-SD-Global'!$B$53</c:f>
              <c:strCache>
                <c:ptCount val="1"/>
                <c:pt idx="0">
                  <c:v>Sanyo 18650-2.15</c:v>
                </c:pt>
              </c:strCache>
            </c:strRef>
          </c:tx>
          <c:spPr>
            <a:ln w="28575" cap="rnd">
              <a:solidFill>
                <a:schemeClr val="accent6">
                  <a:lumMod val="80000"/>
                  <a:lumOff val="2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'V&amp;V-SD-Global'!$C$53:$AG$53</c:f>
              <c:numCache>
                <c:formatCode>General</c:formatCode>
                <c:ptCount val="14"/>
                <c:pt idx="0">
                  <c:v>4.59708698610617</c:v>
                </c:pt>
                <c:pt idx="1">
                  <c:v>1.77537558034266</c:v>
                </c:pt>
                <c:pt idx="2">
                  <c:v>4.65438816833142</c:v>
                </c:pt>
                <c:pt idx="3">
                  <c:v>2.25480798776197</c:v>
                </c:pt>
                <c:pt idx="4">
                  <c:v>2.12654870463681</c:v>
                </c:pt>
                <c:pt idx="5">
                  <c:v>2.39491754757463</c:v>
                </c:pt>
                <c:pt idx="6">
                  <c:v>1.52426480559082</c:v>
                </c:pt>
                <c:pt idx="7">
                  <c:v>0.317359802947748</c:v>
                </c:pt>
                <c:pt idx="8">
                  <c:v>0.199917087569601</c:v>
                </c:pt>
                <c:pt idx="9">
                  <c:v>0.57830388158562</c:v>
                </c:pt>
                <c:pt idx="10">
                  <c:v>0.198690322841729</c:v>
                </c:pt>
                <c:pt idx="11">
                  <c:v>0.298442385897169</c:v>
                </c:pt>
                <c:pt idx="12">
                  <c:v>0.205315207838227</c:v>
                </c:pt>
                <c:pt idx="13">
                  <c:v>1.03889165807251</c:v>
                </c:pt>
              </c:numCache>
            </c:numRef>
          </c:val>
        </c:ser>
        <c:ser>
          <c:idx val="18"/>
          <c:order val="3"/>
          <c:tx>
            <c:strRef>
              <c:f>'V&amp;V-SD-Global'!$B$54</c:f>
              <c:strCache>
                <c:ptCount val="1"/>
                <c:pt idx="0">
                  <c:v>Sony 18650-VTC6</c:v>
                </c:pt>
              </c:strCache>
            </c:strRef>
          </c:tx>
          <c:spPr>
            <a:ln w="28575" cap="rnd">
              <a:solidFill>
                <a:schemeClr val="accent1">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'V&amp;V-SD-Global'!$C$54:$AG$54</c:f>
              <c:numCache>
                <c:formatCode>General</c:formatCode>
                <c:ptCount val="14"/>
                <c:pt idx="0">
                  <c:v>3.44528529898131</c:v>
                </c:pt>
                <c:pt idx="1">
                  <c:v>1.32950526115163</c:v>
                </c:pt>
                <c:pt idx="2">
                  <c:v>4.63347231617908</c:v>
                </c:pt>
                <c:pt idx="3">
                  <c:v>2.02135512944027</c:v>
                </c:pt>
                <c:pt idx="4">
                  <c:v>1.88022676652109</c:v>
                </c:pt>
                <c:pt idx="5">
                  <c:v>2.84977457674086</c:v>
                </c:pt>
                <c:pt idx="6">
                  <c:v>1.99492341509611</c:v>
                </c:pt>
                <c:pt idx="7">
                  <c:v>0.0546468321022653</c:v>
                </c:pt>
                <c:pt idx="8">
                  <c:v>0.362499218141049</c:v>
                </c:pt>
                <c:pt idx="9">
                  <c:v>0.57830388158562</c:v>
                </c:pt>
                <c:pt idx="10">
                  <c:v>0.198690322841729</c:v>
                </c:pt>
                <c:pt idx="11">
                  <c:v>0.298442385897169</c:v>
                </c:pt>
                <c:pt idx="12">
                  <c:v>0.205315207838227</c:v>
                </c:pt>
                <c:pt idx="13">
                  <c:v>4.64676013258372</c:v>
                </c:pt>
              </c:numCache>
            </c:numRef>
          </c:val>
        </c:ser>
        <c:ser>
          <c:idx val="20"/>
          <c:order val="4"/>
          <c:tx>
            <c:strRef>
              <c:f>'V&amp;V-SD-Global'!$B$56</c:f>
              <c:strCache>
                <c:ptCount val="1"/>
                <c:pt idx="0">
                  <c:v>Soteria 18650 (Control)</c:v>
                </c:pt>
              </c:strCache>
            </c:strRef>
          </c:tx>
          <c:spPr>
            <a:ln w="28575" cap="rnd">
              <a:solidFill>
                <a:schemeClr val="accent3">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'V&amp;V-SD-Global'!$C$56:$AG$56</c:f>
              <c:numCache>
                <c:formatCode>General</c:formatCode>
                <c:ptCount val="14"/>
                <c:pt idx="0">
                  <c:v>3.98003780017846</c:v>
                </c:pt>
                <c:pt idx="1">
                  <c:v>1.60319367141939</c:v>
                </c:pt>
                <c:pt idx="2">
                  <c:v>4.81948628478524</c:v>
                </c:pt>
                <c:pt idx="3">
                  <c:v>1.4043872637307</c:v>
                </c:pt>
                <c:pt idx="4">
                  <c:v>1.4615378464691</c:v>
                </c:pt>
                <c:pt idx="5">
                  <c:v>6.47863146612683</c:v>
                </c:pt>
                <c:pt idx="6">
                  <c:v>4.77471981042809</c:v>
                </c:pt>
                <c:pt idx="7">
                  <c:v>0.351204563846573</c:v>
                </c:pt>
                <c:pt idx="8">
                  <c:v>1.06434285055098</c:v>
                </c:pt>
                <c:pt idx="9">
                  <c:v>0.57830388158562</c:v>
                </c:pt>
                <c:pt idx="10">
                  <c:v>0.198690322841729</c:v>
                </c:pt>
                <c:pt idx="11">
                  <c:v>0.298442385897169</c:v>
                </c:pt>
                <c:pt idx="12">
                  <c:v>0.205315207838227</c:v>
                </c:pt>
                <c:pt idx="13">
                  <c:v>8.4023846542168</c:v>
                </c:pt>
              </c:numCache>
            </c:numRef>
          </c:val>
        </c:ser>
        <c:ser>
          <c:idx val="21"/>
          <c:order val="5"/>
          <c:tx>
            <c:strRef>
              <c:f>'V&amp;V-SD-Global'!$B$57</c:f>
              <c:strCache>
                <c:ptCount val="1"/>
                <c:pt idx="0">
                  <c:v>Soteria 18650 (AL)</c:v>
                </c:pt>
              </c:strCache>
            </c:strRef>
          </c:tx>
          <c:spPr>
            <a:ln w="28575" cap="rnd">
              <a:solidFill>
                <a:schemeClr val="accent4">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'V&amp;V-SD-Global'!$C$57:$AG$57</c:f>
              <c:numCache>
                <c:formatCode>General</c:formatCode>
                <c:ptCount val="14"/>
                <c:pt idx="0">
                  <c:v>5.73617832839681</c:v>
                </c:pt>
                <c:pt idx="1">
                  <c:v>2.47322553836343</c:v>
                </c:pt>
                <c:pt idx="2">
                  <c:v>4.87005509039861</c:v>
                </c:pt>
                <c:pt idx="3">
                  <c:v>3.39639313003975</c:v>
                </c:pt>
                <c:pt idx="4">
                  <c:v>3.26393962748614</c:v>
                </c:pt>
                <c:pt idx="5">
                  <c:v>6.78246600376143</c:v>
                </c:pt>
                <c:pt idx="6">
                  <c:v>5.00180513453425</c:v>
                </c:pt>
                <c:pt idx="7">
                  <c:v>0.383259093043652</c:v>
                </c:pt>
                <c:pt idx="8">
                  <c:v>0.262583070853877</c:v>
                </c:pt>
                <c:pt idx="9">
                  <c:v>0.57830388158562</c:v>
                </c:pt>
                <c:pt idx="10">
                  <c:v>1.58025854441087</c:v>
                </c:pt>
                <c:pt idx="11">
                  <c:v>2.90600256661917</c:v>
                </c:pt>
                <c:pt idx="12">
                  <c:v>0.205315207838227</c:v>
                </c:pt>
                <c:pt idx="13">
                  <c:v>7.68630789797404</c:v>
                </c:pt>
              </c:numCache>
            </c:numRef>
          </c:val>
        </c:ser>
        <c:ser>
          <c:idx val="22"/>
          <c:order val="6"/>
          <c:tx>
            <c:strRef>
              <c:f>'V&amp;V-SD-Global'!$B$58</c:f>
              <c:strCache>
                <c:ptCount val="1"/>
                <c:pt idx="0">
                  <c:v>Soteria 18650 (CU)</c:v>
                </c:pt>
              </c:strCache>
            </c:strRef>
          </c:tx>
          <c:spPr>
            <a:ln w="28575" cap="rnd">
              <a:solidFill>
                <a:schemeClr val="accent5">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'V&amp;V-SD-Global'!$C$58:$AG$58</c:f>
              <c:numCache>
                <c:formatCode>General</c:formatCode>
                <c:ptCount val="14"/>
                <c:pt idx="0">
                  <c:v>3.90492889560356</c:v>
                </c:pt>
                <c:pt idx="1">
                  <c:v>1.43495514328049</c:v>
                </c:pt>
                <c:pt idx="2">
                  <c:v>4.88014916177774</c:v>
                </c:pt>
                <c:pt idx="3">
                  <c:v>1.77426360640664</c:v>
                </c:pt>
                <c:pt idx="4">
                  <c:v>1.38445038040316</c:v>
                </c:pt>
                <c:pt idx="5">
                  <c:v>3.33047601667709</c:v>
                </c:pt>
                <c:pt idx="6">
                  <c:v>2.25645526628466</c:v>
                </c:pt>
                <c:pt idx="7">
                  <c:v>0.334374617723086</c:v>
                </c:pt>
                <c:pt idx="8">
                  <c:v>0.399158847928444</c:v>
                </c:pt>
                <c:pt idx="9">
                  <c:v>0.57830388158562</c:v>
                </c:pt>
                <c:pt idx="10">
                  <c:v>0.198690322841729</c:v>
                </c:pt>
                <c:pt idx="11">
                  <c:v>0.298442385897169</c:v>
                </c:pt>
                <c:pt idx="12">
                  <c:v>0.205315207838227</c:v>
                </c:pt>
                <c:pt idx="13">
                  <c:v>2.25214148280899</c:v>
                </c:pt>
              </c:numCache>
            </c:numRef>
          </c:val>
        </c:ser>
        <c:ser>
          <c:idx val="23"/>
          <c:order val="7"/>
          <c:tx>
            <c:strRef>
              <c:f>'V&amp;V-SD-Global'!$B$59</c:f>
              <c:strCache>
                <c:ptCount val="1"/>
                <c:pt idx="0">
                  <c:v>Soteria 18650 (ALCU)</c:v>
                </c:pt>
              </c:strCache>
            </c:strRef>
          </c:tx>
          <c:spPr>
            <a:ln w="28575" cap="rnd">
              <a:solidFill>
                <a:schemeClr val="accent6">
                  <a:lumMod val="8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'V&amp;V-SD-Global'!$C$59:$AG$59</c:f>
              <c:numCache>
                <c:formatCode>General</c:formatCode>
                <c:ptCount val="14"/>
                <c:pt idx="0">
                  <c:v>5.93921644197103</c:v>
                </c:pt>
                <c:pt idx="1">
                  <c:v>2.32369527661086</c:v>
                </c:pt>
                <c:pt idx="2">
                  <c:v>4.7530437693836</c:v>
                </c:pt>
                <c:pt idx="3">
                  <c:v>3.74739399652967</c:v>
                </c:pt>
                <c:pt idx="4">
                  <c:v>3.47232628654914</c:v>
                </c:pt>
                <c:pt idx="5">
                  <c:v>5.96673111644372</c:v>
                </c:pt>
                <c:pt idx="6">
                  <c:v>4.42938683457141</c:v>
                </c:pt>
                <c:pt idx="7">
                  <c:v>0.55160179509073</c:v>
                </c:pt>
                <c:pt idx="8">
                  <c:v>0.285878916385418</c:v>
                </c:pt>
                <c:pt idx="9">
                  <c:v>0.57830388158562</c:v>
                </c:pt>
                <c:pt idx="10">
                  <c:v>3.76458026271434</c:v>
                </c:pt>
                <c:pt idx="11">
                  <c:v>3.83438792220369</c:v>
                </c:pt>
                <c:pt idx="12">
                  <c:v>0.205315207838227</c:v>
                </c:pt>
                <c:pt idx="13">
                  <c:v>6.59110095949631</c:v>
                </c:pt>
              </c:numCache>
            </c:numRef>
          </c:val>
        </c:ser>
        <c:ser>
          <c:idx val="24"/>
          <c:order val="8"/>
          <c:tx>
            <c:strRef>
              <c:f>'V&amp;V-SD-Global'!$B$60</c:f>
              <c:strCache>
                <c:ptCount val="1"/>
                <c:pt idx="0">
                  <c:v>Soteria 18650 (DW)</c:v>
                </c:pt>
              </c:strCache>
            </c:strRef>
          </c:tx>
          <c:spPr>
            <a:ln w="28575" cap="rnd">
              <a:solidFill>
                <a:schemeClr val="accent1">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'V&amp;V-SD-Global'!$C$60:$AG$60</c:f>
              <c:numCache>
                <c:formatCode>General</c:formatCode>
                <c:ptCount val="14"/>
                <c:pt idx="0">
                  <c:v>5.32484974653374</c:v>
                </c:pt>
                <c:pt idx="1">
                  <c:v>3.27319046207095</c:v>
                </c:pt>
                <c:pt idx="2">
                  <c:v>4.93621498459563</c:v>
                </c:pt>
                <c:pt idx="3">
                  <c:v>2.99686365285766</c:v>
                </c:pt>
                <c:pt idx="4">
                  <c:v>2.84177559412978</c:v>
                </c:pt>
                <c:pt idx="5">
                  <c:v>6.71046412335398</c:v>
                </c:pt>
                <c:pt idx="6">
                  <c:v>5.00342891295831</c:v>
                </c:pt>
                <c:pt idx="7">
                  <c:v>0.27483221753589</c:v>
                </c:pt>
                <c:pt idx="8">
                  <c:v>0.759982406157873</c:v>
                </c:pt>
                <c:pt idx="9">
                  <c:v>0.57830388158562</c:v>
                </c:pt>
                <c:pt idx="10">
                  <c:v>0.198690322841729</c:v>
                </c:pt>
                <c:pt idx="11">
                  <c:v>0.298442385897169</c:v>
                </c:pt>
                <c:pt idx="12">
                  <c:v>0.205315207838227</c:v>
                </c:pt>
                <c:pt idx="13">
                  <c:v>9.12462293175381</c:v>
                </c:pt>
              </c:numCache>
            </c:numRef>
          </c:val>
        </c:ser>
        <c:ser>
          <c:idx val="25"/>
          <c:order val="9"/>
          <c:tx>
            <c:strRef>
              <c:f>'V&amp;V-SD-Global'!$B$61</c:f>
              <c:strCache>
                <c:ptCount val="1"/>
                <c:pt idx="0">
                  <c:v>Soteria 18650 (ALDW)</c:v>
                </c:pt>
              </c:strCache>
            </c:strRef>
          </c:tx>
          <c:spPr>
            <a:ln w="28575" cap="rnd">
              <a:solidFill>
                <a:schemeClr val="accent2">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'V&amp;V-SD-Global'!$C$61:$AG$61</c:f>
              <c:numCache>
                <c:formatCode>General</c:formatCode>
                <c:ptCount val="14"/>
                <c:pt idx="0">
                  <c:v>3.65174276777314</c:v>
                </c:pt>
                <c:pt idx="1">
                  <c:v>2.44187381198824</c:v>
                </c:pt>
                <c:pt idx="2">
                  <c:v>4.85982207163111</c:v>
                </c:pt>
                <c:pt idx="3">
                  <c:v>1.52793860632282</c:v>
                </c:pt>
                <c:pt idx="4">
                  <c:v>1.12459467956507</c:v>
                </c:pt>
                <c:pt idx="5">
                  <c:v>9.50464889552712</c:v>
                </c:pt>
                <c:pt idx="6">
                  <c:v>7.07151736527626</c:v>
                </c:pt>
                <c:pt idx="7">
                  <c:v>0.556634068187209</c:v>
                </c:pt>
                <c:pt idx="8">
                  <c:v>0.287056641076199</c:v>
                </c:pt>
                <c:pt idx="9">
                  <c:v>0.57830388158562</c:v>
                </c:pt>
                <c:pt idx="10">
                  <c:v>0.198690322841729</c:v>
                </c:pt>
                <c:pt idx="11">
                  <c:v>0.298442385897169</c:v>
                </c:pt>
                <c:pt idx="12">
                  <c:v>0.205315207838227</c:v>
                </c:pt>
                <c:pt idx="13">
                  <c:v>9.44972268604156</c:v>
                </c:pt>
              </c:numCache>
            </c:numRef>
          </c:val>
        </c:ser>
        <c:ser>
          <c:idx val="26"/>
          <c:order val="10"/>
          <c:tx>
            <c:strRef>
              <c:f>'V&amp;V-SD-Global'!$B$62</c:f>
              <c:strCache>
                <c:ptCount val="1"/>
                <c:pt idx="0">
                  <c:v>Soteria 18650 (ALCUDW)</c:v>
                </c:pt>
              </c:strCache>
            </c:strRef>
          </c:tx>
          <c:spPr>
            <a:ln w="28575" cap="rnd">
              <a:solidFill>
                <a:schemeClr val="accent3">
                  <a:lumMod val="60000"/>
                  <a:lumOff val="40000"/>
                </a:schemeClr>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'V&amp;V-SD-Global'!$C$62:$AG$62</c:f>
              <c:numCache>
                <c:formatCode>General</c:formatCode>
                <c:ptCount val="14"/>
                <c:pt idx="0">
                  <c:v>4.93170807238291</c:v>
                </c:pt>
                <c:pt idx="1">
                  <c:v>3.17442384684166</c:v>
                </c:pt>
                <c:pt idx="2">
                  <c:v>4.94896274968678</c:v>
                </c:pt>
                <c:pt idx="3">
                  <c:v>2.82219348462172</c:v>
                </c:pt>
                <c:pt idx="4">
                  <c:v>2.4382775583545</c:v>
                </c:pt>
                <c:pt idx="5">
                  <c:v>9.95132994441263</c:v>
                </c:pt>
                <c:pt idx="6">
                  <c:v>7.60849706214814</c:v>
                </c:pt>
                <c:pt idx="7">
                  <c:v>0.274221692006015</c:v>
                </c:pt>
                <c:pt idx="8">
                  <c:v>0.555901052015177</c:v>
                </c:pt>
                <c:pt idx="9">
                  <c:v>0.57830388158562</c:v>
                </c:pt>
                <c:pt idx="10">
                  <c:v>2.6569061597283</c:v>
                </c:pt>
                <c:pt idx="11">
                  <c:v>2.68453717403266</c:v>
                </c:pt>
                <c:pt idx="12">
                  <c:v>0.205315207838227</c:v>
                </c:pt>
                <c:pt idx="13">
                  <c:v>9.94959173684649</c:v>
                </c:pt>
              </c:numCache>
            </c:numRef>
          </c:val>
        </c:ser>
        <c:ser>
          <c:idx val="27"/>
          <c:order val="11"/>
          <c:tx>
            <c:strRef>
              <c:f>'V&amp;V-SD-Global'!$B$63</c:f>
              <c:strCache>
                <c:ptCount val="1"/>
                <c:pt idx="0">
                  <c:v>Outer Band</c:v>
                </c:pt>
              </c:strCache>
            </c:strRef>
          </c:tx>
          <c:spPr>
            <a:ln w="22225" cap="rnd">
              <a:solidFill>
                <a:schemeClr val="tx1"/>
              </a:solidFill>
              <a:round/>
            </a:ln>
            <a:effectLst/>
          </c:spPr>
          <c:marker>
            <c:symbol val="none"/>
          </c:marker>
          <c:dLbls>
            <c:delete val="1"/>
          </c:dLbls>
          <c:cat>
            <c:strRef>
              <c:f>'V&amp;V-SD-Global'!$C$35:$AG$35</c:f>
              <c:strCache>
                <c:ptCount val="14"/>
                <c:pt idx="0" c:formatCode="0">
                  <c:v>a</c:v>
                </c:pt>
                <c:pt idx="1" c:formatCode="0">
                  <c:v>b</c:v>
                </c:pt>
                <c:pt idx="2" c:formatCode="0">
                  <c:v>c</c:v>
                </c:pt>
                <c:pt idx="3" c:formatCode="0">
                  <c:v>d</c:v>
                </c:pt>
                <c:pt idx="4" c:formatCode="0">
                  <c:v>e</c:v>
                </c:pt>
                <c:pt idx="5" c:formatCode="0">
                  <c:v>f</c:v>
                </c:pt>
                <c:pt idx="6" c:formatCode="0">
                  <c:v>g</c:v>
                </c:pt>
                <c:pt idx="7" c:formatCode="0">
                  <c:v>h</c:v>
                </c:pt>
                <c:pt idx="8" c:formatCode="0">
                  <c:v>i</c:v>
                </c:pt>
                <c:pt idx="9" c:formatCode="0">
                  <c:v>j</c:v>
                </c:pt>
                <c:pt idx="10" c:formatCode="0">
                  <c:v>k</c:v>
                </c:pt>
                <c:pt idx="11" c:formatCode="0">
                  <c:v>0</c:v>
                </c:pt>
                <c:pt idx="12" c:formatCode="0">
                  <c:v>0</c:v>
                </c:pt>
                <c:pt idx="13" c:formatCode="0.0">
                  <c:v>Percent-Original-Mass-Ejected</c:v>
                </c:pt>
              </c:strCache>
            </c:strRef>
          </c:cat>
          <c:val>
            <c:numRef>
              <c:f>'V&amp;V-SD-Global'!$C$63:$AG$63</c:f>
              <c:numCache>
                <c:formatCode>General</c:formatCode>
                <c:ptCount val="14"/>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numCache>
            </c:numRef>
          </c:val>
        </c:ser>
        <c:dLbls>
          <c:showLegendKey val="0"/>
          <c:showVal val="0"/>
          <c:showCatName val="0"/>
          <c:showSerName val="0"/>
          <c:showPercent val="0"/>
          <c:showBubbleSize val="0"/>
        </c:dLbls>
        <c:axId val="1596848544"/>
        <c:axId val="1596783344"/>
      </c:radarChart>
      <c:catAx>
        <c:axId val="1596848544"/>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zh-CN" sz="1100" b="1" i="0" u="none" strike="noStrike" kern="1200" baseline="0">
                <a:solidFill>
                  <a:schemeClr val="tx1"/>
                </a:solidFill>
                <a:latin typeface="+mn-lt"/>
                <a:ea typeface="+mn-ea"/>
                <a:cs typeface="+mn-cs"/>
              </a:defRPr>
            </a:pPr>
          </a:p>
        </c:txPr>
        <c:crossAx val="1596783344"/>
        <c:crosses val="autoZero"/>
        <c:auto val="1"/>
        <c:lblAlgn val="ctr"/>
        <c:lblOffset val="100"/>
        <c:noMultiLvlLbl val="0"/>
      </c:catAx>
      <c:valAx>
        <c:axId val="1596783344"/>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1400" b="1" i="0" u="none" strike="noStrike" kern="1200" baseline="0">
                <a:solidFill>
                  <a:srgbClr val="0070C0"/>
                </a:solidFill>
                <a:latin typeface="+mn-lt"/>
                <a:ea typeface="+mn-ea"/>
                <a:cs typeface="+mn-cs"/>
              </a:defRPr>
            </a:pPr>
          </a:p>
        </c:txPr>
        <c:crossAx val="159684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c5f6f85-c164-4897-9779-9b1f5c61cd4a}"/>
      </c:ext>
    </c:extLst>
  </c:chart>
  <c:spPr>
    <a:solidFill>
      <a:schemeClr val="bg1"/>
    </a:solidFill>
    <a:ln w="9525" cap="flat" cmpd="sng" algn="ctr">
      <a:noFill/>
      <a:round/>
    </a:ln>
    <a:effectLst/>
  </c:spPr>
  <c:txPr>
    <a:bodyPr/>
    <a:lstStyle/>
    <a:p>
      <a:pPr>
        <a:defRPr lang="zh-CN"/>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93857074989209"/>
          <c:y val="0.0397858796296296"/>
          <c:w val="0.703325863248949"/>
          <c:h val="0.845377319371537"/>
        </c:manualLayout>
      </c:layout>
      <c:scatterChart>
        <c:scatterStyle val="smooth"/>
        <c:varyColors val="0"/>
        <c:ser>
          <c:idx val="0"/>
          <c:order val="0"/>
          <c:tx>
            <c:strRef>
              <c:f>"KULR 18650-K330 (Heater ISC)"</c:f>
              <c:strCache>
                <c:ptCount val="1"/>
                <c:pt idx="0">
                  <c:v>KULR 18650-K330 (Heater ISC)</c:v>
                </c:pt>
              </c:strCache>
            </c:strRef>
          </c:tx>
          <c:spPr>
            <a:ln w="6350" cap="rnd">
              <a:solidFill>
                <a:srgbClr val="0070C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1"/>
          <c:order val="1"/>
          <c:tx>
            <c:strRef>
              <c:f>"KULR 18650-K330 (Heater Non-ISC)"</c:f>
              <c:strCache>
                <c:ptCount val="1"/>
                <c:pt idx="0">
                  <c:v>KULR 18650-K330 (Heater Non-ISC)</c:v>
                </c:pt>
              </c:strCache>
            </c:strRef>
          </c:tx>
          <c:spPr>
            <a:ln w="6350" cap="rnd">
              <a:solidFill>
                <a:schemeClr val="tx1"/>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2"/>
          <c:order val="2"/>
          <c:tx>
            <c:strRef>
              <c:f>"KULR 18650-K330 (Nail)"</c:f>
              <c:strCache>
                <c:ptCount val="1"/>
                <c:pt idx="0">
                  <c:v>KULR 18650-K330 (Nail)</c:v>
                </c:pt>
              </c:strCache>
            </c:strRef>
          </c:tx>
          <c:spPr>
            <a:ln w="6350" cap="rnd">
              <a:solidFill>
                <a:srgbClr val="C0000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11"/>
          <c:order val="3"/>
          <c:tx>
            <c:strRef>
              <c:f>"KULR 18650 Dots (Heater ISC)"</c:f>
              <c:strCache>
                <c:ptCount val="1"/>
                <c:pt idx="0">
                  <c:v>KULR 18650 Dots (Heater ISC)</c:v>
                </c:pt>
              </c:strCache>
            </c:strRef>
          </c:tx>
          <c:spPr>
            <a:ln w="19050" cap="rnd">
              <a:noFill/>
              <a:round/>
            </a:ln>
            <a:effectLst/>
          </c:spPr>
          <c:marker>
            <c:symbol val="circle"/>
            <c:size val="5"/>
            <c:spPr>
              <a:noFill/>
              <a:ln w="12700">
                <a:solidFill>
                  <a:srgbClr val="0070C0"/>
                </a:solidFill>
              </a:ln>
              <a:effectLst/>
            </c:spPr>
          </c:marker>
          <c:dLbls>
            <c:delete val="1"/>
          </c:dLbls>
          <c:xVal>
            <c:numRef>
              <c:f>'Publication Images'!$D$21:$L$21</c:f>
              <c:numCache>
                <c:formatCode>General</c:formatCode>
                <c:ptCount val="9"/>
                <c:pt idx="0">
                  <c:v>56.1380231149685</c:v>
                </c:pt>
                <c:pt idx="1">
                  <c:v>60.7593064105754</c:v>
                </c:pt>
                <c:pt idx="2">
                  <c:v>62.7293688211074</c:v>
                </c:pt>
                <c:pt idx="3">
                  <c:v>56.36533791862</c:v>
                </c:pt>
                <c:pt idx="4">
                  <c:v>63.3429362937877</c:v>
                </c:pt>
                <c:pt idx="5">
                  <c:v>61.7295231247877</c:v>
                </c:pt>
                <c:pt idx="6">
                  <c:v>54.7182484190417</c:v>
                </c:pt>
                <c:pt idx="7">
                  <c:v>62.2664587650275</c:v>
                </c:pt>
                <c:pt idx="8">
                  <c:v>57.9735532503182</c:v>
                </c:pt>
              </c:numCache>
            </c:numRef>
          </c:xVal>
          <c:yVal>
            <c:numRef>
              <c:f>'Publication Images'!$D$22:$L$22</c:f>
              <c:numCache>
                <c:formatCode>General</c:formatCode>
                <c:ptCount val="9"/>
                <c:pt idx="0">
                  <c:v>0.02</c:v>
                </c:pt>
                <c:pt idx="1">
                  <c:v>0.02</c:v>
                </c:pt>
                <c:pt idx="2">
                  <c:v>0.02</c:v>
                </c:pt>
                <c:pt idx="3">
                  <c:v>0.02</c:v>
                </c:pt>
                <c:pt idx="4">
                  <c:v>0.02</c:v>
                </c:pt>
                <c:pt idx="5">
                  <c:v>0.02</c:v>
                </c:pt>
                <c:pt idx="6">
                  <c:v>0.02</c:v>
                </c:pt>
                <c:pt idx="7">
                  <c:v>0.02</c:v>
                </c:pt>
                <c:pt idx="8">
                  <c:v>0.02</c:v>
                </c:pt>
              </c:numCache>
            </c:numRef>
          </c:yVal>
          <c:smooth val="1"/>
        </c:ser>
        <c:ser>
          <c:idx val="12"/>
          <c:order val="4"/>
          <c:tx>
            <c:strRef>
              <c:f>"KULR 18650 (Heater Non ISC)"</c:f>
              <c:strCache>
                <c:ptCount val="1"/>
                <c:pt idx="0">
                  <c:v>KULR 18650 (Heater Non ISC)</c:v>
                </c:pt>
              </c:strCache>
            </c:strRef>
          </c:tx>
          <c:spPr>
            <a:ln w="19050" cap="rnd">
              <a:noFill/>
              <a:round/>
            </a:ln>
            <a:effectLst/>
          </c:spPr>
          <c:marker>
            <c:symbol val="square"/>
            <c:size val="5"/>
            <c:spPr>
              <a:noFill/>
              <a:ln w="12700">
                <a:solidFill>
                  <a:schemeClr val="tx1"/>
                </a:solidFill>
              </a:ln>
              <a:effectLst/>
            </c:spPr>
          </c:marker>
          <c:dLbls>
            <c:delete val="1"/>
          </c:dLbls>
          <c:xVal>
            <c:numRef>
              <c:f>'Publication Images'!$M$21:$V$21</c:f>
              <c:numCache>
                <c:formatCode>General</c:formatCode>
                <c:ptCount val="10"/>
                <c:pt idx="0">
                  <c:v>59.7168751537002</c:v>
                </c:pt>
                <c:pt idx="1">
                  <c:v>62.3791229988472</c:v>
                </c:pt>
                <c:pt idx="2">
                  <c:v>65.6539203615649</c:v>
                </c:pt>
                <c:pt idx="3">
                  <c:v>56.0541959951666</c:v>
                </c:pt>
                <c:pt idx="4">
                  <c:v>63.4549835569718</c:v>
                </c:pt>
                <c:pt idx="5">
                  <c:v>54.7107307670736</c:v>
                </c:pt>
                <c:pt idx="6">
                  <c:v>65.6399265451556</c:v>
                </c:pt>
                <c:pt idx="7">
                  <c:v>63.5600678616969</c:v>
                </c:pt>
                <c:pt idx="8">
                  <c:v>58.8228211872622</c:v>
                </c:pt>
                <c:pt idx="9">
                  <c:v>61.6914161851672</c:v>
                </c:pt>
              </c:numCache>
            </c:numRef>
          </c:xVal>
          <c:yVal>
            <c:numRef>
              <c:f>'Publication Images'!$M$22:$V$22</c:f>
              <c:numCache>
                <c:formatCode>General</c:formatCode>
                <c:ptCount val="10"/>
                <c:pt idx="0">
                  <c:v>0.03</c:v>
                </c:pt>
                <c:pt idx="1">
                  <c:v>0.03</c:v>
                </c:pt>
                <c:pt idx="2">
                  <c:v>0.03</c:v>
                </c:pt>
                <c:pt idx="3">
                  <c:v>0.03</c:v>
                </c:pt>
                <c:pt idx="4">
                  <c:v>0.03</c:v>
                </c:pt>
                <c:pt idx="5">
                  <c:v>0.03</c:v>
                </c:pt>
                <c:pt idx="6">
                  <c:v>0.03</c:v>
                </c:pt>
                <c:pt idx="7">
                  <c:v>0.03</c:v>
                </c:pt>
                <c:pt idx="8">
                  <c:v>0.03</c:v>
                </c:pt>
                <c:pt idx="9">
                  <c:v>0.03</c:v>
                </c:pt>
              </c:numCache>
            </c:numRef>
          </c:yVal>
          <c:smooth val="1"/>
        </c:ser>
        <c:ser>
          <c:idx val="13"/>
          <c:order val="5"/>
          <c:tx>
            <c:strRef>
              <c:f>"KULR 18650 (Nail)"</c:f>
              <c:strCache>
                <c:ptCount val="1"/>
                <c:pt idx="0">
                  <c:v>KULR 18650 (Nail)</c:v>
                </c:pt>
              </c:strCache>
            </c:strRef>
          </c:tx>
          <c:spPr>
            <a:ln w="19050" cap="rnd">
              <a:noFill/>
              <a:round/>
            </a:ln>
            <a:effectLst/>
          </c:spPr>
          <c:marker>
            <c:symbol val="plus"/>
            <c:size val="5"/>
            <c:spPr>
              <a:noFill/>
              <a:ln w="15875">
                <a:solidFill>
                  <a:srgbClr val="C00000"/>
                </a:solidFill>
              </a:ln>
              <a:effectLst/>
            </c:spPr>
          </c:marker>
          <c:dLbls>
            <c:delete val="1"/>
          </c:dLbls>
          <c:xVal>
            <c:numRef>
              <c:f>'Publication Images'!$W$21:$Y$21</c:f>
              <c:numCache>
                <c:formatCode>General</c:formatCode>
                <c:ptCount val="3"/>
                <c:pt idx="0">
                  <c:v>62.0868627368481</c:v>
                </c:pt>
                <c:pt idx="1">
                  <c:v>59.8475864167597</c:v>
                </c:pt>
                <c:pt idx="2">
                  <c:v>59.2163488308969</c:v>
                </c:pt>
              </c:numCache>
            </c:numRef>
          </c:xVal>
          <c:yVal>
            <c:numRef>
              <c:f>'Publication Images'!$W$22:$Y$22</c:f>
              <c:numCache>
                <c:formatCode>General</c:formatCode>
                <c:ptCount val="3"/>
                <c:pt idx="0">
                  <c:v>0.01</c:v>
                </c:pt>
                <c:pt idx="1">
                  <c:v>0.01</c:v>
                </c:pt>
                <c:pt idx="2">
                  <c:v>0.01</c:v>
                </c:pt>
              </c:numCache>
            </c:numRef>
          </c:yVal>
          <c:smooth val="1"/>
        </c:ser>
        <c:dLbls>
          <c:showLegendKey val="0"/>
          <c:showVal val="0"/>
          <c:showCatName val="0"/>
          <c:showSerName val="0"/>
          <c:showPercent val="0"/>
          <c:showBubbleSize val="0"/>
        </c:dLbls>
        <c:axId val="69481504"/>
        <c:axId val="341253840"/>
      </c:scatterChart>
      <c:valAx>
        <c:axId val="69481504"/>
        <c:scaling>
          <c:orientation val="minMax"/>
          <c:max val="75"/>
          <c:min val="45"/>
        </c:scaling>
        <c:delete val="0"/>
        <c:axPos val="b"/>
        <c:majorGridlines>
          <c:spPr>
            <a:ln w="3175" cap="flat" cmpd="sng" algn="ctr">
              <a:solidFill>
                <a:schemeClr val="bg1">
                  <a:lumMod val="85000"/>
                </a:schemeClr>
              </a:solidFill>
              <a:round/>
            </a:ln>
            <a:effectLst/>
          </c:spPr>
        </c:majorGridlines>
        <c:title>
          <c:tx>
            <c:rich>
              <a:bodyPr rot="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Total Energy Yield (kJ)</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341253840"/>
        <c:crosses val="autoZero"/>
        <c:crossBetween val="midCat"/>
      </c:valAx>
      <c:valAx>
        <c:axId val="341253840"/>
        <c:scaling>
          <c:orientation val="minMax"/>
          <c:min val="0"/>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Probability Density</a:t>
                </a:r>
                <a:endParaRPr lang="en-US"/>
              </a:p>
            </c:rich>
          </c:tx>
          <c:layout/>
          <c:overlay val="0"/>
          <c:spPr>
            <a:noFill/>
            <a:ln>
              <a:noFill/>
            </a:ln>
            <a:effectLst/>
          </c:spPr>
        </c:title>
        <c:numFmt formatCode="#,##0.00" sourceLinked="0"/>
        <c:majorTickMark val="none"/>
        <c:minorTickMark val="none"/>
        <c:tickLblPos val="nextTo"/>
        <c:spPr>
          <a:noFill/>
          <a:ln w="6350"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69481504"/>
        <c:crosses val="autoZero"/>
        <c:crossBetween val="midCat"/>
      </c:valAx>
      <c:spPr>
        <a:noFill/>
        <a:ln w="3175">
          <a:solidFill>
            <a:schemeClr val="bg1">
              <a:lumMod val="85000"/>
            </a:schemeClr>
          </a:solidFill>
          <a:prstDash val="solid"/>
        </a:ln>
        <a:effectLst/>
      </c:spPr>
    </c:plotArea>
    <c:plotVisOnly val="1"/>
    <c:dispBlanksAs val="gap"/>
    <c:showDLblsOverMax val="0"/>
    <c:extLst>
      <c:ext uri="{0b15fc19-7d7d-44ad-8c2d-2c3a37ce22c3}">
        <chartProps xmlns="https://web.wps.cn/et/2018/main" chartId="{c0ba4466-e3cd-419f-80ca-4f7f830630a6}"/>
      </c:ext>
    </c:extLst>
  </c:chart>
  <c:spPr>
    <a:solidFill>
      <a:schemeClr val="bg1"/>
    </a:solidFill>
    <a:ln w="9525" cap="flat" cmpd="sng" algn="ctr">
      <a:noFill/>
      <a:round/>
    </a:ln>
    <a:effectLst/>
  </c:spPr>
  <c:txPr>
    <a:bodyPr/>
    <a:lstStyle/>
    <a:p>
      <a:pPr>
        <a:defRPr lang="zh-CN" sz="550" b="1">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93857074989209"/>
          <c:y val="0.0397858796296296"/>
          <c:w val="0.703325863248949"/>
          <c:h val="0.845377319371537"/>
        </c:manualLayout>
      </c:layout>
      <c:scatterChart>
        <c:scatterStyle val="smooth"/>
        <c:varyColors val="0"/>
        <c:ser>
          <c:idx val="3"/>
          <c:order val="0"/>
          <c:tx>
            <c:strRef>
              <c:f>"KULR 21700-K500 (Heater ISC)"</c:f>
              <c:strCache>
                <c:ptCount val="1"/>
                <c:pt idx="0">
                  <c:v>KULR 21700-K500 (Heater ISC)</c:v>
                </c:pt>
              </c:strCache>
            </c:strRef>
          </c:tx>
          <c:spPr>
            <a:ln w="6350" cap="rnd">
              <a:solidFill>
                <a:srgbClr val="0070C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4"/>
          <c:order val="1"/>
          <c:tx>
            <c:strRef>
              <c:f>"KULR 21700-K500 (Heater Non-ISC)"</c:f>
              <c:strCache>
                <c:ptCount val="1"/>
                <c:pt idx="0">
                  <c:v>KULR 21700-K500 (Heater Non-ISC)</c:v>
                </c:pt>
              </c:strCache>
            </c:strRef>
          </c:tx>
          <c:spPr>
            <a:ln w="6350" cap="rnd">
              <a:solidFill>
                <a:schemeClr val="tx1"/>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5"/>
          <c:order val="2"/>
          <c:tx>
            <c:strRef>
              <c:f>"KULR 21700-K500 (Nail Penetration)"</c:f>
              <c:strCache>
                <c:ptCount val="1"/>
                <c:pt idx="0">
                  <c:v>KULR 21700-K500 (Nail Penetration)</c:v>
                </c:pt>
              </c:strCache>
            </c:strRef>
          </c:tx>
          <c:spPr>
            <a:ln w="6350" cap="rnd">
              <a:solidFill>
                <a:srgbClr val="C0000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11"/>
          <c:order val="3"/>
          <c:tx>
            <c:strRef>
              <c:f>"KULR 21700 Dots (Heater ISC)"</c:f>
              <c:strCache>
                <c:ptCount val="1"/>
                <c:pt idx="0">
                  <c:v>KULR 21700 Dots (Heater ISC)</c:v>
                </c:pt>
              </c:strCache>
            </c:strRef>
          </c:tx>
          <c:spPr>
            <a:ln w="19050" cap="rnd">
              <a:noFill/>
              <a:round/>
            </a:ln>
            <a:effectLst/>
          </c:spPr>
          <c:marker>
            <c:symbol val="circle"/>
            <c:size val="5"/>
            <c:spPr>
              <a:noFill/>
              <a:ln w="12700">
                <a:solidFill>
                  <a:srgbClr val="0070C0"/>
                </a:solidFill>
              </a:ln>
              <a:effectLst/>
            </c:spPr>
          </c:marker>
          <c:dLbls>
            <c:delete val="1"/>
          </c:dLbls>
          <c:xVal>
            <c:numRef>
              <c:f>'Publication Images'!$D$25:$M$25</c:f>
              <c:numCache>
                <c:formatCode>General</c:formatCode>
                <c:ptCount val="10"/>
                <c:pt idx="0">
                  <c:v>81.3606768182236</c:v>
                </c:pt>
                <c:pt idx="1">
                  <c:v>96.4228672155508</c:v>
                </c:pt>
                <c:pt idx="2">
                  <c:v>94.1027920279844</c:v>
                </c:pt>
                <c:pt idx="3">
                  <c:v>84.6140765180358</c:v>
                </c:pt>
                <c:pt idx="4">
                  <c:v>89.6461389555555</c:v>
                </c:pt>
                <c:pt idx="5">
                  <c:v>81.1000512512617</c:v>
                </c:pt>
                <c:pt idx="6">
                  <c:v>82.4823900110052</c:v>
                </c:pt>
                <c:pt idx="7">
                  <c:v>90.2981154321981</c:v>
                </c:pt>
                <c:pt idx="8">
                  <c:v>81.3226547428706</c:v>
                </c:pt>
                <c:pt idx="9">
                  <c:v>76.7936318080635</c:v>
                </c:pt>
              </c:numCache>
            </c:numRef>
          </c:xVal>
          <c:yVal>
            <c:numRef>
              <c:f>'Publication Images'!$D$26:$M$26</c:f>
              <c:numCache>
                <c:formatCode>General</c:formatCode>
                <c:ptCount val="10"/>
                <c:pt idx="0">
                  <c:v>0.02</c:v>
                </c:pt>
                <c:pt idx="1">
                  <c:v>0.02</c:v>
                </c:pt>
                <c:pt idx="2">
                  <c:v>0.02</c:v>
                </c:pt>
                <c:pt idx="3">
                  <c:v>0.02</c:v>
                </c:pt>
                <c:pt idx="4">
                  <c:v>0.02</c:v>
                </c:pt>
                <c:pt idx="5">
                  <c:v>0.02</c:v>
                </c:pt>
                <c:pt idx="6">
                  <c:v>0.02</c:v>
                </c:pt>
                <c:pt idx="7">
                  <c:v>0.02</c:v>
                </c:pt>
                <c:pt idx="8">
                  <c:v>0.02</c:v>
                </c:pt>
                <c:pt idx="9">
                  <c:v>0.02</c:v>
                </c:pt>
              </c:numCache>
            </c:numRef>
          </c:yVal>
          <c:smooth val="1"/>
        </c:ser>
        <c:ser>
          <c:idx val="12"/>
          <c:order val="4"/>
          <c:tx>
            <c:strRef>
              <c:f>"KULR 21700 (Heater Non ISC)"</c:f>
              <c:strCache>
                <c:ptCount val="1"/>
                <c:pt idx="0">
                  <c:v>KULR 21700 (Heater Non ISC)</c:v>
                </c:pt>
              </c:strCache>
            </c:strRef>
          </c:tx>
          <c:spPr>
            <a:ln w="19050" cap="rnd">
              <a:noFill/>
              <a:round/>
            </a:ln>
            <a:effectLst/>
          </c:spPr>
          <c:marker>
            <c:symbol val="square"/>
            <c:size val="5"/>
            <c:spPr>
              <a:noFill/>
              <a:ln w="12700">
                <a:solidFill>
                  <a:schemeClr val="tx1"/>
                </a:solidFill>
              </a:ln>
              <a:effectLst/>
            </c:spPr>
          </c:marker>
          <c:dLbls>
            <c:delete val="1"/>
          </c:dLbls>
          <c:xVal>
            <c:numRef>
              <c:f>'Publication Images'!$N$25:$S$25</c:f>
              <c:numCache>
                <c:formatCode>General</c:formatCode>
                <c:ptCount val="6"/>
                <c:pt idx="0">
                  <c:v>84.0067531767738</c:v>
                </c:pt>
                <c:pt idx="1">
                  <c:v>77.5768863176809</c:v>
                </c:pt>
                <c:pt idx="2">
                  <c:v>85.5503740278113</c:v>
                </c:pt>
                <c:pt idx="3">
                  <c:v>79.7885400179657</c:v>
                </c:pt>
                <c:pt idx="4">
                  <c:v>83.7022419613512</c:v>
                </c:pt>
                <c:pt idx="5">
                  <c:v>84.4257600551253</c:v>
                </c:pt>
              </c:numCache>
            </c:numRef>
          </c:xVal>
          <c:yVal>
            <c:numRef>
              <c:f>'Publication Images'!$N$26:$S$26</c:f>
              <c:numCache>
                <c:formatCode>General</c:formatCode>
                <c:ptCount val="6"/>
                <c:pt idx="0">
                  <c:v>0.015</c:v>
                </c:pt>
                <c:pt idx="1">
                  <c:v>0.015</c:v>
                </c:pt>
                <c:pt idx="2">
                  <c:v>0.015</c:v>
                </c:pt>
                <c:pt idx="3">
                  <c:v>0.015</c:v>
                </c:pt>
                <c:pt idx="4">
                  <c:v>0.015</c:v>
                </c:pt>
                <c:pt idx="5">
                  <c:v>0.015</c:v>
                </c:pt>
              </c:numCache>
            </c:numRef>
          </c:yVal>
          <c:smooth val="1"/>
        </c:ser>
        <c:ser>
          <c:idx val="13"/>
          <c:order val="5"/>
          <c:tx>
            <c:strRef>
              <c:f>"KULR 21700 (Nail)"</c:f>
              <c:strCache>
                <c:ptCount val="1"/>
                <c:pt idx="0">
                  <c:v>KULR 21700 (Nail)</c:v>
                </c:pt>
              </c:strCache>
            </c:strRef>
          </c:tx>
          <c:spPr>
            <a:ln w="19050" cap="rnd">
              <a:noFill/>
              <a:round/>
            </a:ln>
            <a:effectLst/>
          </c:spPr>
          <c:marker>
            <c:symbol val="plus"/>
            <c:size val="5"/>
            <c:spPr>
              <a:noFill/>
              <a:ln w="15875">
                <a:solidFill>
                  <a:srgbClr val="C00000"/>
                </a:solidFill>
              </a:ln>
              <a:effectLst/>
            </c:spPr>
          </c:marker>
          <c:dLbls>
            <c:delete val="1"/>
          </c:dLbls>
          <c:xVal>
            <c:numRef>
              <c:f>'Publication Images'!$T$25:$AD$25</c:f>
              <c:numCache>
                <c:formatCode>General</c:formatCode>
                <c:ptCount val="11"/>
                <c:pt idx="0">
                  <c:v>97.3381375787472</c:v>
                </c:pt>
                <c:pt idx="1">
                  <c:v>98.9685916632264</c:v>
                </c:pt>
                <c:pt idx="2">
                  <c:v>88.7318241813837</c:v>
                </c:pt>
                <c:pt idx="3">
                  <c:v>96.0794425278401</c:v>
                </c:pt>
                <c:pt idx="4">
                  <c:v>94.0337712552941</c:v>
                </c:pt>
                <c:pt idx="5">
                  <c:v>91.932849346788</c:v>
                </c:pt>
                <c:pt idx="6">
                  <c:v>97.639594559495</c:v>
                </c:pt>
                <c:pt idx="7">
                  <c:v>99.0597771898373</c:v>
                </c:pt>
                <c:pt idx="8">
                  <c:v>98.4239801054914</c:v>
                </c:pt>
                <c:pt idx="9">
                  <c:v>97.9632401951524</c:v>
                </c:pt>
                <c:pt idx="10">
                  <c:v>99.8301471970199</c:v>
                </c:pt>
              </c:numCache>
            </c:numRef>
          </c:xVal>
          <c:yVal>
            <c:numRef>
              <c:f>'Publication Images'!$T$26:$AD$26</c:f>
              <c:numCache>
                <c:formatCode>General</c:formatCode>
                <c:ptCount val="11"/>
                <c:pt idx="0">
                  <c:v>0.01</c:v>
                </c:pt>
                <c:pt idx="1">
                  <c:v>0.01</c:v>
                </c:pt>
                <c:pt idx="2">
                  <c:v>0.01</c:v>
                </c:pt>
                <c:pt idx="3">
                  <c:v>0.01</c:v>
                </c:pt>
                <c:pt idx="4">
                  <c:v>0.01</c:v>
                </c:pt>
                <c:pt idx="5">
                  <c:v>0.01</c:v>
                </c:pt>
                <c:pt idx="6">
                  <c:v>0.01</c:v>
                </c:pt>
                <c:pt idx="7">
                  <c:v>0.01</c:v>
                </c:pt>
                <c:pt idx="8">
                  <c:v>0.01</c:v>
                </c:pt>
                <c:pt idx="9">
                  <c:v>0.01</c:v>
                </c:pt>
                <c:pt idx="10">
                  <c:v>0.01</c:v>
                </c:pt>
              </c:numCache>
            </c:numRef>
          </c:yVal>
          <c:smooth val="1"/>
        </c:ser>
        <c:dLbls>
          <c:showLegendKey val="0"/>
          <c:showVal val="0"/>
          <c:showCatName val="0"/>
          <c:showSerName val="0"/>
          <c:showPercent val="0"/>
          <c:showBubbleSize val="0"/>
        </c:dLbls>
        <c:axId val="69481504"/>
        <c:axId val="341253840"/>
      </c:scatterChart>
      <c:valAx>
        <c:axId val="69481504"/>
        <c:scaling>
          <c:orientation val="minMax"/>
          <c:max val="110"/>
          <c:min val="65"/>
        </c:scaling>
        <c:delete val="0"/>
        <c:axPos val="b"/>
        <c:majorGridlines>
          <c:spPr>
            <a:ln w="3175" cap="flat" cmpd="sng" algn="ctr">
              <a:solidFill>
                <a:schemeClr val="bg1">
                  <a:lumMod val="85000"/>
                </a:schemeClr>
              </a:solidFill>
              <a:round/>
            </a:ln>
            <a:effectLst/>
          </c:spPr>
        </c:majorGridlines>
        <c:title>
          <c:tx>
            <c:rich>
              <a:bodyPr rot="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Total Energy Yield (kJ)</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341253840"/>
        <c:crosses val="autoZero"/>
        <c:crossBetween val="midCat"/>
      </c:valAx>
      <c:valAx>
        <c:axId val="341253840"/>
        <c:scaling>
          <c:orientation val="minMax"/>
          <c:min val="0"/>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Probability Density</a:t>
                </a:r>
                <a:endParaRPr lang="en-US"/>
              </a:p>
            </c:rich>
          </c:tx>
          <c:layout/>
          <c:overlay val="0"/>
          <c:spPr>
            <a:noFill/>
            <a:ln>
              <a:noFill/>
            </a:ln>
            <a:effectLst/>
          </c:spPr>
        </c:title>
        <c:numFmt formatCode="#,##0.00" sourceLinked="0"/>
        <c:majorTickMark val="none"/>
        <c:minorTickMark val="none"/>
        <c:tickLblPos val="nextTo"/>
        <c:spPr>
          <a:noFill/>
          <a:ln w="6350"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69481504"/>
        <c:crosses val="autoZero"/>
        <c:crossBetween val="midCat"/>
      </c:valAx>
      <c:spPr>
        <a:noFill/>
        <a:ln w="3175">
          <a:solidFill>
            <a:schemeClr val="bg1">
              <a:lumMod val="85000"/>
            </a:schemeClr>
          </a:solidFill>
          <a:prstDash val="solid"/>
        </a:ln>
        <a:effectLst/>
      </c:spPr>
    </c:plotArea>
    <c:plotVisOnly val="1"/>
    <c:dispBlanksAs val="gap"/>
    <c:showDLblsOverMax val="0"/>
    <c:extLst>
      <c:ext uri="{0b15fc19-7d7d-44ad-8c2d-2c3a37ce22c3}">
        <chartProps xmlns="https://web.wps.cn/et/2018/main" chartId="{017df4ee-e83d-4af9-b27b-53795a6cecc5}"/>
      </c:ext>
    </c:extLst>
  </c:chart>
  <c:spPr>
    <a:solidFill>
      <a:schemeClr val="bg1"/>
    </a:solidFill>
    <a:ln w="9525" cap="flat" cmpd="sng" algn="ctr">
      <a:noFill/>
      <a:round/>
    </a:ln>
    <a:effectLst/>
  </c:spPr>
  <c:txPr>
    <a:bodyPr/>
    <a:lstStyle/>
    <a:p>
      <a:pPr>
        <a:defRPr lang="zh-CN" sz="550" b="1">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93857074989209"/>
          <c:y val="0.0397858796296296"/>
          <c:w val="0.703325863248949"/>
          <c:h val="0.845377319371537"/>
        </c:manualLayout>
      </c:layout>
      <c:scatterChart>
        <c:scatterStyle val="smooth"/>
        <c:varyColors val="0"/>
        <c:ser>
          <c:idx val="9"/>
          <c:order val="0"/>
          <c:tx>
            <c:strRef>
              <c:f>"LG 21700-M50 (Heater Non-ISC)"</c:f>
              <c:strCache>
                <c:ptCount val="1"/>
                <c:pt idx="0">
                  <c:v>LG 21700-M50 (Heater Non-ISC)</c:v>
                </c:pt>
              </c:strCache>
            </c:strRef>
          </c:tx>
          <c:spPr>
            <a:ln w="6350" cap="rnd">
              <a:solidFill>
                <a:schemeClr val="tx1"/>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10"/>
          <c:order val="1"/>
          <c:tx>
            <c:strRef>
              <c:f>"LG 21700-M50 (Nail Penetration)"</c:f>
              <c:strCache>
                <c:ptCount val="1"/>
                <c:pt idx="0">
                  <c:v>LG 21700-M50 (Nail Penetration)</c:v>
                </c:pt>
              </c:strCache>
            </c:strRef>
          </c:tx>
          <c:spPr>
            <a:ln w="6350" cap="rnd">
              <a:solidFill>
                <a:srgbClr val="C0000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12"/>
          <c:order val="2"/>
          <c:tx>
            <c:strRef>
              <c:f>"LG 21700 (Heater Non ISC)"</c:f>
              <c:strCache>
                <c:ptCount val="1"/>
                <c:pt idx="0">
                  <c:v>LG 21700 (Heater Non ISC)</c:v>
                </c:pt>
              </c:strCache>
            </c:strRef>
          </c:tx>
          <c:spPr>
            <a:ln w="19050" cap="rnd">
              <a:noFill/>
              <a:round/>
            </a:ln>
            <a:effectLst/>
          </c:spPr>
          <c:marker>
            <c:symbol val="square"/>
            <c:size val="5"/>
            <c:spPr>
              <a:noFill/>
              <a:ln w="12700">
                <a:solidFill>
                  <a:schemeClr val="tx1"/>
                </a:solidFill>
              </a:ln>
              <a:effectLst/>
            </c:spPr>
          </c:marker>
          <c:dLbls>
            <c:delete val="1"/>
          </c:dLbls>
          <c:xVal>
            <c:numRef>
              <c:f>'Publication Images'!$D$29:$K$29</c:f>
              <c:numCache>
                <c:formatCode>General</c:formatCode>
                <c:ptCount val="8"/>
                <c:pt idx="0">
                  <c:v>92.0372181593767</c:v>
                </c:pt>
                <c:pt idx="1">
                  <c:v>98.9963374816913</c:v>
                </c:pt>
                <c:pt idx="2">
                  <c:v>94.7843485934681</c:v>
                </c:pt>
                <c:pt idx="3">
                  <c:v>85.3365193868596</c:v>
                </c:pt>
                <c:pt idx="4">
                  <c:v>69.2341962085942</c:v>
                </c:pt>
                <c:pt idx="5">
                  <c:v>79.6741967466987</c:v>
                </c:pt>
                <c:pt idx="6">
                  <c:v>76.4298123796282</c:v>
                </c:pt>
                <c:pt idx="7">
                  <c:v>85.3902714116185</c:v>
                </c:pt>
              </c:numCache>
            </c:numRef>
          </c:xVal>
          <c:yVal>
            <c:numRef>
              <c:f>'Publication Images'!$D$30:$K$30</c:f>
              <c:numCache>
                <c:formatCode>General</c:formatCode>
                <c:ptCount val="8"/>
                <c:pt idx="0">
                  <c:v>0.01</c:v>
                </c:pt>
                <c:pt idx="1">
                  <c:v>0.01</c:v>
                </c:pt>
                <c:pt idx="2">
                  <c:v>0.01</c:v>
                </c:pt>
                <c:pt idx="3">
                  <c:v>0.01</c:v>
                </c:pt>
                <c:pt idx="4">
                  <c:v>0.01</c:v>
                </c:pt>
                <c:pt idx="5">
                  <c:v>0.01</c:v>
                </c:pt>
                <c:pt idx="6">
                  <c:v>0.01</c:v>
                </c:pt>
                <c:pt idx="7">
                  <c:v>0.01</c:v>
                </c:pt>
              </c:numCache>
            </c:numRef>
          </c:yVal>
          <c:smooth val="1"/>
        </c:ser>
        <c:ser>
          <c:idx val="13"/>
          <c:order val="3"/>
          <c:tx>
            <c:strRef>
              <c:f>"LG 21700 (Nail)"</c:f>
              <c:strCache>
                <c:ptCount val="1"/>
                <c:pt idx="0">
                  <c:v>LG 21700 (Nail)</c:v>
                </c:pt>
              </c:strCache>
            </c:strRef>
          </c:tx>
          <c:spPr>
            <a:ln w="19050" cap="rnd">
              <a:noFill/>
              <a:round/>
            </a:ln>
            <a:effectLst/>
          </c:spPr>
          <c:marker>
            <c:symbol val="plus"/>
            <c:size val="5"/>
            <c:spPr>
              <a:noFill/>
              <a:ln w="15875">
                <a:solidFill>
                  <a:srgbClr val="C00000"/>
                </a:solidFill>
              </a:ln>
              <a:effectLst/>
            </c:spPr>
          </c:marker>
          <c:dLbls>
            <c:delete val="1"/>
          </c:dLbls>
          <c:xVal>
            <c:numRef>
              <c:f>'Publication Images'!$L$29:$P$29</c:f>
              <c:numCache>
                <c:formatCode>General</c:formatCode>
                <c:ptCount val="5"/>
                <c:pt idx="0">
                  <c:v>96.891089276345</c:v>
                </c:pt>
                <c:pt idx="1">
                  <c:v>107.596096997461</c:v>
                </c:pt>
                <c:pt idx="2">
                  <c:v>101.948996573081</c:v>
                </c:pt>
                <c:pt idx="3">
                  <c:v>91.1894260583093</c:v>
                </c:pt>
                <c:pt idx="4">
                  <c:v>93.7075305044559</c:v>
                </c:pt>
              </c:numCache>
            </c:numRef>
          </c:xVal>
          <c:yVal>
            <c:numRef>
              <c:f>'Publication Images'!$L$30:$P$30</c:f>
              <c:numCache>
                <c:formatCode>General</c:formatCode>
                <c:ptCount val="5"/>
                <c:pt idx="0">
                  <c:v>0.005</c:v>
                </c:pt>
                <c:pt idx="1">
                  <c:v>0.005</c:v>
                </c:pt>
                <c:pt idx="2">
                  <c:v>0.005</c:v>
                </c:pt>
                <c:pt idx="3">
                  <c:v>0.005</c:v>
                </c:pt>
                <c:pt idx="4">
                  <c:v>0.005</c:v>
                </c:pt>
              </c:numCache>
            </c:numRef>
          </c:yVal>
          <c:smooth val="1"/>
        </c:ser>
        <c:dLbls>
          <c:showLegendKey val="0"/>
          <c:showVal val="0"/>
          <c:showCatName val="0"/>
          <c:showSerName val="0"/>
          <c:showPercent val="0"/>
          <c:showBubbleSize val="0"/>
        </c:dLbls>
        <c:axId val="69481504"/>
        <c:axId val="341253840"/>
      </c:scatterChart>
      <c:valAx>
        <c:axId val="69481504"/>
        <c:scaling>
          <c:orientation val="minMax"/>
          <c:max val="120"/>
          <c:min val="50"/>
        </c:scaling>
        <c:delete val="0"/>
        <c:axPos val="b"/>
        <c:majorGridlines>
          <c:spPr>
            <a:ln w="3175" cap="flat" cmpd="sng" algn="ctr">
              <a:solidFill>
                <a:schemeClr val="bg1">
                  <a:lumMod val="85000"/>
                </a:schemeClr>
              </a:solidFill>
              <a:round/>
            </a:ln>
            <a:effectLst/>
          </c:spPr>
        </c:majorGridlines>
        <c:title>
          <c:tx>
            <c:rich>
              <a:bodyPr rot="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Total Energy Yield (kJ)</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341253840"/>
        <c:crosses val="autoZero"/>
        <c:crossBetween val="midCat"/>
      </c:valAx>
      <c:valAx>
        <c:axId val="341253840"/>
        <c:scaling>
          <c:orientation val="minMax"/>
          <c:min val="0"/>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Probability Density</a:t>
                </a:r>
                <a:endParaRPr lang="en-US"/>
              </a:p>
            </c:rich>
          </c:tx>
          <c:layout/>
          <c:overlay val="0"/>
          <c:spPr>
            <a:noFill/>
            <a:ln>
              <a:noFill/>
            </a:ln>
            <a:effectLst/>
          </c:spPr>
        </c:title>
        <c:numFmt formatCode="#,##0.00" sourceLinked="0"/>
        <c:majorTickMark val="none"/>
        <c:minorTickMark val="none"/>
        <c:tickLblPos val="nextTo"/>
        <c:spPr>
          <a:noFill/>
          <a:ln w="6350"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69481504"/>
        <c:crosses val="autoZero"/>
        <c:crossBetween val="midCat"/>
      </c:valAx>
      <c:spPr>
        <a:noFill/>
        <a:ln w="3175">
          <a:solidFill>
            <a:schemeClr val="bg1">
              <a:lumMod val="85000"/>
            </a:schemeClr>
          </a:solidFill>
          <a:prstDash val="solid"/>
        </a:ln>
        <a:effectLst/>
      </c:spPr>
    </c:plotArea>
    <c:plotVisOnly val="1"/>
    <c:dispBlanksAs val="gap"/>
    <c:showDLblsOverMax val="0"/>
    <c:extLst>
      <c:ext uri="{0b15fc19-7d7d-44ad-8c2d-2c3a37ce22c3}">
        <chartProps xmlns="https://web.wps.cn/et/2018/main" chartId="{5e91c1a9-677d-40eb-bce5-a1f2aee69815}"/>
      </c:ext>
    </c:extLst>
  </c:chart>
  <c:spPr>
    <a:solidFill>
      <a:schemeClr val="bg1"/>
    </a:solidFill>
    <a:ln w="9525" cap="flat" cmpd="sng" algn="ctr">
      <a:noFill/>
      <a:round/>
    </a:ln>
    <a:effectLst/>
  </c:spPr>
  <c:txPr>
    <a:bodyPr/>
    <a:lstStyle/>
    <a:p>
      <a:pPr>
        <a:defRPr lang="zh-CN" sz="550" b="1">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93857074989209"/>
          <c:y val="0.0397858796296296"/>
          <c:w val="0.703325863248949"/>
          <c:h val="0.845377319371537"/>
        </c:manualLayout>
      </c:layout>
      <c:scatterChart>
        <c:scatterStyle val="smooth"/>
        <c:varyColors val="0"/>
        <c:ser>
          <c:idx val="6"/>
          <c:order val="0"/>
          <c:tx>
            <c:strRef>
              <c:f>"Saft D-Cell-VES16 (Heater ISC)"</c:f>
              <c:strCache>
                <c:ptCount val="1"/>
                <c:pt idx="0">
                  <c:v>Saft D-Cell-VES16 (Heater ISC)</c:v>
                </c:pt>
              </c:strCache>
            </c:strRef>
          </c:tx>
          <c:spPr>
            <a:ln w="6350" cap="rnd">
              <a:solidFill>
                <a:srgbClr val="0070C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7"/>
          <c:order val="1"/>
          <c:tx>
            <c:strRef>
              <c:f>"Saft D-Cell-VES16 (Heater Non-ISC)"</c:f>
              <c:strCache>
                <c:ptCount val="1"/>
                <c:pt idx="0">
                  <c:v>Saft D-Cell-VES16 (Heater Non-ISC)</c:v>
                </c:pt>
              </c:strCache>
            </c:strRef>
          </c:tx>
          <c:spPr>
            <a:ln w="6350" cap="rnd">
              <a:solidFill>
                <a:schemeClr val="tx1"/>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8"/>
          <c:order val="2"/>
          <c:tx>
            <c:strRef>
              <c:f>"Saft D-Cell-VES16 (Nail Penetration)"</c:f>
              <c:strCache>
                <c:ptCount val="1"/>
                <c:pt idx="0">
                  <c:v>Saft D-Cell-VES16 (Nail Penetration)</c:v>
                </c:pt>
              </c:strCache>
            </c:strRef>
          </c:tx>
          <c:spPr>
            <a:ln w="6350" cap="rnd">
              <a:solidFill>
                <a:srgbClr val="C00000"/>
              </a:solidFill>
              <a:round/>
            </a:ln>
            <a:effectLst/>
          </c:spPr>
          <c:marker>
            <c:symbol val="none"/>
          </c:marker>
          <c:dLbls>
            <c:delete val="1"/>
          </c:dLbls>
          <c:xVal>
            <c:numRef>
              <c:f>#REF!</c:f>
              <c:numCache>
                <c:formatCode>General</c:formatCode>
                <c:ptCount val="0"/>
              </c:numCache>
            </c:numRef>
          </c:xVal>
          <c:yVal>
            <c:numRef>
              <c:f>#REF!</c:f>
              <c:numCache>
                <c:formatCode>General</c:formatCode>
                <c:ptCount val="1"/>
                <c:pt idx="0">
                  <c:v>1</c:v>
                </c:pt>
              </c:numCache>
            </c:numRef>
          </c:yVal>
          <c:smooth val="1"/>
        </c:ser>
        <c:ser>
          <c:idx val="11"/>
          <c:order val="3"/>
          <c:tx>
            <c:strRef>
              <c:f>"saft Dots (Heater ISC)"</c:f>
              <c:strCache>
                <c:ptCount val="1"/>
                <c:pt idx="0">
                  <c:v>saft Dots (Heater ISC)</c:v>
                </c:pt>
              </c:strCache>
            </c:strRef>
          </c:tx>
          <c:spPr>
            <a:ln w="19050" cap="rnd">
              <a:noFill/>
              <a:round/>
            </a:ln>
            <a:effectLst/>
          </c:spPr>
          <c:marker>
            <c:symbol val="circle"/>
            <c:size val="5"/>
            <c:spPr>
              <a:noFill/>
              <a:ln w="12700">
                <a:solidFill>
                  <a:srgbClr val="0070C0"/>
                </a:solidFill>
              </a:ln>
              <a:effectLst/>
            </c:spPr>
          </c:marker>
          <c:dLbls>
            <c:delete val="1"/>
          </c:dLbls>
          <c:xVal>
            <c:numRef>
              <c:f>'Publication Images'!$D$33:$L$33</c:f>
              <c:numCache>
                <c:formatCode>General</c:formatCode>
                <c:ptCount val="9"/>
                <c:pt idx="0">
                  <c:v>78.0486373818223</c:v>
                </c:pt>
                <c:pt idx="1">
                  <c:v>71.4174989029392</c:v>
                </c:pt>
                <c:pt idx="2">
                  <c:v>75.3998831644249</c:v>
                </c:pt>
                <c:pt idx="3">
                  <c:v>69.77017736243</c:v>
                </c:pt>
                <c:pt idx="4">
                  <c:v>73.6329878780766</c:v>
                </c:pt>
                <c:pt idx="5">
                  <c:v>74.473789297673</c:v>
                </c:pt>
                <c:pt idx="6">
                  <c:v>78.6454314927179</c:v>
                </c:pt>
                <c:pt idx="7">
                  <c:v>79.3648505325902</c:v>
                </c:pt>
                <c:pt idx="8">
                  <c:v>82.1522566992732</c:v>
                </c:pt>
              </c:numCache>
            </c:numRef>
          </c:xVal>
          <c:yVal>
            <c:numRef>
              <c:f>'Publication Images'!$D$34:$L$34</c:f>
              <c:numCache>
                <c:formatCode>General</c:formatCode>
                <c:ptCount val="9"/>
                <c:pt idx="0">
                  <c:v>0.02</c:v>
                </c:pt>
                <c:pt idx="1">
                  <c:v>0.02</c:v>
                </c:pt>
                <c:pt idx="2">
                  <c:v>0.02</c:v>
                </c:pt>
                <c:pt idx="3">
                  <c:v>0.02</c:v>
                </c:pt>
                <c:pt idx="4">
                  <c:v>0.02</c:v>
                </c:pt>
                <c:pt idx="5">
                  <c:v>0.02</c:v>
                </c:pt>
                <c:pt idx="6">
                  <c:v>0.02</c:v>
                </c:pt>
                <c:pt idx="7">
                  <c:v>0.02</c:v>
                </c:pt>
                <c:pt idx="8">
                  <c:v>0.02</c:v>
                </c:pt>
              </c:numCache>
            </c:numRef>
          </c:yVal>
          <c:smooth val="1"/>
        </c:ser>
        <c:ser>
          <c:idx val="12"/>
          <c:order val="4"/>
          <c:tx>
            <c:strRef>
              <c:f>"saft (Heater Non ISC)"</c:f>
              <c:strCache>
                <c:ptCount val="1"/>
                <c:pt idx="0">
                  <c:v>saft (Heater Non ISC)</c:v>
                </c:pt>
              </c:strCache>
            </c:strRef>
          </c:tx>
          <c:spPr>
            <a:ln w="19050" cap="rnd">
              <a:noFill/>
              <a:round/>
            </a:ln>
            <a:effectLst/>
          </c:spPr>
          <c:marker>
            <c:symbol val="square"/>
            <c:size val="5"/>
            <c:spPr>
              <a:noFill/>
              <a:ln w="12700">
                <a:solidFill>
                  <a:schemeClr val="tx1"/>
                </a:solidFill>
              </a:ln>
              <a:effectLst/>
            </c:spPr>
          </c:marker>
          <c:dLbls>
            <c:delete val="1"/>
          </c:dLbls>
          <c:xVal>
            <c:numRef>
              <c:f>'Publication Images'!$M$33:$U$33</c:f>
              <c:numCache>
                <c:formatCode>General</c:formatCode>
                <c:ptCount val="9"/>
                <c:pt idx="0">
                  <c:v>72.2532161334672</c:v>
                </c:pt>
                <c:pt idx="1">
                  <c:v>73.6545563397673</c:v>
                </c:pt>
                <c:pt idx="2">
                  <c:v>68.5923877858865</c:v>
                </c:pt>
                <c:pt idx="3">
                  <c:v>75.5553229025002</c:v>
                </c:pt>
                <c:pt idx="4">
                  <c:v>63.8686903614047</c:v>
                </c:pt>
                <c:pt idx="5">
                  <c:v>68.806894134779</c:v>
                </c:pt>
                <c:pt idx="6">
                  <c:v>75.4847282347382</c:v>
                </c:pt>
                <c:pt idx="7">
                  <c:v>63.4396367417245</c:v>
                </c:pt>
                <c:pt idx="8">
                  <c:v>66.4527782241955</c:v>
                </c:pt>
              </c:numCache>
            </c:numRef>
          </c:xVal>
          <c:yVal>
            <c:numRef>
              <c:f>'Publication Images'!$M$34:$U$34</c:f>
              <c:numCache>
                <c:formatCode>General</c:formatCode>
                <c:ptCount val="9"/>
                <c:pt idx="0">
                  <c:v>0.01</c:v>
                </c:pt>
                <c:pt idx="1">
                  <c:v>0.01</c:v>
                </c:pt>
                <c:pt idx="2">
                  <c:v>0.01</c:v>
                </c:pt>
                <c:pt idx="3">
                  <c:v>0.01</c:v>
                </c:pt>
                <c:pt idx="4">
                  <c:v>0.01</c:v>
                </c:pt>
                <c:pt idx="5">
                  <c:v>0.01</c:v>
                </c:pt>
                <c:pt idx="6">
                  <c:v>0.01</c:v>
                </c:pt>
                <c:pt idx="7">
                  <c:v>0.01</c:v>
                </c:pt>
                <c:pt idx="8">
                  <c:v>0.01</c:v>
                </c:pt>
              </c:numCache>
            </c:numRef>
          </c:yVal>
          <c:smooth val="1"/>
        </c:ser>
        <c:ser>
          <c:idx val="13"/>
          <c:order val="5"/>
          <c:tx>
            <c:strRef>
              <c:f>"saft (Nail)"</c:f>
              <c:strCache>
                <c:ptCount val="1"/>
                <c:pt idx="0">
                  <c:v>saft (Nail)</c:v>
                </c:pt>
              </c:strCache>
            </c:strRef>
          </c:tx>
          <c:spPr>
            <a:ln w="19050" cap="rnd">
              <a:noFill/>
              <a:round/>
            </a:ln>
            <a:effectLst/>
          </c:spPr>
          <c:marker>
            <c:symbol val="plus"/>
            <c:size val="5"/>
            <c:spPr>
              <a:noFill/>
              <a:ln w="15875">
                <a:solidFill>
                  <a:srgbClr val="C00000"/>
                </a:solidFill>
              </a:ln>
              <a:effectLst/>
            </c:spPr>
          </c:marker>
          <c:dLbls>
            <c:delete val="1"/>
          </c:dLbls>
          <c:xVal>
            <c:numRef>
              <c:f>'Publication Images'!$V$33:$AD$33</c:f>
              <c:numCache>
                <c:formatCode>General</c:formatCode>
                <c:ptCount val="9"/>
                <c:pt idx="0">
                  <c:v>80.4939888045661</c:v>
                </c:pt>
                <c:pt idx="1">
                  <c:v>94.8095914770377</c:v>
                </c:pt>
                <c:pt idx="2">
                  <c:v>94.5930344844429</c:v>
                </c:pt>
                <c:pt idx="3">
                  <c:v>94.5525866679839</c:v>
                </c:pt>
                <c:pt idx="4">
                  <c:v>93.5180524100592</c:v>
                </c:pt>
                <c:pt idx="5">
                  <c:v>91.9078039184957</c:v>
                </c:pt>
                <c:pt idx="6">
                  <c:v>87.6799226105867</c:v>
                </c:pt>
                <c:pt idx="7">
                  <c:v>83.7743471857845</c:v>
                </c:pt>
                <c:pt idx="8">
                  <c:v>85.3649145339514</c:v>
                </c:pt>
              </c:numCache>
            </c:numRef>
          </c:xVal>
          <c:yVal>
            <c:numRef>
              <c:f>'Publication Images'!$V$34:$AD$34</c:f>
              <c:numCache>
                <c:formatCode>General</c:formatCode>
                <c:ptCount val="9"/>
                <c:pt idx="0">
                  <c:v>0.015</c:v>
                </c:pt>
                <c:pt idx="1">
                  <c:v>0.015</c:v>
                </c:pt>
                <c:pt idx="2">
                  <c:v>0.015</c:v>
                </c:pt>
                <c:pt idx="3">
                  <c:v>0.015</c:v>
                </c:pt>
                <c:pt idx="4">
                  <c:v>0.015</c:v>
                </c:pt>
                <c:pt idx="5">
                  <c:v>0.015</c:v>
                </c:pt>
                <c:pt idx="6">
                  <c:v>0.015</c:v>
                </c:pt>
                <c:pt idx="7">
                  <c:v>0.015</c:v>
                </c:pt>
                <c:pt idx="8">
                  <c:v>0.015</c:v>
                </c:pt>
              </c:numCache>
            </c:numRef>
          </c:yVal>
          <c:smooth val="1"/>
        </c:ser>
        <c:dLbls>
          <c:showLegendKey val="0"/>
          <c:showVal val="0"/>
          <c:showCatName val="0"/>
          <c:showSerName val="0"/>
          <c:showPercent val="0"/>
          <c:showBubbleSize val="0"/>
        </c:dLbls>
        <c:axId val="69481504"/>
        <c:axId val="341253840"/>
      </c:scatterChart>
      <c:valAx>
        <c:axId val="69481504"/>
        <c:scaling>
          <c:orientation val="minMax"/>
          <c:max val="110"/>
          <c:min val="50"/>
        </c:scaling>
        <c:delete val="0"/>
        <c:axPos val="b"/>
        <c:majorGridlines>
          <c:spPr>
            <a:ln w="3175" cap="flat" cmpd="sng" algn="ctr">
              <a:solidFill>
                <a:schemeClr val="bg1">
                  <a:lumMod val="85000"/>
                </a:schemeClr>
              </a:solidFill>
              <a:round/>
            </a:ln>
            <a:effectLst/>
          </c:spPr>
        </c:majorGridlines>
        <c:title>
          <c:tx>
            <c:rich>
              <a:bodyPr rot="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Total Energy Yield (kJ)</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341253840"/>
        <c:crosses val="autoZero"/>
        <c:crossBetween val="midCat"/>
      </c:valAx>
      <c:valAx>
        <c:axId val="341253840"/>
        <c:scaling>
          <c:orientation val="minMax"/>
          <c:min val="0"/>
        </c:scaling>
        <c:delete val="0"/>
        <c:axPos val="l"/>
        <c:majorGridlines>
          <c:spPr>
            <a:ln w="317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lang="zh-CN" sz="550" b="1"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r>
                  <a:rPr lang="en-US"/>
                  <a:t>Probability Density</a:t>
                </a:r>
                <a:endParaRPr lang="en-US"/>
              </a:p>
            </c:rich>
          </c:tx>
          <c:layout/>
          <c:overlay val="0"/>
          <c:spPr>
            <a:noFill/>
            <a:ln>
              <a:noFill/>
            </a:ln>
            <a:effectLst/>
          </c:spPr>
        </c:title>
        <c:numFmt formatCode="#,##0.00" sourceLinked="0"/>
        <c:majorTickMark val="none"/>
        <c:minorTickMark val="none"/>
        <c:tickLblPos val="nextTo"/>
        <c:spPr>
          <a:noFill/>
          <a:ln w="6350" cap="flat" cmpd="sng" algn="ctr">
            <a:solidFill>
              <a:schemeClr val="bg1">
                <a:lumMod val="85000"/>
              </a:schemeClr>
            </a:solidFill>
            <a:round/>
          </a:ln>
          <a:effectLst/>
        </c:spPr>
        <c:txPr>
          <a:bodyPr rot="-60000000" spcFirstLastPara="1" vertOverflow="ellipsis" vert="horz" wrap="square" anchor="ctr" anchorCtr="1"/>
          <a:lstStyle/>
          <a:p>
            <a:pPr>
              <a:defRPr lang="zh-CN" sz="550" b="0" i="0" u="none" strike="noStrike" kern="1200" baseline="0">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crossAx val="69481504"/>
        <c:crosses val="autoZero"/>
        <c:crossBetween val="midCat"/>
      </c:valAx>
      <c:spPr>
        <a:noFill/>
        <a:ln w="3175">
          <a:solidFill>
            <a:schemeClr val="bg1">
              <a:lumMod val="85000"/>
            </a:schemeClr>
          </a:solidFill>
          <a:prstDash val="solid"/>
        </a:ln>
        <a:effectLst/>
      </c:spPr>
    </c:plotArea>
    <c:plotVisOnly val="1"/>
    <c:dispBlanksAs val="gap"/>
    <c:showDLblsOverMax val="0"/>
    <c:extLst>
      <c:ext uri="{0b15fc19-7d7d-44ad-8c2d-2c3a37ce22c3}">
        <chartProps xmlns="https://web.wps.cn/et/2018/main" chartId="{e190a6bf-cbcb-4562-aaee-bf17a514c159}"/>
      </c:ext>
    </c:extLst>
  </c:chart>
  <c:spPr>
    <a:solidFill>
      <a:schemeClr val="bg1"/>
    </a:solidFill>
    <a:ln w="9525" cap="flat" cmpd="sng" algn="ctr">
      <a:noFill/>
      <a:round/>
    </a:ln>
    <a:effectLst/>
  </c:spPr>
  <c:txPr>
    <a:bodyPr/>
    <a:lstStyle/>
    <a:p>
      <a:pPr>
        <a:defRPr lang="zh-CN" sz="550" b="1">
          <a:solidFill>
            <a:schemeClr val="tx1"/>
          </a:solidFill>
          <a:latin typeface="SansSerif" panose="00000400000000000000" pitchFamily="2" charset="2"/>
          <a:ea typeface="Tahoma" panose="020B0604030504040204" pitchFamily="34" charset="0"/>
          <a:cs typeface="Adobe Devanagari" panose="02040503050201020203" pitchFamily="18" charset="0"/>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chart" Target="../charts/chart7.xml"/><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4" Type="http://schemas.openxmlformats.org/officeDocument/2006/relationships/chart" Target="../charts/chart20.xml"/><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279400</xdr:colOff>
      <xdr:row>7</xdr:row>
      <xdr:rowOff>25400</xdr:rowOff>
    </xdr:from>
    <xdr:to>
      <xdr:col>22</xdr:col>
      <xdr:colOff>215900</xdr:colOff>
      <xdr:row>54</xdr:row>
      <xdr:rowOff>65532</xdr:rowOff>
    </xdr:to>
    <xdr:graphicFrame>
      <xdr:nvGraphicFramePr>
        <xdr:cNvPr id="10" name="Chart 9"/>
        <xdr:cNvGraphicFramePr/>
      </xdr:nvGraphicFramePr>
      <xdr:xfrm>
        <a:off x="14189075" y="1717040"/>
        <a:ext cx="7828280" cy="89477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58</xdr:row>
      <xdr:rowOff>0</xdr:rowOff>
    </xdr:from>
    <xdr:to>
      <xdr:col>21</xdr:col>
      <xdr:colOff>609600</xdr:colOff>
      <xdr:row>108</xdr:row>
      <xdr:rowOff>103632</xdr:rowOff>
    </xdr:to>
    <xdr:graphicFrame>
      <xdr:nvGraphicFramePr>
        <xdr:cNvPr id="13" name="Chart 12"/>
        <xdr:cNvGraphicFramePr/>
      </xdr:nvGraphicFramePr>
      <xdr:xfrm>
        <a:off x="13909675" y="11300460"/>
        <a:ext cx="7891780" cy="88665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111</xdr:row>
      <xdr:rowOff>0</xdr:rowOff>
    </xdr:from>
    <xdr:to>
      <xdr:col>21</xdr:col>
      <xdr:colOff>609600</xdr:colOff>
      <xdr:row>161</xdr:row>
      <xdr:rowOff>103632</xdr:rowOff>
    </xdr:to>
    <xdr:graphicFrame>
      <xdr:nvGraphicFramePr>
        <xdr:cNvPr id="19" name="Chart 18"/>
        <xdr:cNvGraphicFramePr/>
      </xdr:nvGraphicFramePr>
      <xdr:xfrm>
        <a:off x="13909675" y="20589240"/>
        <a:ext cx="7891780" cy="886650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83</xdr:col>
      <xdr:colOff>0</xdr:colOff>
      <xdr:row>88</xdr:row>
      <xdr:rowOff>0</xdr:rowOff>
    </xdr:from>
    <xdr:to>
      <xdr:col>101</xdr:col>
      <xdr:colOff>173736</xdr:colOff>
      <xdr:row>132</xdr:row>
      <xdr:rowOff>3048</xdr:rowOff>
    </xdr:to>
    <xdr:graphicFrame>
      <xdr:nvGraphicFramePr>
        <xdr:cNvPr id="7" name="Chart 6"/>
        <xdr:cNvGraphicFramePr/>
      </xdr:nvGraphicFramePr>
      <xdr:xfrm>
        <a:off x="64287400" y="16837025"/>
        <a:ext cx="11100435" cy="77139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152400</xdr:colOff>
      <xdr:row>0</xdr:row>
      <xdr:rowOff>88900</xdr:rowOff>
    </xdr:from>
    <xdr:to>
      <xdr:col>54</xdr:col>
      <xdr:colOff>88900</xdr:colOff>
      <xdr:row>44</xdr:row>
      <xdr:rowOff>2032</xdr:rowOff>
    </xdr:to>
    <xdr:graphicFrame>
      <xdr:nvGraphicFramePr>
        <xdr:cNvPr id="10" name="Chart 9"/>
        <xdr:cNvGraphicFramePr/>
      </xdr:nvGraphicFramePr>
      <xdr:xfrm>
        <a:off x="38943280" y="88900"/>
        <a:ext cx="7828280" cy="90385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0</xdr:colOff>
      <xdr:row>43</xdr:row>
      <xdr:rowOff>114300</xdr:rowOff>
    </xdr:from>
    <xdr:to>
      <xdr:col>45</xdr:col>
      <xdr:colOff>609600</xdr:colOff>
      <xdr:row>94</xdr:row>
      <xdr:rowOff>27432</xdr:rowOff>
    </xdr:to>
    <xdr:graphicFrame>
      <xdr:nvGraphicFramePr>
        <xdr:cNvPr id="11" name="Chart 10"/>
        <xdr:cNvGraphicFramePr/>
      </xdr:nvGraphicFramePr>
      <xdr:xfrm>
        <a:off x="33934400" y="9064625"/>
        <a:ext cx="7891780" cy="88512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0</xdr:colOff>
      <xdr:row>91</xdr:row>
      <xdr:rowOff>0</xdr:rowOff>
    </xdr:from>
    <xdr:to>
      <xdr:col>48</xdr:col>
      <xdr:colOff>609600</xdr:colOff>
      <xdr:row>141</xdr:row>
      <xdr:rowOff>103632</xdr:rowOff>
    </xdr:to>
    <xdr:graphicFrame>
      <xdr:nvGraphicFramePr>
        <xdr:cNvPr id="12" name="Chart 11"/>
        <xdr:cNvGraphicFramePr/>
      </xdr:nvGraphicFramePr>
      <xdr:xfrm>
        <a:off x="35755580" y="17362805"/>
        <a:ext cx="7891780" cy="88665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12</xdr:col>
      <xdr:colOff>381000</xdr:colOff>
      <xdr:row>74</xdr:row>
      <xdr:rowOff>25400</xdr:rowOff>
    </xdr:from>
    <xdr:to>
      <xdr:col>30</xdr:col>
      <xdr:colOff>558800</xdr:colOff>
      <xdr:row>118</xdr:row>
      <xdr:rowOff>25400</xdr:rowOff>
    </xdr:to>
    <xdr:graphicFrame>
      <xdr:nvGraphicFramePr>
        <xdr:cNvPr id="2" name="Chart 1"/>
        <xdr:cNvGraphicFramePr/>
      </xdr:nvGraphicFramePr>
      <xdr:xfrm>
        <a:off x="29437330" y="14130020"/>
        <a:ext cx="11104880" cy="7711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34</xdr:col>
      <xdr:colOff>609600</xdr:colOff>
      <xdr:row>1</xdr:row>
      <xdr:rowOff>406400</xdr:rowOff>
    </xdr:from>
    <xdr:to>
      <xdr:col>53</xdr:col>
      <xdr:colOff>110236</xdr:colOff>
      <xdr:row>42</xdr:row>
      <xdr:rowOff>117348</xdr:rowOff>
    </xdr:to>
    <xdr:graphicFrame>
      <xdr:nvGraphicFramePr>
        <xdr:cNvPr id="2" name="Chart 1"/>
        <xdr:cNvGraphicFramePr/>
      </xdr:nvGraphicFramePr>
      <xdr:xfrm>
        <a:off x="36755705" y="581660"/>
        <a:ext cx="11036935" cy="78257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406400</xdr:colOff>
      <xdr:row>72</xdr:row>
      <xdr:rowOff>25400</xdr:rowOff>
    </xdr:from>
    <xdr:to>
      <xdr:col>51</xdr:col>
      <xdr:colOff>580136</xdr:colOff>
      <xdr:row>116</xdr:row>
      <xdr:rowOff>28448</xdr:rowOff>
    </xdr:to>
    <xdr:graphicFrame>
      <xdr:nvGraphicFramePr>
        <xdr:cNvPr id="3" name="Chart 2"/>
        <xdr:cNvGraphicFramePr/>
      </xdr:nvGraphicFramePr>
      <xdr:xfrm>
        <a:off x="35947985" y="14058265"/>
        <a:ext cx="11100435" cy="77139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0</xdr:colOff>
      <xdr:row>139</xdr:row>
      <xdr:rowOff>0</xdr:rowOff>
    </xdr:from>
    <xdr:to>
      <xdr:col>53</xdr:col>
      <xdr:colOff>173736</xdr:colOff>
      <xdr:row>183</xdr:row>
      <xdr:rowOff>3048</xdr:rowOff>
    </xdr:to>
    <xdr:graphicFrame>
      <xdr:nvGraphicFramePr>
        <xdr:cNvPr id="4" name="Chart 3"/>
        <xdr:cNvGraphicFramePr/>
      </xdr:nvGraphicFramePr>
      <xdr:xfrm>
        <a:off x="36755705" y="25775285"/>
        <a:ext cx="11100435" cy="77139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0</xdr:colOff>
      <xdr:row>199</xdr:row>
      <xdr:rowOff>0</xdr:rowOff>
    </xdr:from>
    <xdr:to>
      <xdr:col>53</xdr:col>
      <xdr:colOff>173736</xdr:colOff>
      <xdr:row>243</xdr:row>
      <xdr:rowOff>3048</xdr:rowOff>
    </xdr:to>
    <xdr:graphicFrame>
      <xdr:nvGraphicFramePr>
        <xdr:cNvPr id="5" name="Chart 4"/>
        <xdr:cNvGraphicFramePr/>
      </xdr:nvGraphicFramePr>
      <xdr:xfrm>
        <a:off x="36755705" y="36290885"/>
        <a:ext cx="11100435" cy="7713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0</xdr:colOff>
      <xdr:row>2</xdr:row>
      <xdr:rowOff>0</xdr:rowOff>
    </xdr:from>
    <xdr:to>
      <xdr:col>72</xdr:col>
      <xdr:colOff>173736</xdr:colOff>
      <xdr:row>42</xdr:row>
      <xdr:rowOff>155448</xdr:rowOff>
    </xdr:to>
    <xdr:graphicFrame>
      <xdr:nvGraphicFramePr>
        <xdr:cNvPr id="6" name="Chart 5"/>
        <xdr:cNvGraphicFramePr/>
      </xdr:nvGraphicFramePr>
      <xdr:xfrm>
        <a:off x="48289845" y="621030"/>
        <a:ext cx="11100435" cy="78244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86</xdr:col>
      <xdr:colOff>0</xdr:colOff>
      <xdr:row>130</xdr:row>
      <xdr:rowOff>0</xdr:rowOff>
    </xdr:from>
    <xdr:to>
      <xdr:col>104</xdr:col>
      <xdr:colOff>173736</xdr:colOff>
      <xdr:row>174</xdr:row>
      <xdr:rowOff>3048</xdr:rowOff>
    </xdr:to>
    <xdr:graphicFrame>
      <xdr:nvGraphicFramePr>
        <xdr:cNvPr id="7" name="Chart 6"/>
        <xdr:cNvGraphicFramePr/>
      </xdr:nvGraphicFramePr>
      <xdr:xfrm>
        <a:off x="67715765" y="24197945"/>
        <a:ext cx="11100435" cy="77139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54</xdr:col>
      <xdr:colOff>368300</xdr:colOff>
      <xdr:row>70</xdr:row>
      <xdr:rowOff>88900</xdr:rowOff>
    </xdr:from>
    <xdr:to>
      <xdr:col>72</xdr:col>
      <xdr:colOff>542036</xdr:colOff>
      <xdr:row>114</xdr:row>
      <xdr:rowOff>91948</xdr:rowOff>
    </xdr:to>
    <xdr:graphicFrame>
      <xdr:nvGraphicFramePr>
        <xdr:cNvPr id="8" name="Chart 7"/>
        <xdr:cNvGraphicFramePr/>
      </xdr:nvGraphicFramePr>
      <xdr:xfrm>
        <a:off x="48658145" y="13771245"/>
        <a:ext cx="11100435" cy="77139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78</xdr:col>
      <xdr:colOff>0</xdr:colOff>
      <xdr:row>77</xdr:row>
      <xdr:rowOff>0</xdr:rowOff>
    </xdr:from>
    <xdr:to>
      <xdr:col>96</xdr:col>
      <xdr:colOff>173736</xdr:colOff>
      <xdr:row>121</xdr:row>
      <xdr:rowOff>3048</xdr:rowOff>
    </xdr:to>
    <xdr:graphicFrame>
      <xdr:nvGraphicFramePr>
        <xdr:cNvPr id="9" name="Chart 8"/>
        <xdr:cNvGraphicFramePr/>
      </xdr:nvGraphicFramePr>
      <xdr:xfrm>
        <a:off x="62859285" y="14909165"/>
        <a:ext cx="11100435" cy="77139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207077</xdr:colOff>
      <xdr:row>3</xdr:row>
      <xdr:rowOff>43716</xdr:rowOff>
    </xdr:from>
    <xdr:to>
      <xdr:col>8</xdr:col>
      <xdr:colOff>493081</xdr:colOff>
      <xdr:row>16</xdr:row>
      <xdr:rowOff>169725</xdr:rowOff>
    </xdr:to>
    <xdr:graphicFrame>
      <xdr:nvGraphicFramePr>
        <xdr:cNvPr id="3" name="Chart 2"/>
        <xdr:cNvGraphicFramePr>
          <a:graphicFrameLocks noGrp="1"/>
        </xdr:cNvGraphicFramePr>
      </xdr:nvGraphicFramePr>
      <xdr:xfrm>
        <a:off x="814070" y="568960"/>
        <a:ext cx="4535170" cy="24047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22860</xdr:colOff>
      <xdr:row>3</xdr:row>
      <xdr:rowOff>27673</xdr:rowOff>
    </xdr:from>
    <xdr:to>
      <xdr:col>16</xdr:col>
      <xdr:colOff>308864</xdr:colOff>
      <xdr:row>16</xdr:row>
      <xdr:rowOff>153682</xdr:rowOff>
    </xdr:to>
    <xdr:graphicFrame>
      <xdr:nvGraphicFramePr>
        <xdr:cNvPr id="6" name="Chart 5"/>
        <xdr:cNvGraphicFramePr>
          <a:graphicFrameLocks noGrp="1"/>
        </xdr:cNvGraphicFramePr>
      </xdr:nvGraphicFramePr>
      <xdr:xfrm>
        <a:off x="5486400" y="553085"/>
        <a:ext cx="4535170" cy="24047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43180</xdr:colOff>
      <xdr:row>3</xdr:row>
      <xdr:rowOff>27673</xdr:rowOff>
    </xdr:from>
    <xdr:to>
      <xdr:col>24</xdr:col>
      <xdr:colOff>329184</xdr:colOff>
      <xdr:row>16</xdr:row>
      <xdr:rowOff>153682</xdr:rowOff>
    </xdr:to>
    <xdr:graphicFrame>
      <xdr:nvGraphicFramePr>
        <xdr:cNvPr id="7" name="Chart 6"/>
        <xdr:cNvGraphicFramePr>
          <a:graphicFrameLocks noGrp="1"/>
        </xdr:cNvGraphicFramePr>
      </xdr:nvGraphicFramePr>
      <xdr:xfrm>
        <a:off x="10363200" y="553085"/>
        <a:ext cx="4535170" cy="240474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25</xdr:col>
      <xdr:colOff>63500</xdr:colOff>
      <xdr:row>3</xdr:row>
      <xdr:rowOff>27673</xdr:rowOff>
    </xdr:from>
    <xdr:to>
      <xdr:col>32</xdr:col>
      <xdr:colOff>349504</xdr:colOff>
      <xdr:row>16</xdr:row>
      <xdr:rowOff>153682</xdr:rowOff>
    </xdr:to>
    <xdr:graphicFrame>
      <xdr:nvGraphicFramePr>
        <xdr:cNvPr id="8" name="Chart 7"/>
        <xdr:cNvGraphicFramePr>
          <a:graphicFrameLocks noGrp="1"/>
        </xdr:cNvGraphicFramePr>
      </xdr:nvGraphicFramePr>
      <xdr:xfrm>
        <a:off x="15240000" y="553085"/>
        <a:ext cx="4535170" cy="24047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70C0"/>
      </a:hlink>
      <a:folHlink>
        <a:srgbClr val="0070C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s://www.nasa.gov/sites/default/files/atoms/files/ves16_cell_batt_design_yborthomieu.pdf" TargetMode="External"/><Relationship Id="rId1" Type="http://schemas.openxmlformats.org/officeDocument/2006/relationships/hyperlink" Target="https://voltaplex.com/panasonic-be-18650-battery-ncr18650be"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youtu.be/XBwNgrt4bh4" TargetMode="External"/><Relationship Id="rId98" Type="http://schemas.openxmlformats.org/officeDocument/2006/relationships/hyperlink" Target="https://youtu.be/BEYlKWNFclY" TargetMode="External"/><Relationship Id="rId97" Type="http://schemas.openxmlformats.org/officeDocument/2006/relationships/hyperlink" Target="https://youtu.be/ad8R_pYjxK4" TargetMode="External"/><Relationship Id="rId96" Type="http://schemas.openxmlformats.org/officeDocument/2006/relationships/hyperlink" Target="https://youtu.be/OuY3Rr2CHko" TargetMode="External"/><Relationship Id="rId95" Type="http://schemas.openxmlformats.org/officeDocument/2006/relationships/hyperlink" Target="https://youtu.be/S6Sv2Xa-7MQ" TargetMode="External"/><Relationship Id="rId94" Type="http://schemas.openxmlformats.org/officeDocument/2006/relationships/hyperlink" Target="https://youtu.be/_Gog7uM4JTU" TargetMode="External"/><Relationship Id="rId93" Type="http://schemas.openxmlformats.org/officeDocument/2006/relationships/hyperlink" Target="https://youtu.be/QhPnEx0UycE" TargetMode="External"/><Relationship Id="rId92" Type="http://schemas.openxmlformats.org/officeDocument/2006/relationships/hyperlink" Target="https://youtu.be/Pmkl5E3Kv5A" TargetMode="External"/><Relationship Id="rId91" Type="http://schemas.openxmlformats.org/officeDocument/2006/relationships/hyperlink" Target="https://youtu.be/lpwWVfU5T38" TargetMode="External"/><Relationship Id="rId90" Type="http://schemas.openxmlformats.org/officeDocument/2006/relationships/hyperlink" Target="https://youtu.be/JD-3EPUSmNM" TargetMode="External"/><Relationship Id="rId9" Type="http://schemas.openxmlformats.org/officeDocument/2006/relationships/hyperlink" Target="https://youtu.be/2yi9XbTcAus" TargetMode="External"/><Relationship Id="rId89" Type="http://schemas.openxmlformats.org/officeDocument/2006/relationships/hyperlink" Target="https://youtu.be/xOFnT5PPYO8" TargetMode="External"/><Relationship Id="rId88" Type="http://schemas.openxmlformats.org/officeDocument/2006/relationships/hyperlink" Target="https://youtu.be/aWAAig8JVDI" TargetMode="External"/><Relationship Id="rId87" Type="http://schemas.openxmlformats.org/officeDocument/2006/relationships/hyperlink" Target="https://youtu.be/EC1HOAq5X6Q" TargetMode="External"/><Relationship Id="rId86" Type="http://schemas.openxmlformats.org/officeDocument/2006/relationships/hyperlink" Target="https://youtu.be/QIxnZ9skEJI" TargetMode="External"/><Relationship Id="rId85" Type="http://schemas.openxmlformats.org/officeDocument/2006/relationships/hyperlink" Target="https://youtu.be/ymBex8O5qTo" TargetMode="External"/><Relationship Id="rId84" Type="http://schemas.openxmlformats.org/officeDocument/2006/relationships/hyperlink" Target="https://youtu.be/ngsqXRplTHE" TargetMode="External"/><Relationship Id="rId83" Type="http://schemas.openxmlformats.org/officeDocument/2006/relationships/hyperlink" Target="https://youtu.be/BdVhdUcwpCQ" TargetMode="External"/><Relationship Id="rId82" Type="http://schemas.openxmlformats.org/officeDocument/2006/relationships/hyperlink" Target="https://youtu.be/n5ES_EupgF4" TargetMode="External"/><Relationship Id="rId81" Type="http://schemas.openxmlformats.org/officeDocument/2006/relationships/hyperlink" Target="https://youtu.be/wemsD5Ymclo" TargetMode="External"/><Relationship Id="rId80" Type="http://schemas.openxmlformats.org/officeDocument/2006/relationships/hyperlink" Target="https://youtu.be/myDcugNKdXQ" TargetMode="External"/><Relationship Id="rId8" Type="http://schemas.openxmlformats.org/officeDocument/2006/relationships/hyperlink" Target="https://youtu.be/EiwgpXffwYc" TargetMode="External"/><Relationship Id="rId79" Type="http://schemas.openxmlformats.org/officeDocument/2006/relationships/hyperlink" Target="https://youtu.be/soPSUxoccVQ" TargetMode="External"/><Relationship Id="rId78" Type="http://schemas.openxmlformats.org/officeDocument/2006/relationships/hyperlink" Target="https://youtu.be/EC1ivrJI-pE" TargetMode="External"/><Relationship Id="rId77" Type="http://schemas.openxmlformats.org/officeDocument/2006/relationships/hyperlink" Target="https://youtu.be/gdcqX7ivU9M" TargetMode="External"/><Relationship Id="rId76" Type="http://schemas.openxmlformats.org/officeDocument/2006/relationships/hyperlink" Target="https://youtu.be/LT9R7KX8qFc" TargetMode="External"/><Relationship Id="rId75" Type="http://schemas.openxmlformats.org/officeDocument/2006/relationships/hyperlink" Target="https://youtu.be/jbq00LBU5cc" TargetMode="External"/><Relationship Id="rId74" Type="http://schemas.openxmlformats.org/officeDocument/2006/relationships/hyperlink" Target="https://youtu.be/9VV2ZnDn2tw" TargetMode="External"/><Relationship Id="rId73" Type="http://schemas.openxmlformats.org/officeDocument/2006/relationships/hyperlink" Target="https://youtu.be/ggBnasFb7eo" TargetMode="External"/><Relationship Id="rId72" Type="http://schemas.openxmlformats.org/officeDocument/2006/relationships/hyperlink" Target="https://youtu.be/gICYLLz2XXE" TargetMode="External"/><Relationship Id="rId71" Type="http://schemas.openxmlformats.org/officeDocument/2006/relationships/hyperlink" Target="https://youtu.be/hb30wHGkybk" TargetMode="External"/><Relationship Id="rId70" Type="http://schemas.openxmlformats.org/officeDocument/2006/relationships/hyperlink" Target="https://youtu.be/TpTpywPIQws" TargetMode="External"/><Relationship Id="rId7" Type="http://schemas.openxmlformats.org/officeDocument/2006/relationships/hyperlink" Target="https://youtu.be/sQgxlnq15w0" TargetMode="External"/><Relationship Id="rId69" Type="http://schemas.openxmlformats.org/officeDocument/2006/relationships/hyperlink" Target="https://youtu.be/YkJHS00QlpA" TargetMode="External"/><Relationship Id="rId68" Type="http://schemas.openxmlformats.org/officeDocument/2006/relationships/hyperlink" Target="https://youtu.be/2N92nCxxTgw" TargetMode="External"/><Relationship Id="rId67" Type="http://schemas.openxmlformats.org/officeDocument/2006/relationships/hyperlink" Target="https://youtu.be/j0792I242TE" TargetMode="External"/><Relationship Id="rId66" Type="http://schemas.openxmlformats.org/officeDocument/2006/relationships/hyperlink" Target="https://youtu.be/TYIrOlZIgfE" TargetMode="External"/><Relationship Id="rId65" Type="http://schemas.openxmlformats.org/officeDocument/2006/relationships/hyperlink" Target="https://youtu.be/ilMzOrVKVQg" TargetMode="External"/><Relationship Id="rId64" Type="http://schemas.openxmlformats.org/officeDocument/2006/relationships/hyperlink" Target="https://youtu.be/JvU-74aJvbs" TargetMode="External"/><Relationship Id="rId63" Type="http://schemas.openxmlformats.org/officeDocument/2006/relationships/hyperlink" Target="https://youtu.be/bf9tBxFHzU8" TargetMode="External"/><Relationship Id="rId62" Type="http://schemas.openxmlformats.org/officeDocument/2006/relationships/hyperlink" Target="https://youtu.be/3USgZG2Up1U" TargetMode="External"/><Relationship Id="rId61" Type="http://schemas.openxmlformats.org/officeDocument/2006/relationships/hyperlink" Target="https://youtu.be/-UPdBxYhEtw" TargetMode="External"/><Relationship Id="rId60" Type="http://schemas.openxmlformats.org/officeDocument/2006/relationships/hyperlink" Target="https://youtu.be/k6yWrROdGyc" TargetMode="External"/><Relationship Id="rId6" Type="http://schemas.openxmlformats.org/officeDocument/2006/relationships/hyperlink" Target="https://youtu.be/GqGNVRjr1M0" TargetMode="External"/><Relationship Id="rId59" Type="http://schemas.openxmlformats.org/officeDocument/2006/relationships/hyperlink" Target="https://youtu.be/0i4qEV6K_wc" TargetMode="External"/><Relationship Id="rId58" Type="http://schemas.openxmlformats.org/officeDocument/2006/relationships/hyperlink" Target="https://youtu.be/xCN7iJjXjSI" TargetMode="External"/><Relationship Id="rId57" Type="http://schemas.openxmlformats.org/officeDocument/2006/relationships/hyperlink" Target="https://youtu.be/ZyvEONXhghs" TargetMode="External"/><Relationship Id="rId56" Type="http://schemas.openxmlformats.org/officeDocument/2006/relationships/hyperlink" Target="https://youtu.be/RcUjZpsfvhw" TargetMode="External"/><Relationship Id="rId55" Type="http://schemas.openxmlformats.org/officeDocument/2006/relationships/hyperlink" Target="https://youtu.be/c8u_HjQ-qqM" TargetMode="External"/><Relationship Id="rId54" Type="http://schemas.openxmlformats.org/officeDocument/2006/relationships/hyperlink" Target="https://youtu.be/OqKIAPKj1jo" TargetMode="External"/><Relationship Id="rId53" Type="http://schemas.openxmlformats.org/officeDocument/2006/relationships/hyperlink" Target="https://youtu.be/Td8BsUz2hZI" TargetMode="External"/><Relationship Id="rId52" Type="http://schemas.openxmlformats.org/officeDocument/2006/relationships/hyperlink" Target="https://youtu.be/LAIG__01Zfo" TargetMode="External"/><Relationship Id="rId51" Type="http://schemas.openxmlformats.org/officeDocument/2006/relationships/hyperlink" Target="https://youtu.be/nfIdi4c9gmA" TargetMode="External"/><Relationship Id="rId50" Type="http://schemas.openxmlformats.org/officeDocument/2006/relationships/hyperlink" Target="https://youtu.be/H_oHKkJfpe8" TargetMode="External"/><Relationship Id="rId5" Type="http://schemas.openxmlformats.org/officeDocument/2006/relationships/hyperlink" Target="https://youtu.be/LGGexWz4TbQ" TargetMode="External"/><Relationship Id="rId49" Type="http://schemas.openxmlformats.org/officeDocument/2006/relationships/hyperlink" Target="https://youtu.be/BzLxA3s2WT8" TargetMode="External"/><Relationship Id="rId48" Type="http://schemas.openxmlformats.org/officeDocument/2006/relationships/hyperlink" Target="https://youtu.be/eYehJ-95RSY" TargetMode="External"/><Relationship Id="rId47" Type="http://schemas.openxmlformats.org/officeDocument/2006/relationships/hyperlink" Target="https://youtu.be/0oiT_vtP62I" TargetMode="External"/><Relationship Id="rId46" Type="http://schemas.openxmlformats.org/officeDocument/2006/relationships/hyperlink" Target="https://youtu.be/sQbzrwevS6M" TargetMode="External"/><Relationship Id="rId45" Type="http://schemas.openxmlformats.org/officeDocument/2006/relationships/hyperlink" Target="https://youtu.be/S9FnC1NbRs4" TargetMode="External"/><Relationship Id="rId44" Type="http://schemas.openxmlformats.org/officeDocument/2006/relationships/hyperlink" Target="https://youtu.be/zhSjm2kwIs4" TargetMode="External"/><Relationship Id="rId43" Type="http://schemas.openxmlformats.org/officeDocument/2006/relationships/hyperlink" Target="https://youtu.be/JLYaiRPf4_s" TargetMode="External"/><Relationship Id="rId42" Type="http://schemas.openxmlformats.org/officeDocument/2006/relationships/hyperlink" Target="https://youtu.be/xuybtK-NqTg" TargetMode="External"/><Relationship Id="rId41" Type="http://schemas.openxmlformats.org/officeDocument/2006/relationships/hyperlink" Target="https://youtu.be/UTf2-69SLas" TargetMode="External"/><Relationship Id="rId40" Type="http://schemas.openxmlformats.org/officeDocument/2006/relationships/hyperlink" Target="https://youtu.be/kdCd2Fx5jc4" TargetMode="External"/><Relationship Id="rId4" Type="http://schemas.openxmlformats.org/officeDocument/2006/relationships/hyperlink" Target="https://youtu.be/K5mpeeyYf7g" TargetMode="External"/><Relationship Id="rId39" Type="http://schemas.openxmlformats.org/officeDocument/2006/relationships/hyperlink" Target="https://youtu.be/ZB99s7VPkDE" TargetMode="External"/><Relationship Id="rId38" Type="http://schemas.openxmlformats.org/officeDocument/2006/relationships/hyperlink" Target="https://youtu.be/nwXkLHOcZCM" TargetMode="External"/><Relationship Id="rId37" Type="http://schemas.openxmlformats.org/officeDocument/2006/relationships/hyperlink" Target="https://youtu.be/-1XgksMT5SI" TargetMode="External"/><Relationship Id="rId36" Type="http://schemas.openxmlformats.org/officeDocument/2006/relationships/hyperlink" Target="https://youtu.be/eGaIiDH35ng" TargetMode="External"/><Relationship Id="rId35" Type="http://schemas.openxmlformats.org/officeDocument/2006/relationships/hyperlink" Target="https://youtu.be/hHVsnN9AiVc" TargetMode="External"/><Relationship Id="rId34" Type="http://schemas.openxmlformats.org/officeDocument/2006/relationships/hyperlink" Target="https://youtu.be/ATIkJgIXyzk" TargetMode="External"/><Relationship Id="rId33" Type="http://schemas.openxmlformats.org/officeDocument/2006/relationships/hyperlink" Target="https://youtu.be/qEswr4KWYWM" TargetMode="External"/><Relationship Id="rId32" Type="http://schemas.openxmlformats.org/officeDocument/2006/relationships/hyperlink" Target="https://youtu.be/xy4NN-z7YJ0" TargetMode="External"/><Relationship Id="rId31" Type="http://schemas.openxmlformats.org/officeDocument/2006/relationships/hyperlink" Target="https://youtu.be/CNTJqeZ_ehk" TargetMode="External"/><Relationship Id="rId30" Type="http://schemas.openxmlformats.org/officeDocument/2006/relationships/hyperlink" Target="https://youtu.be/JbdCv-FKMfM" TargetMode="External"/><Relationship Id="rId3" Type="http://schemas.openxmlformats.org/officeDocument/2006/relationships/hyperlink" Target="https://youtu.be/IRaGYvhftx0" TargetMode="External"/><Relationship Id="rId29" Type="http://schemas.openxmlformats.org/officeDocument/2006/relationships/hyperlink" Target="https://youtu.be/bvPdrEODUfo" TargetMode="External"/><Relationship Id="rId28" Type="http://schemas.openxmlformats.org/officeDocument/2006/relationships/hyperlink" Target="https://youtu.be/6h2AwVI6IfM" TargetMode="External"/><Relationship Id="rId27" Type="http://schemas.openxmlformats.org/officeDocument/2006/relationships/hyperlink" Target="https://youtu.be/Xvc9pKwZvAU" TargetMode="External"/><Relationship Id="rId26" Type="http://schemas.openxmlformats.org/officeDocument/2006/relationships/hyperlink" Target="https://youtu.be/et64CRmhGsg" TargetMode="External"/><Relationship Id="rId25" Type="http://schemas.openxmlformats.org/officeDocument/2006/relationships/hyperlink" Target="https://youtu.be/5OcQAUt2IQ4" TargetMode="External"/><Relationship Id="rId24" Type="http://schemas.openxmlformats.org/officeDocument/2006/relationships/hyperlink" Target="https://youtu.be/wxhoSewKTA8" TargetMode="External"/><Relationship Id="rId23" Type="http://schemas.openxmlformats.org/officeDocument/2006/relationships/hyperlink" Target="https://youtu.be/qIipePTV5Ps" TargetMode="External"/><Relationship Id="rId22" Type="http://schemas.openxmlformats.org/officeDocument/2006/relationships/hyperlink" Target="https://youtu.be/qfFaFprbfpQ" TargetMode="External"/><Relationship Id="rId21" Type="http://schemas.openxmlformats.org/officeDocument/2006/relationships/hyperlink" Target="https://youtu.be/8quY5M8Fhjk" TargetMode="External"/><Relationship Id="rId209" Type="http://schemas.openxmlformats.org/officeDocument/2006/relationships/hyperlink" Target="https://www.youtube.com/watch?v=cqfSk-E2jpU" TargetMode="External"/><Relationship Id="rId208" Type="http://schemas.openxmlformats.org/officeDocument/2006/relationships/hyperlink" Target="https://www.youtube.com/watch?v=Mvr7WJybooA" TargetMode="External"/><Relationship Id="rId207" Type="http://schemas.openxmlformats.org/officeDocument/2006/relationships/hyperlink" Target="https://www.youtube.com/watch?v=8h-mQN9nrfU" TargetMode="External"/><Relationship Id="rId206" Type="http://schemas.openxmlformats.org/officeDocument/2006/relationships/hyperlink" Target="https://www.youtube.com/watch?v=uex_6Q-RdgA" TargetMode="External"/><Relationship Id="rId205" Type="http://schemas.openxmlformats.org/officeDocument/2006/relationships/hyperlink" Target="https://www.youtube.com/watch?v=Bf_S_ZkqSOI" TargetMode="External"/><Relationship Id="rId204" Type="http://schemas.openxmlformats.org/officeDocument/2006/relationships/hyperlink" Target="https://www.youtube.com/watch?v=_aQ9tUAtd2E" TargetMode="External"/><Relationship Id="rId203" Type="http://schemas.openxmlformats.org/officeDocument/2006/relationships/hyperlink" Target="https://youtu.be/FgsOum8gHz0" TargetMode="External"/><Relationship Id="rId202" Type="http://schemas.openxmlformats.org/officeDocument/2006/relationships/hyperlink" Target="https://youtu.be/dD7VkzWbMTc" TargetMode="External"/><Relationship Id="rId201" Type="http://schemas.openxmlformats.org/officeDocument/2006/relationships/hyperlink" Target="https://youtu.be/reQsD4uM-Xg" TargetMode="External"/><Relationship Id="rId200" Type="http://schemas.openxmlformats.org/officeDocument/2006/relationships/hyperlink" Target="https://youtu.be/Vxur4p0VGVk" TargetMode="External"/><Relationship Id="rId20" Type="http://schemas.openxmlformats.org/officeDocument/2006/relationships/hyperlink" Target="https://youtu.be/MQodW2sCH3s" TargetMode="External"/><Relationship Id="rId2" Type="http://schemas.openxmlformats.org/officeDocument/2006/relationships/hyperlink" Target="https://youtu.be/Iwewo30PXWo" TargetMode="External"/><Relationship Id="rId199" Type="http://schemas.openxmlformats.org/officeDocument/2006/relationships/hyperlink" Target="https://youtu.be/0mRe1_UtFAc" TargetMode="External"/><Relationship Id="rId198" Type="http://schemas.openxmlformats.org/officeDocument/2006/relationships/hyperlink" Target="https://youtu.be/mBjUAKR3XJw" TargetMode="External"/><Relationship Id="rId197" Type="http://schemas.openxmlformats.org/officeDocument/2006/relationships/hyperlink" Target="https://youtu.be/ZdJu_o6lX4w" TargetMode="External"/><Relationship Id="rId196" Type="http://schemas.openxmlformats.org/officeDocument/2006/relationships/hyperlink" Target="https://youtu.be/_Fz5sJeqoLg" TargetMode="External"/><Relationship Id="rId195" Type="http://schemas.openxmlformats.org/officeDocument/2006/relationships/hyperlink" Target="https://youtu.be/CekZAlkgx2s" TargetMode="External"/><Relationship Id="rId194" Type="http://schemas.openxmlformats.org/officeDocument/2006/relationships/hyperlink" Target="https://youtu.be/wi9ttH0BZVc" TargetMode="External"/><Relationship Id="rId193" Type="http://schemas.openxmlformats.org/officeDocument/2006/relationships/hyperlink" Target="fhttps://youtu.be/KwRJtxPuALk" TargetMode="External"/><Relationship Id="rId192" Type="http://schemas.openxmlformats.org/officeDocument/2006/relationships/hyperlink" Target="https://youtu.be/2vTeEAXaKnU" TargetMode="External"/><Relationship Id="rId191" Type="http://schemas.openxmlformats.org/officeDocument/2006/relationships/hyperlink" Target="https://youtu.be/cNkYeKKpcfA" TargetMode="External"/><Relationship Id="rId190" Type="http://schemas.openxmlformats.org/officeDocument/2006/relationships/hyperlink" Target="https://youtu.be/G6mNXf-VRyI" TargetMode="External"/><Relationship Id="rId19" Type="http://schemas.openxmlformats.org/officeDocument/2006/relationships/hyperlink" Target="https://youtu.be/_KN0DwQBMGg" TargetMode="External"/><Relationship Id="rId189" Type="http://schemas.openxmlformats.org/officeDocument/2006/relationships/hyperlink" Target="https://youtu.be/aLIOMklgo1g" TargetMode="External"/><Relationship Id="rId188" Type="http://schemas.openxmlformats.org/officeDocument/2006/relationships/hyperlink" Target="https://youtu.be/Xvj0dK3lzfc" TargetMode="External"/><Relationship Id="rId187" Type="http://schemas.openxmlformats.org/officeDocument/2006/relationships/hyperlink" Target="https://youtu.be/oVWfI4iROy0" TargetMode="External"/><Relationship Id="rId186" Type="http://schemas.openxmlformats.org/officeDocument/2006/relationships/hyperlink" Target="https://youtu.be/yehYqqeH3aU" TargetMode="External"/><Relationship Id="rId185" Type="http://schemas.openxmlformats.org/officeDocument/2006/relationships/hyperlink" Target="https://youtu.be/lFORH0RcUcY" TargetMode="External"/><Relationship Id="rId184" Type="http://schemas.openxmlformats.org/officeDocument/2006/relationships/hyperlink" Target="https://youtu.be/11omCRJOhY0" TargetMode="External"/><Relationship Id="rId183" Type="http://schemas.openxmlformats.org/officeDocument/2006/relationships/hyperlink" Target="https://youtu.be/yqZQvRl0Who" TargetMode="External"/><Relationship Id="rId182" Type="http://schemas.openxmlformats.org/officeDocument/2006/relationships/hyperlink" Target="https://youtu.be/7fEHeX4cRzA" TargetMode="External"/><Relationship Id="rId181" Type="http://schemas.openxmlformats.org/officeDocument/2006/relationships/hyperlink" Target="https://youtu.be/y0s-yXBXhCc" TargetMode="External"/><Relationship Id="rId180" Type="http://schemas.openxmlformats.org/officeDocument/2006/relationships/hyperlink" Target="https://youtu.be/DiqIxi-XP_Q" TargetMode="External"/><Relationship Id="rId18" Type="http://schemas.openxmlformats.org/officeDocument/2006/relationships/hyperlink" Target="https://youtu.be/AmBMurtYrPA" TargetMode="External"/><Relationship Id="rId179" Type="http://schemas.openxmlformats.org/officeDocument/2006/relationships/hyperlink" Target="https://youtu.be/0eBUpfnU9wQ" TargetMode="External"/><Relationship Id="rId178" Type="http://schemas.openxmlformats.org/officeDocument/2006/relationships/hyperlink" Target="https://youtu.be/0D7Vvn_N9KI" TargetMode="External"/><Relationship Id="rId177" Type="http://schemas.openxmlformats.org/officeDocument/2006/relationships/hyperlink" Target="https://youtu.be/l6a8E78HhBQ" TargetMode="External"/><Relationship Id="rId176" Type="http://schemas.openxmlformats.org/officeDocument/2006/relationships/hyperlink" Target="https://youtu.be/bytl5fjbkeQ" TargetMode="External"/><Relationship Id="rId175" Type="http://schemas.openxmlformats.org/officeDocument/2006/relationships/hyperlink" Target="https://youtu.be/fc256OryTxM" TargetMode="External"/><Relationship Id="rId174" Type="http://schemas.openxmlformats.org/officeDocument/2006/relationships/hyperlink" Target="https://youtu.be/O9XzJl4wx5w" TargetMode="External"/><Relationship Id="rId173" Type="http://schemas.openxmlformats.org/officeDocument/2006/relationships/hyperlink" Target="https://youtu.be/5mbA4CMKd0s" TargetMode="External"/><Relationship Id="rId172" Type="http://schemas.openxmlformats.org/officeDocument/2006/relationships/hyperlink" Target="https://youtu.be/l1lNIPB0BS0" TargetMode="External"/><Relationship Id="rId171" Type="http://schemas.openxmlformats.org/officeDocument/2006/relationships/hyperlink" Target="https://youtu.be/qxks23_pHnI" TargetMode="External"/><Relationship Id="rId170" Type="http://schemas.openxmlformats.org/officeDocument/2006/relationships/hyperlink" Target="https://youtu.be/_iPx5IRw4M8" TargetMode="External"/><Relationship Id="rId17" Type="http://schemas.openxmlformats.org/officeDocument/2006/relationships/hyperlink" Target="https://youtu.be/1FlPaMJGT9k" TargetMode="External"/><Relationship Id="rId169" Type="http://schemas.openxmlformats.org/officeDocument/2006/relationships/hyperlink" Target="https://youtu.be/PrUlvOYYLGg" TargetMode="External"/><Relationship Id="rId168" Type="http://schemas.openxmlformats.org/officeDocument/2006/relationships/hyperlink" Target="https://youtu.be/gVU84KKODCk" TargetMode="External"/><Relationship Id="rId167" Type="http://schemas.openxmlformats.org/officeDocument/2006/relationships/hyperlink" Target="https://youtu.be/uYZVie6ir-c" TargetMode="External"/><Relationship Id="rId166" Type="http://schemas.openxmlformats.org/officeDocument/2006/relationships/hyperlink" Target="https://youtu.be/Otxy4haEUTM" TargetMode="External"/><Relationship Id="rId165" Type="http://schemas.openxmlformats.org/officeDocument/2006/relationships/hyperlink" Target="https://youtu.be/VGpyUUhXA1I" TargetMode="External"/><Relationship Id="rId164" Type="http://schemas.openxmlformats.org/officeDocument/2006/relationships/hyperlink" Target="https://youtu.be/dgIHTvIh5Zw" TargetMode="External"/><Relationship Id="rId163" Type="http://schemas.openxmlformats.org/officeDocument/2006/relationships/hyperlink" Target="https://youtu.be/I9UG7KrQrEU" TargetMode="External"/><Relationship Id="rId162" Type="http://schemas.openxmlformats.org/officeDocument/2006/relationships/hyperlink" Target="https://youtu.be/trAfIHyoGNA" TargetMode="External"/><Relationship Id="rId161" Type="http://schemas.openxmlformats.org/officeDocument/2006/relationships/hyperlink" Target="https://youtu.be/CBoBdkSCjw8" TargetMode="External"/><Relationship Id="rId160" Type="http://schemas.openxmlformats.org/officeDocument/2006/relationships/hyperlink" Target="https://youtu.be/CDVWDYjtopM" TargetMode="External"/><Relationship Id="rId16" Type="http://schemas.openxmlformats.org/officeDocument/2006/relationships/hyperlink" Target="https://youtu.be/Z8xXcvlcuDo" TargetMode="External"/><Relationship Id="rId159" Type="http://schemas.openxmlformats.org/officeDocument/2006/relationships/hyperlink" Target="https://youtu.be/cLM-ujHFbhE" TargetMode="External"/><Relationship Id="rId158" Type="http://schemas.openxmlformats.org/officeDocument/2006/relationships/hyperlink" Target="https://youtu.be/-pCjJthATP0" TargetMode="External"/><Relationship Id="rId157" Type="http://schemas.openxmlformats.org/officeDocument/2006/relationships/hyperlink" Target="https://youtu.be/c-yKelusKjs" TargetMode="External"/><Relationship Id="rId156" Type="http://schemas.openxmlformats.org/officeDocument/2006/relationships/hyperlink" Target="https://youtu.be/sDmxePxO8tM" TargetMode="External"/><Relationship Id="rId155" Type="http://schemas.openxmlformats.org/officeDocument/2006/relationships/hyperlink" Target="https://youtu.be/SbMYG3KqmW4" TargetMode="External"/><Relationship Id="rId154" Type="http://schemas.openxmlformats.org/officeDocument/2006/relationships/hyperlink" Target="https://youtu.be/TZe2_NBT5Fw" TargetMode="External"/><Relationship Id="rId153" Type="http://schemas.openxmlformats.org/officeDocument/2006/relationships/hyperlink" Target="https://youtu.be/h6TIjuGYnnM" TargetMode="External"/><Relationship Id="rId152" Type="http://schemas.openxmlformats.org/officeDocument/2006/relationships/hyperlink" Target="https://youtu.be/OUoYMIMhwFE" TargetMode="External"/><Relationship Id="rId151" Type="http://schemas.openxmlformats.org/officeDocument/2006/relationships/hyperlink" Target="https://youtu.be/jLWizDN-kwQ" TargetMode="External"/><Relationship Id="rId150" Type="http://schemas.openxmlformats.org/officeDocument/2006/relationships/hyperlink" Target="https://youtu.be/6-HyYZKshic" TargetMode="External"/><Relationship Id="rId15" Type="http://schemas.openxmlformats.org/officeDocument/2006/relationships/hyperlink" Target="https://youtu.be/0DLbhdWmdMI" TargetMode="External"/><Relationship Id="rId149" Type="http://schemas.openxmlformats.org/officeDocument/2006/relationships/hyperlink" Target="https://youtu.be/QOviBoFH1yc" TargetMode="External"/><Relationship Id="rId148" Type="http://schemas.openxmlformats.org/officeDocument/2006/relationships/hyperlink" Target="https://youtu.be/j_IDu_z-GK0" TargetMode="External"/><Relationship Id="rId147" Type="http://schemas.openxmlformats.org/officeDocument/2006/relationships/hyperlink" Target="https://youtu.be/2OPKFfXHPCE" TargetMode="External"/><Relationship Id="rId146" Type="http://schemas.openxmlformats.org/officeDocument/2006/relationships/hyperlink" Target="https://youtu.be/Q76YNvNUxyY" TargetMode="External"/><Relationship Id="rId145" Type="http://schemas.openxmlformats.org/officeDocument/2006/relationships/hyperlink" Target="https://youtu.be/m2SO2MDa8Wo" TargetMode="External"/><Relationship Id="rId144" Type="http://schemas.openxmlformats.org/officeDocument/2006/relationships/hyperlink" Target="https://youtu.be/qKeBQfOn0co" TargetMode="External"/><Relationship Id="rId143" Type="http://schemas.openxmlformats.org/officeDocument/2006/relationships/hyperlink" Target="https://youtu.be/JHIu_pEvAEU" TargetMode="External"/><Relationship Id="rId142" Type="http://schemas.openxmlformats.org/officeDocument/2006/relationships/hyperlink" Target="https://youtu.be/MWq7LTvvOak" TargetMode="External"/><Relationship Id="rId141" Type="http://schemas.openxmlformats.org/officeDocument/2006/relationships/hyperlink" Target="https://youtu.be/7pJ9MwvAiXI" TargetMode="External"/><Relationship Id="rId140" Type="http://schemas.openxmlformats.org/officeDocument/2006/relationships/hyperlink" Target="https://www.youtube.com/watch?v=ckNbK1dw3QA&amp;feature=youtu.be" TargetMode="External"/><Relationship Id="rId14" Type="http://schemas.openxmlformats.org/officeDocument/2006/relationships/hyperlink" Target="https://youtu.be/97qPDRnC3lg" TargetMode="External"/><Relationship Id="rId139" Type="http://schemas.openxmlformats.org/officeDocument/2006/relationships/hyperlink" Target="https://youtu.be/J_VZvityAqI" TargetMode="External"/><Relationship Id="rId138" Type="http://schemas.openxmlformats.org/officeDocument/2006/relationships/hyperlink" Target="https://youtu.be/qmxi2MYbgMY" TargetMode="External"/><Relationship Id="rId137" Type="http://schemas.openxmlformats.org/officeDocument/2006/relationships/hyperlink" Target="https://youtu.be/mStqfHXDRg0" TargetMode="External"/><Relationship Id="rId136" Type="http://schemas.openxmlformats.org/officeDocument/2006/relationships/hyperlink" Target="https://youtu.be/ZTAb2vlnYbQ" TargetMode="External"/><Relationship Id="rId135" Type="http://schemas.openxmlformats.org/officeDocument/2006/relationships/hyperlink" Target="https://youtu.be/m7IXvGcwUR4" TargetMode="External"/><Relationship Id="rId134" Type="http://schemas.openxmlformats.org/officeDocument/2006/relationships/hyperlink" Target="https://youtu.be/43KMOQRjnKU" TargetMode="External"/><Relationship Id="rId133" Type="http://schemas.openxmlformats.org/officeDocument/2006/relationships/hyperlink" Target="https://youtu.be/el4veCuMQsU" TargetMode="External"/><Relationship Id="rId132" Type="http://schemas.openxmlformats.org/officeDocument/2006/relationships/hyperlink" Target="https://youtu.be/AMtaT4zP6fg" TargetMode="External"/><Relationship Id="rId131" Type="http://schemas.openxmlformats.org/officeDocument/2006/relationships/hyperlink" Target="https://youtu.be/A_Hf-UGAV_g" TargetMode="External"/><Relationship Id="rId130" Type="http://schemas.openxmlformats.org/officeDocument/2006/relationships/hyperlink" Target="https://youtu.be/bKqY0i2Tr8s" TargetMode="External"/><Relationship Id="rId13" Type="http://schemas.openxmlformats.org/officeDocument/2006/relationships/hyperlink" Target="https://youtu.be/tUpiLWUrwCo" TargetMode="External"/><Relationship Id="rId129" Type="http://schemas.openxmlformats.org/officeDocument/2006/relationships/hyperlink" Target="https://youtu.be/qosTfyT7aVk" TargetMode="External"/><Relationship Id="rId128" Type="http://schemas.openxmlformats.org/officeDocument/2006/relationships/hyperlink" Target="https://youtu.be/8kBfK5Aavs8" TargetMode="External"/><Relationship Id="rId127" Type="http://schemas.openxmlformats.org/officeDocument/2006/relationships/hyperlink" Target="https://youtu.be/qm91fHcl6vg" TargetMode="External"/><Relationship Id="rId126" Type="http://schemas.openxmlformats.org/officeDocument/2006/relationships/hyperlink" Target="https://youtu.be/hsOKT67YObk" TargetMode="External"/><Relationship Id="rId125" Type="http://schemas.openxmlformats.org/officeDocument/2006/relationships/hyperlink" Target="https://youtu.be/Zv8AwpEBnfY" TargetMode="External"/><Relationship Id="rId124" Type="http://schemas.openxmlformats.org/officeDocument/2006/relationships/hyperlink" Target="https://youtu.be/XUktHBnE-vk" TargetMode="External"/><Relationship Id="rId123" Type="http://schemas.openxmlformats.org/officeDocument/2006/relationships/hyperlink" Target="https://youtu.be/H0HWMxIRCLs" TargetMode="External"/><Relationship Id="rId122" Type="http://schemas.openxmlformats.org/officeDocument/2006/relationships/hyperlink" Target="https://www.youtube.com/watch?v=dA-mZpWg_4U&amp;feature=youtu.be" TargetMode="External"/><Relationship Id="rId121" Type="http://schemas.openxmlformats.org/officeDocument/2006/relationships/hyperlink" Target="https://youtu.be/qF0PuxJoPOI" TargetMode="External"/><Relationship Id="rId120" Type="http://schemas.openxmlformats.org/officeDocument/2006/relationships/hyperlink" Target="https://youtu.be/s5zHsD-XLps" TargetMode="External"/><Relationship Id="rId12" Type="http://schemas.openxmlformats.org/officeDocument/2006/relationships/hyperlink" Target="https://youtu.be/KFxeXpas3kY" TargetMode="External"/><Relationship Id="rId119" Type="http://schemas.openxmlformats.org/officeDocument/2006/relationships/hyperlink" Target="https://youtu.be/ORS3oNnyiL8" TargetMode="External"/><Relationship Id="rId118" Type="http://schemas.openxmlformats.org/officeDocument/2006/relationships/hyperlink" Target="https://youtu.be/UCmp2lw5IBI" TargetMode="External"/><Relationship Id="rId117" Type="http://schemas.openxmlformats.org/officeDocument/2006/relationships/hyperlink" Target="https://youtu.be/LFOh5EdRDlU" TargetMode="External"/><Relationship Id="rId116" Type="http://schemas.openxmlformats.org/officeDocument/2006/relationships/hyperlink" Target="https://youtu.be/zDO7JbECEyk" TargetMode="External"/><Relationship Id="rId115" Type="http://schemas.openxmlformats.org/officeDocument/2006/relationships/hyperlink" Target="https://youtu.be/OSsXISa8gSw" TargetMode="External"/><Relationship Id="rId114" Type="http://schemas.openxmlformats.org/officeDocument/2006/relationships/hyperlink" Target="https://youtu.be/YuKrc0U-Y1A" TargetMode="External"/><Relationship Id="rId113" Type="http://schemas.openxmlformats.org/officeDocument/2006/relationships/hyperlink" Target="https://youtu.be/j9cIKe9aZkw" TargetMode="External"/><Relationship Id="rId112" Type="http://schemas.openxmlformats.org/officeDocument/2006/relationships/hyperlink" Target="https://youtu.be/9OT-kAq7qJ4" TargetMode="External"/><Relationship Id="rId111" Type="http://schemas.openxmlformats.org/officeDocument/2006/relationships/hyperlink" Target="https://youtu.be/dYeoOxZzLyo" TargetMode="External"/><Relationship Id="rId110" Type="http://schemas.openxmlformats.org/officeDocument/2006/relationships/hyperlink" Target="https://youtu.be/UIeg9DWYVEw" TargetMode="External"/><Relationship Id="rId11" Type="http://schemas.openxmlformats.org/officeDocument/2006/relationships/hyperlink" Target="https://youtu.be/0dAHliH960w" TargetMode="External"/><Relationship Id="rId109" Type="http://schemas.openxmlformats.org/officeDocument/2006/relationships/hyperlink" Target="https://youtu.be/Zdduh2o6HIQ" TargetMode="External"/><Relationship Id="rId108" Type="http://schemas.openxmlformats.org/officeDocument/2006/relationships/hyperlink" Target="https://youtu.be/0Pn3oozXNPo" TargetMode="External"/><Relationship Id="rId107" Type="http://schemas.openxmlformats.org/officeDocument/2006/relationships/hyperlink" Target="https://youtu.be/jyo2xY2ynOk" TargetMode="External"/><Relationship Id="rId106" Type="http://schemas.openxmlformats.org/officeDocument/2006/relationships/hyperlink" Target="https://youtu.be/_pdkymSuQlE" TargetMode="External"/><Relationship Id="rId105" Type="http://schemas.openxmlformats.org/officeDocument/2006/relationships/hyperlink" Target="https://youtu.be/wIVaeLP_4Vg" TargetMode="External"/><Relationship Id="rId104" Type="http://schemas.openxmlformats.org/officeDocument/2006/relationships/hyperlink" Target="https://youtu.be/DdNrlfU6QbM" TargetMode="External"/><Relationship Id="rId103" Type="http://schemas.openxmlformats.org/officeDocument/2006/relationships/hyperlink" Target="https://youtu.be/Z3xNax8PAig" TargetMode="External"/><Relationship Id="rId102" Type="http://schemas.openxmlformats.org/officeDocument/2006/relationships/hyperlink" Target="https://youtu.be/Qs_TkXu7-8c" TargetMode="External"/><Relationship Id="rId101" Type="http://schemas.openxmlformats.org/officeDocument/2006/relationships/hyperlink" Target="https://youtu.be/XohzOa9AuQ8" TargetMode="External"/><Relationship Id="rId100" Type="http://schemas.openxmlformats.org/officeDocument/2006/relationships/hyperlink" Target="https://youtu.be/Ch8nWHTPWsY" TargetMode="External"/><Relationship Id="rId10" Type="http://schemas.openxmlformats.org/officeDocument/2006/relationships/hyperlink" Target="https://youtu.be/dR_zPHhULUI" TargetMode="External"/><Relationship Id="rId1" Type="http://schemas.openxmlformats.org/officeDocument/2006/relationships/hyperlink" Target="https://youtu.be/f1XI2SrSOo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71"/>
  <sheetViews>
    <sheetView showGridLines="0" topLeftCell="A43" workbookViewId="0">
      <selection activeCell="D43" sqref="D$1:D$1048576"/>
    </sheetView>
  </sheetViews>
  <sheetFormatPr defaultColWidth="8.85185185185185" defaultRowHeight="13.8"/>
  <cols>
    <col min="1" max="1" width="3.85185185185185" customWidth="1"/>
    <col min="2" max="2" width="47.4259259259259" customWidth="1"/>
    <col min="3" max="3" width="8.85185185185185" customWidth="1"/>
  </cols>
  <sheetData>
    <row r="2" s="139" customFormat="1" ht="58.35" customHeight="1" spans="2:20">
      <c r="B2" s="143" t="s">
        <v>0</v>
      </c>
      <c r="C2" s="144"/>
      <c r="D2" s="144"/>
      <c r="E2" s="144"/>
      <c r="F2" s="144"/>
      <c r="G2" s="144"/>
      <c r="H2" s="144"/>
      <c r="I2" s="144"/>
      <c r="J2" s="144"/>
      <c r="K2" s="144"/>
      <c r="L2" s="144"/>
      <c r="M2" s="144"/>
      <c r="N2" s="144"/>
      <c r="O2" s="144"/>
      <c r="P2" s="144"/>
      <c r="Q2" s="144"/>
      <c r="R2" s="144"/>
      <c r="S2" s="144"/>
      <c r="T2" s="144"/>
    </row>
    <row r="3" s="140" customFormat="1" ht="108" customHeight="1" spans="2:20">
      <c r="B3" s="145" t="s">
        <v>1</v>
      </c>
      <c r="C3" s="146"/>
      <c r="D3" s="146"/>
      <c r="E3" s="146"/>
      <c r="F3" s="146"/>
      <c r="G3" s="146"/>
      <c r="H3" s="146"/>
      <c r="I3" s="146"/>
      <c r="J3" s="146"/>
      <c r="K3" s="146"/>
      <c r="L3" s="146"/>
      <c r="M3" s="146"/>
      <c r="N3" s="146"/>
      <c r="O3" s="146"/>
      <c r="P3" s="146"/>
      <c r="Q3" s="146"/>
      <c r="R3" s="146"/>
      <c r="S3" s="146"/>
      <c r="T3" s="146"/>
    </row>
    <row r="4" spans="2:20">
      <c r="B4" s="147"/>
    </row>
    <row r="5" s="141" customFormat="1" ht="14.4" spans="2:20">
      <c r="B5" s="148" t="s">
        <v>2</v>
      </c>
      <c r="C5" s="149"/>
      <c r="D5" s="149"/>
      <c r="E5" s="149"/>
      <c r="F5" s="149"/>
      <c r="G5" s="149"/>
      <c r="H5" s="149"/>
      <c r="I5" s="149"/>
      <c r="J5" s="149"/>
      <c r="K5" s="149"/>
      <c r="L5" s="149"/>
      <c r="M5" s="149"/>
      <c r="N5" s="149"/>
      <c r="O5" s="149"/>
      <c r="P5" s="149"/>
      <c r="Q5" s="149"/>
      <c r="R5" s="149"/>
      <c r="S5" s="149"/>
      <c r="T5" s="149"/>
    </row>
    <row r="6" spans="2:20">
      <c r="B6" t="s">
        <v>3</v>
      </c>
      <c r="C6" t="s">
        <v>4</v>
      </c>
    </row>
    <row r="7" spans="2:20">
      <c r="B7" t="s">
        <v>5</v>
      </c>
      <c r="C7" t="s">
        <v>6</v>
      </c>
    </row>
    <row r="8" spans="2:20">
      <c r="B8" s="150"/>
    </row>
    <row r="9" spans="2:20">
      <c r="B9" s="150"/>
    </row>
    <row r="10" s="142" customFormat="1" ht="14.4" spans="2:20">
      <c r="B10" s="148" t="s">
        <v>7</v>
      </c>
      <c r="C10" s="149"/>
      <c r="D10" s="149"/>
      <c r="E10" s="149"/>
      <c r="F10" s="149"/>
      <c r="G10" s="149"/>
      <c r="H10" s="149"/>
      <c r="I10" s="149"/>
      <c r="J10" s="149"/>
      <c r="K10" s="149"/>
      <c r="L10" s="149"/>
      <c r="M10" s="149"/>
      <c r="N10" s="149"/>
      <c r="O10" s="149"/>
      <c r="P10" s="149"/>
      <c r="Q10" s="149"/>
      <c r="R10" s="149"/>
      <c r="S10" s="149"/>
      <c r="T10" s="149"/>
    </row>
    <row r="11" spans="2:20">
      <c r="B11" t="s">
        <v>8</v>
      </c>
      <c r="C11" t="s">
        <v>9</v>
      </c>
    </row>
    <row r="12" spans="2:20">
      <c r="B12" t="s">
        <v>10</v>
      </c>
      <c r="C12" t="s">
        <v>11</v>
      </c>
    </row>
    <row r="13" spans="2:20">
      <c r="B13" t="s">
        <v>12</v>
      </c>
      <c r="C13" t="s">
        <v>13</v>
      </c>
    </row>
    <row r="14" spans="2:20">
      <c r="B14" t="s">
        <v>14</v>
      </c>
      <c r="C14" t="s">
        <v>15</v>
      </c>
    </row>
    <row r="15" spans="2:20">
      <c r="B15" t="s">
        <v>16</v>
      </c>
      <c r="C15" t="s">
        <v>17</v>
      </c>
    </row>
    <row r="16" spans="2:20">
      <c r="B16" t="s">
        <v>18</v>
      </c>
      <c r="C16" t="s">
        <v>19</v>
      </c>
    </row>
    <row r="17" spans="2:20">
      <c r="B17" t="s">
        <v>20</v>
      </c>
      <c r="C17" t="s">
        <v>21</v>
      </c>
    </row>
    <row r="18" spans="2:20">
      <c r="B18" t="s">
        <v>22</v>
      </c>
      <c r="C18" t="s">
        <v>23</v>
      </c>
    </row>
    <row r="19" spans="2:20">
      <c r="B19" t="s">
        <v>24</v>
      </c>
      <c r="C19" t="s">
        <v>25</v>
      </c>
    </row>
    <row r="20" spans="2:20">
      <c r="B20" t="s">
        <v>26</v>
      </c>
      <c r="C20" t="s">
        <v>27</v>
      </c>
    </row>
    <row r="21" ht="14.4" spans="2:20">
      <c r="B21" t="s">
        <v>28</v>
      </c>
      <c r="C21" t="s">
        <v>29</v>
      </c>
    </row>
    <row r="22" ht="14.4" spans="2:20">
      <c r="B22" t="s">
        <v>30</v>
      </c>
      <c r="C22" t="s">
        <v>31</v>
      </c>
    </row>
    <row r="23" ht="14.4" spans="2:20">
      <c r="B23" t="s">
        <v>32</v>
      </c>
      <c r="C23" t="s">
        <v>33</v>
      </c>
    </row>
    <row r="24" ht="14.4" spans="2:20">
      <c r="B24" t="s">
        <v>34</v>
      </c>
      <c r="C24" t="s">
        <v>35</v>
      </c>
    </row>
    <row r="25" spans="2:20">
      <c r="B25" s="150"/>
    </row>
    <row r="26" spans="2:20">
      <c r="B26" s="150"/>
    </row>
    <row r="27" s="142" customFormat="1" ht="14.4" spans="2:20">
      <c r="B27" s="148" t="s">
        <v>36</v>
      </c>
      <c r="C27" s="148" t="s">
        <v>37</v>
      </c>
      <c r="D27" s="149"/>
      <c r="E27" s="149"/>
      <c r="F27" s="149"/>
      <c r="G27" s="149"/>
      <c r="H27" s="149"/>
      <c r="I27" s="149"/>
      <c r="J27" s="149"/>
      <c r="K27" s="149"/>
      <c r="L27" s="149"/>
      <c r="M27" s="149"/>
      <c r="N27" s="149"/>
      <c r="O27" s="149"/>
      <c r="P27" s="149"/>
      <c r="Q27" s="149"/>
      <c r="R27" s="149"/>
      <c r="S27" s="149"/>
      <c r="T27" s="149"/>
    </row>
    <row r="28" spans="2:20">
      <c r="B28" t="s">
        <v>38</v>
      </c>
      <c r="C28" t="s">
        <v>39</v>
      </c>
    </row>
    <row r="29" spans="2:20">
      <c r="B29" t="s">
        <v>40</v>
      </c>
      <c r="C29" t="s">
        <v>41</v>
      </c>
    </row>
    <row r="30" spans="2:20">
      <c r="B30" t="s">
        <v>42</v>
      </c>
      <c r="C30" t="s">
        <v>43</v>
      </c>
    </row>
    <row r="31" spans="2:20">
      <c r="B31" t="s">
        <v>44</v>
      </c>
      <c r="C31" t="s">
        <v>45</v>
      </c>
    </row>
    <row r="32" spans="2:20">
      <c r="B32" t="s">
        <v>46</v>
      </c>
      <c r="C32" t="s">
        <v>47</v>
      </c>
    </row>
    <row r="33" spans="2:3">
      <c r="B33" t="s">
        <v>48</v>
      </c>
      <c r="C33" t="s">
        <v>49</v>
      </c>
    </row>
    <row r="34" spans="2:3">
      <c r="B34" t="s">
        <v>50</v>
      </c>
      <c r="C34" t="s">
        <v>51</v>
      </c>
    </row>
    <row r="35" spans="2:3">
      <c r="B35" t="s">
        <v>52</v>
      </c>
      <c r="C35" t="s">
        <v>53</v>
      </c>
    </row>
    <row r="36" spans="2:3">
      <c r="B36" t="s">
        <v>54</v>
      </c>
      <c r="C36" t="s">
        <v>55</v>
      </c>
    </row>
    <row r="37" spans="2:3">
      <c r="B37" t="s">
        <v>56</v>
      </c>
      <c r="C37" t="s">
        <v>57</v>
      </c>
    </row>
    <row r="38" spans="2:3">
      <c r="B38" t="s">
        <v>58</v>
      </c>
      <c r="C38" t="s">
        <v>59</v>
      </c>
    </row>
    <row r="39" spans="2:3">
      <c r="B39" t="s">
        <v>60</v>
      </c>
      <c r="C39" t="s">
        <v>61</v>
      </c>
    </row>
    <row r="40" spans="2:3">
      <c r="B40" t="s">
        <v>62</v>
      </c>
      <c r="C40" t="s">
        <v>63</v>
      </c>
    </row>
    <row r="41" spans="2:3">
      <c r="B41" t="s">
        <v>64</v>
      </c>
      <c r="C41" t="s">
        <v>65</v>
      </c>
    </row>
    <row r="42" spans="2:3">
      <c r="B42" t="s">
        <v>66</v>
      </c>
      <c r="C42" t="s">
        <v>67</v>
      </c>
    </row>
    <row r="43" spans="2:3">
      <c r="B43" t="s">
        <v>68</v>
      </c>
      <c r="C43" t="s">
        <v>69</v>
      </c>
    </row>
    <row r="44" spans="2:3">
      <c r="B44" t="s">
        <v>70</v>
      </c>
      <c r="C44" t="s">
        <v>71</v>
      </c>
    </row>
    <row r="45" spans="2:3">
      <c r="B45" t="s">
        <v>72</v>
      </c>
      <c r="C45" t="s">
        <v>73</v>
      </c>
    </row>
    <row r="46" spans="2:3">
      <c r="B46" t="s">
        <v>74</v>
      </c>
      <c r="C46" t="s">
        <v>75</v>
      </c>
    </row>
    <row r="47" spans="2:3">
      <c r="B47" t="s">
        <v>76</v>
      </c>
      <c r="C47" t="s">
        <v>77</v>
      </c>
    </row>
    <row r="48" spans="2:3">
      <c r="B48" t="s">
        <v>78</v>
      </c>
      <c r="C48" t="s">
        <v>79</v>
      </c>
    </row>
    <row r="49" spans="2:3">
      <c r="B49" t="s">
        <v>80</v>
      </c>
      <c r="C49" t="s">
        <v>81</v>
      </c>
    </row>
    <row r="50" spans="2:3">
      <c r="B50" t="s">
        <v>82</v>
      </c>
      <c r="C50" t="s">
        <v>83</v>
      </c>
    </row>
    <row r="51" spans="2:3">
      <c r="B51" t="s">
        <v>84</v>
      </c>
      <c r="C51" t="s">
        <v>85</v>
      </c>
    </row>
    <row r="52" spans="2:3">
      <c r="B52" t="s">
        <v>86</v>
      </c>
      <c r="C52" t="s">
        <v>87</v>
      </c>
    </row>
    <row r="53" spans="2:3">
      <c r="B53" t="s">
        <v>88</v>
      </c>
      <c r="C53" t="s">
        <v>89</v>
      </c>
    </row>
    <row r="54" spans="2:3">
      <c r="B54" t="s">
        <v>90</v>
      </c>
      <c r="C54" t="s">
        <v>91</v>
      </c>
    </row>
    <row r="55" spans="2:3">
      <c r="B55" t="s">
        <v>92</v>
      </c>
      <c r="C55" t="s">
        <v>93</v>
      </c>
    </row>
    <row r="56" spans="2:3">
      <c r="B56" t="s">
        <v>94</v>
      </c>
      <c r="C56" t="s">
        <v>95</v>
      </c>
    </row>
    <row r="57" spans="2:3">
      <c r="B57" t="s">
        <v>96</v>
      </c>
      <c r="C57" t="s">
        <v>97</v>
      </c>
    </row>
    <row r="58" spans="2:3">
      <c r="B58" t="s">
        <v>98</v>
      </c>
      <c r="C58" t="s">
        <v>99</v>
      </c>
    </row>
    <row r="59" spans="2:3">
      <c r="B59" t="s">
        <v>100</v>
      </c>
      <c r="C59" t="s">
        <v>101</v>
      </c>
    </row>
    <row r="60" spans="2:3">
      <c r="B60" t="s">
        <v>102</v>
      </c>
      <c r="C60" t="s">
        <v>103</v>
      </c>
    </row>
    <row r="61" spans="2:3">
      <c r="B61" t="s">
        <v>104</v>
      </c>
      <c r="C61" t="s">
        <v>105</v>
      </c>
    </row>
    <row r="62" spans="2:3">
      <c r="B62" t="s">
        <v>106</v>
      </c>
      <c r="C62" t="s">
        <v>107</v>
      </c>
    </row>
    <row r="63" spans="2:3">
      <c r="B63" t="s">
        <v>108</v>
      </c>
      <c r="C63" t="s">
        <v>109</v>
      </c>
    </row>
    <row r="64" spans="2:3">
      <c r="B64" t="s">
        <v>110</v>
      </c>
      <c r="C64" t="s">
        <v>111</v>
      </c>
    </row>
    <row r="65" spans="2:3">
      <c r="B65" t="s">
        <v>112</v>
      </c>
      <c r="C65" t="s">
        <v>113</v>
      </c>
    </row>
    <row r="66" spans="2:3">
      <c r="B66" t="s">
        <v>114</v>
      </c>
      <c r="C66" t="s">
        <v>115</v>
      </c>
    </row>
    <row r="67" spans="2:3">
      <c r="B67" t="s">
        <v>116</v>
      </c>
      <c r="C67" t="s">
        <v>117</v>
      </c>
    </row>
    <row r="68" spans="2:3">
      <c r="B68" t="s">
        <v>118</v>
      </c>
      <c r="C68" t="s">
        <v>119</v>
      </c>
    </row>
    <row r="69" spans="2:3">
      <c r="B69" t="s">
        <v>120</v>
      </c>
      <c r="C69" t="s">
        <v>121</v>
      </c>
    </row>
    <row r="70" spans="2:3">
      <c r="B70" t="s">
        <v>122</v>
      </c>
      <c r="C70" t="s">
        <v>123</v>
      </c>
    </row>
    <row r="71" spans="2:3">
      <c r="B71" s="150"/>
    </row>
  </sheetData>
  <mergeCells count="2">
    <mergeCell ref="B2:T2"/>
    <mergeCell ref="B3:T3"/>
  </mergeCells>
  <pageMargins left="0.7" right="0.7" top="0.75" bottom="0.75" header="0.3" footer="0.3"/>
  <pageSetup paperSize="1"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36"/>
  <sheetViews>
    <sheetView showGridLines="0" zoomScale="70" zoomScaleNormal="70" workbookViewId="0">
      <selection activeCell="M30" sqref="M30"/>
    </sheetView>
  </sheetViews>
  <sheetFormatPr defaultColWidth="9.13888888888889" defaultRowHeight="14.4"/>
  <cols>
    <col min="1" max="1" width="3.71296296296296" customWidth="1"/>
    <col min="2" max="3" width="42.8518518518519" style="53" customWidth="1"/>
    <col min="4" max="11" width="35.8518518518519" style="53" customWidth="1"/>
    <col min="12" max="12" width="35.8518518518519" style="56" customWidth="1"/>
    <col min="13" max="13" width="35.8518518518519" style="60" customWidth="1"/>
    <col min="14" max="14" width="42.8518518518519" style="130" customWidth="1"/>
    <col min="15" max="16" width="42.8518518518519" customWidth="1"/>
    <col min="17" max="17" width="43.287037037037" customWidth="1"/>
  </cols>
  <sheetData>
    <row r="2" s="129" customFormat="1" ht="15.6" spans="2:17">
      <c r="B2" s="131">
        <v>1</v>
      </c>
      <c r="C2" s="131">
        <f>B2+1</f>
        <v>2</v>
      </c>
      <c r="D2" s="131">
        <f t="shared" ref="D2:Q2" si="0">C2+1</f>
        <v>3</v>
      </c>
      <c r="E2" s="131">
        <f t="shared" si="0"/>
        <v>4</v>
      </c>
      <c r="F2" s="131">
        <f t="shared" si="0"/>
        <v>5</v>
      </c>
      <c r="G2" s="131">
        <f t="shared" si="0"/>
        <v>6</v>
      </c>
      <c r="H2" s="131">
        <f t="shared" si="0"/>
        <v>7</v>
      </c>
      <c r="I2" s="131">
        <f t="shared" si="0"/>
        <v>8</v>
      </c>
      <c r="J2" s="131">
        <f t="shared" si="0"/>
        <v>9</v>
      </c>
      <c r="K2" s="131">
        <f t="shared" si="0"/>
        <v>10</v>
      </c>
      <c r="L2" s="131">
        <f t="shared" si="0"/>
        <v>11</v>
      </c>
      <c r="M2" s="131">
        <f t="shared" si="0"/>
        <v>12</v>
      </c>
      <c r="N2" s="131">
        <f t="shared" si="0"/>
        <v>13</v>
      </c>
      <c r="O2" s="131">
        <f t="shared" si="0"/>
        <v>14</v>
      </c>
      <c r="P2" s="131">
        <f t="shared" si="0"/>
        <v>15</v>
      </c>
      <c r="Q2" s="131">
        <f t="shared" si="0"/>
        <v>16</v>
      </c>
    </row>
    <row r="3" s="129" customFormat="1" ht="15.6" spans="2:17">
      <c r="B3" s="132" t="s">
        <v>46</v>
      </c>
      <c r="C3" s="132" t="s">
        <v>48</v>
      </c>
      <c r="D3" s="132" t="s">
        <v>50</v>
      </c>
      <c r="E3" s="132" t="s">
        <v>52</v>
      </c>
      <c r="F3" s="132" t="s">
        <v>54</v>
      </c>
      <c r="G3" s="132" t="s">
        <v>124</v>
      </c>
      <c r="H3" s="132" t="s">
        <v>125</v>
      </c>
      <c r="I3" s="132" t="s">
        <v>126</v>
      </c>
      <c r="J3" s="132" t="s">
        <v>127</v>
      </c>
      <c r="K3" s="132" t="s">
        <v>128</v>
      </c>
      <c r="L3" s="133" t="s">
        <v>120</v>
      </c>
      <c r="M3" s="134" t="s">
        <v>122</v>
      </c>
      <c r="N3" s="132" t="s">
        <v>129</v>
      </c>
      <c r="O3" s="132" t="s">
        <v>130</v>
      </c>
      <c r="P3" s="135" t="s">
        <v>131</v>
      </c>
      <c r="Q3" s="135" t="s">
        <v>132</v>
      </c>
    </row>
    <row r="4" spans="2:17">
      <c r="B4" s="90" t="s">
        <v>133</v>
      </c>
      <c r="C4" s="95">
        <v>18650</v>
      </c>
      <c r="D4" s="92">
        <v>3.3</v>
      </c>
      <c r="E4" s="92">
        <v>3.6</v>
      </c>
      <c r="F4" s="96">
        <v>11.88</v>
      </c>
      <c r="G4" s="96">
        <f>F4/(47/1000)</f>
        <v>252.765957446808</v>
      </c>
      <c r="H4" s="96">
        <v>718</v>
      </c>
      <c r="I4" s="96" t="s">
        <v>134</v>
      </c>
      <c r="J4" s="96" t="s">
        <v>134</v>
      </c>
      <c r="K4" s="96" t="s">
        <v>134</v>
      </c>
      <c r="L4" s="93">
        <v>220</v>
      </c>
      <c r="M4" s="97" t="s">
        <v>135</v>
      </c>
      <c r="N4" s="136">
        <f>(3.14*1.84)*6.54</f>
        <v>37.785504</v>
      </c>
      <c r="O4" s="136">
        <f>3.14*((1.84/2)^2)</f>
        <v>2.657696</v>
      </c>
      <c r="P4" s="136">
        <f t="shared" ref="P4:P34" si="1">O4</f>
        <v>2.657696</v>
      </c>
      <c r="Q4" s="136">
        <f t="shared" ref="Q4:Q34" si="2">SUM(N4:P4)</f>
        <v>43.100896</v>
      </c>
    </row>
    <row r="5" spans="2:17">
      <c r="B5" s="90" t="s">
        <v>136</v>
      </c>
      <c r="C5" s="95">
        <v>21700</v>
      </c>
      <c r="D5" s="92">
        <v>5</v>
      </c>
      <c r="E5" s="92">
        <v>3.6</v>
      </c>
      <c r="F5" s="96">
        <v>18</v>
      </c>
      <c r="G5" s="96">
        <f>F5/(70/1000)</f>
        <v>257.142857142857</v>
      </c>
      <c r="H5" s="96">
        <v>740</v>
      </c>
      <c r="I5" s="96" t="s">
        <v>134</v>
      </c>
      <c r="J5" s="96" t="s">
        <v>134</v>
      </c>
      <c r="K5" s="96" t="s">
        <v>134</v>
      </c>
      <c r="L5" s="93">
        <v>220</v>
      </c>
      <c r="M5" s="97" t="s">
        <v>135</v>
      </c>
      <c r="N5" s="136">
        <f>(3.14*2.17)*7.9</f>
        <v>53.82902</v>
      </c>
      <c r="O5" s="136">
        <f>3.14*((2.17/2)^2)</f>
        <v>3.6964865</v>
      </c>
      <c r="P5" s="136">
        <f t="shared" si="1"/>
        <v>3.6964865</v>
      </c>
      <c r="Q5" s="136">
        <f t="shared" si="2"/>
        <v>61.221993</v>
      </c>
    </row>
    <row r="6" spans="2:17">
      <c r="B6" s="53" t="s">
        <v>137</v>
      </c>
      <c r="C6" s="58">
        <v>18650</v>
      </c>
      <c r="D6" s="55">
        <v>3</v>
      </c>
      <c r="E6" s="55">
        <v>3.6</v>
      </c>
      <c r="F6" s="59">
        <v>10.8</v>
      </c>
      <c r="G6" s="59">
        <f>F6/(47/1000)</f>
        <v>229.787234042553</v>
      </c>
      <c r="H6" s="59"/>
      <c r="I6" s="59" t="s">
        <v>134</v>
      </c>
      <c r="J6" s="59" t="s">
        <v>134</v>
      </c>
      <c r="K6" s="96" t="s">
        <v>134</v>
      </c>
      <c r="L6" s="56">
        <v>150</v>
      </c>
      <c r="M6" s="60" t="s">
        <v>138</v>
      </c>
      <c r="N6" s="136">
        <f>(3.14*1.83)*6.5</f>
        <v>37.3503</v>
      </c>
      <c r="O6" s="136">
        <f>3.14*((1.83/2)^2)</f>
        <v>2.6288865</v>
      </c>
      <c r="P6" s="136">
        <f t="shared" si="1"/>
        <v>2.6288865</v>
      </c>
      <c r="Q6" s="136">
        <f t="shared" si="2"/>
        <v>42.608073</v>
      </c>
    </row>
    <row r="7" spans="2:17">
      <c r="B7" s="53" t="s">
        <v>139</v>
      </c>
      <c r="C7" s="58">
        <v>18650</v>
      </c>
      <c r="D7" s="55">
        <v>3.44</v>
      </c>
      <c r="E7" s="55">
        <v>3.63</v>
      </c>
      <c r="F7" s="59">
        <v>12.4872</v>
      </c>
      <c r="G7" s="59">
        <f>F7/(48.2/1000)</f>
        <v>259.070539419087</v>
      </c>
      <c r="H7" s="59"/>
      <c r="I7" s="59" t="s">
        <v>134</v>
      </c>
      <c r="J7" s="59" t="s">
        <v>134</v>
      </c>
      <c r="K7" s="96" t="s">
        <v>134</v>
      </c>
      <c r="L7" s="56">
        <v>250</v>
      </c>
      <c r="M7" s="60" t="s">
        <v>138</v>
      </c>
      <c r="N7" s="130">
        <f t="shared" ref="N7:N34" si="3">(3.14*1.8)*6.5</f>
        <v>36.738</v>
      </c>
      <c r="O7" s="130">
        <f t="shared" ref="O7:O13" si="4">3.14*(0.9^2)</f>
        <v>2.5434</v>
      </c>
      <c r="P7" s="130">
        <f t="shared" si="1"/>
        <v>2.5434</v>
      </c>
      <c r="Q7" s="130">
        <f t="shared" si="2"/>
        <v>41.8248</v>
      </c>
    </row>
    <row r="8" spans="2:17">
      <c r="B8" s="53" t="s">
        <v>32</v>
      </c>
      <c r="C8" s="58">
        <v>18650</v>
      </c>
      <c r="D8" s="55">
        <v>3.44</v>
      </c>
      <c r="E8" s="55">
        <v>3.63</v>
      </c>
      <c r="F8" s="59">
        <v>12.4872</v>
      </c>
      <c r="G8" s="59"/>
      <c r="H8" s="59"/>
      <c r="I8" s="59" t="s">
        <v>134</v>
      </c>
      <c r="J8" s="59" t="s">
        <v>134</v>
      </c>
      <c r="K8" s="96" t="s">
        <v>134</v>
      </c>
      <c r="L8" s="56">
        <v>250</v>
      </c>
      <c r="M8" s="60" t="s">
        <v>138</v>
      </c>
      <c r="N8" s="130">
        <f t="shared" si="3"/>
        <v>36.738</v>
      </c>
      <c r="O8" s="130">
        <f t="shared" si="4"/>
        <v>2.5434</v>
      </c>
      <c r="P8" s="130">
        <f t="shared" si="1"/>
        <v>2.5434</v>
      </c>
      <c r="Q8" s="130">
        <f t="shared" si="2"/>
        <v>41.8248</v>
      </c>
    </row>
    <row r="9" spans="2:17">
      <c r="B9" s="53" t="s">
        <v>34</v>
      </c>
      <c r="C9" s="58">
        <v>18650</v>
      </c>
      <c r="D9" s="55">
        <v>3.44</v>
      </c>
      <c r="E9" s="55">
        <v>3.63</v>
      </c>
      <c r="F9" s="59">
        <v>12.4872</v>
      </c>
      <c r="G9" s="59"/>
      <c r="H9" s="59"/>
      <c r="I9" s="59" t="s">
        <v>134</v>
      </c>
      <c r="J9" s="59" t="s">
        <v>134</v>
      </c>
      <c r="K9" s="96" t="s">
        <v>134</v>
      </c>
      <c r="L9" s="56">
        <v>220</v>
      </c>
      <c r="M9" s="60" t="s">
        <v>138</v>
      </c>
      <c r="N9" s="130">
        <f t="shared" si="3"/>
        <v>36.738</v>
      </c>
      <c r="O9" s="130">
        <f t="shared" si="4"/>
        <v>2.5434</v>
      </c>
      <c r="P9" s="130">
        <f t="shared" si="1"/>
        <v>2.5434</v>
      </c>
      <c r="Q9" s="130">
        <f t="shared" si="2"/>
        <v>41.8248</v>
      </c>
    </row>
    <row r="10" spans="2:17">
      <c r="B10" s="53" t="s">
        <v>28</v>
      </c>
      <c r="C10" s="58">
        <v>18650</v>
      </c>
      <c r="D10" s="55">
        <v>3.44</v>
      </c>
      <c r="E10" s="55">
        <v>3.63</v>
      </c>
      <c r="F10" s="59">
        <v>12.4872</v>
      </c>
      <c r="G10" s="59"/>
      <c r="H10" s="59"/>
      <c r="I10" s="59" t="s">
        <v>134</v>
      </c>
      <c r="J10" s="59" t="s">
        <v>134</v>
      </c>
      <c r="K10" s="96" t="s">
        <v>134</v>
      </c>
      <c r="L10" s="56">
        <v>250</v>
      </c>
      <c r="M10" s="60" t="s">
        <v>135</v>
      </c>
      <c r="N10" s="130">
        <f t="shared" si="3"/>
        <v>36.738</v>
      </c>
      <c r="O10" s="130">
        <f t="shared" si="4"/>
        <v>2.5434</v>
      </c>
      <c r="P10" s="130">
        <f t="shared" si="1"/>
        <v>2.5434</v>
      </c>
      <c r="Q10" s="130">
        <f t="shared" si="2"/>
        <v>41.8248</v>
      </c>
    </row>
    <row r="11" spans="2:17">
      <c r="B11" s="53" t="s">
        <v>30</v>
      </c>
      <c r="C11" s="58">
        <v>18650</v>
      </c>
      <c r="D11" s="55">
        <v>3.44</v>
      </c>
      <c r="E11" s="55">
        <v>3.63</v>
      </c>
      <c r="F11" s="59">
        <v>12.4872</v>
      </c>
      <c r="G11" s="59"/>
      <c r="H11" s="59"/>
      <c r="I11" s="59" t="s">
        <v>134</v>
      </c>
      <c r="J11" s="59" t="s">
        <v>134</v>
      </c>
      <c r="K11" s="96" t="s">
        <v>134</v>
      </c>
      <c r="L11" s="56">
        <v>220</v>
      </c>
      <c r="M11" s="60" t="s">
        <v>135</v>
      </c>
      <c r="N11" s="130">
        <f t="shared" si="3"/>
        <v>36.738</v>
      </c>
      <c r="O11" s="130">
        <f t="shared" si="4"/>
        <v>2.5434</v>
      </c>
      <c r="P11" s="130">
        <f t="shared" si="1"/>
        <v>2.5434</v>
      </c>
      <c r="Q11" s="130">
        <f t="shared" si="2"/>
        <v>41.8248</v>
      </c>
    </row>
    <row r="12" spans="2:17">
      <c r="B12" s="53" t="s">
        <v>140</v>
      </c>
      <c r="C12" s="58">
        <v>18650</v>
      </c>
      <c r="D12" s="55">
        <v>3.5</v>
      </c>
      <c r="E12" s="55">
        <v>3.62857142857143</v>
      </c>
      <c r="F12" s="59">
        <v>12.7</v>
      </c>
      <c r="G12" s="59">
        <v>261</v>
      </c>
      <c r="H12" s="59">
        <v>738</v>
      </c>
      <c r="I12" s="59" t="s">
        <v>141</v>
      </c>
      <c r="J12" s="59" t="s">
        <v>142</v>
      </c>
      <c r="K12" s="96" t="s">
        <v>134</v>
      </c>
      <c r="L12" s="56" t="s">
        <v>134</v>
      </c>
      <c r="M12" s="60" t="s">
        <v>138</v>
      </c>
      <c r="N12" s="130">
        <f t="shared" si="3"/>
        <v>36.738</v>
      </c>
      <c r="O12" s="130">
        <f t="shared" si="4"/>
        <v>2.5434</v>
      </c>
      <c r="P12" s="130">
        <f t="shared" si="1"/>
        <v>2.5434</v>
      </c>
      <c r="Q12" s="130">
        <f t="shared" si="2"/>
        <v>41.8248</v>
      </c>
    </row>
    <row r="13" spans="2:17">
      <c r="B13" s="53" t="s">
        <v>143</v>
      </c>
      <c r="C13" s="58">
        <v>18650</v>
      </c>
      <c r="D13" s="55">
        <v>3.5</v>
      </c>
      <c r="E13" s="55">
        <v>3.62857142857143</v>
      </c>
      <c r="F13" s="59">
        <v>12.7</v>
      </c>
      <c r="G13" s="59">
        <v>261</v>
      </c>
      <c r="H13" s="59">
        <v>738</v>
      </c>
      <c r="I13" s="59" t="s">
        <v>141</v>
      </c>
      <c r="J13" s="59" t="s">
        <v>142</v>
      </c>
      <c r="K13" s="96" t="s">
        <v>134</v>
      </c>
      <c r="L13" s="56" t="s">
        <v>134</v>
      </c>
      <c r="M13" s="60" t="s">
        <v>138</v>
      </c>
      <c r="N13" s="130">
        <f t="shared" si="3"/>
        <v>36.738</v>
      </c>
      <c r="O13" s="130">
        <f t="shared" si="4"/>
        <v>2.5434</v>
      </c>
      <c r="P13" s="130">
        <f t="shared" si="1"/>
        <v>2.5434</v>
      </c>
      <c r="Q13" s="130">
        <f t="shared" si="2"/>
        <v>41.8248</v>
      </c>
    </row>
    <row r="14" spans="2:17">
      <c r="B14" s="53" t="s">
        <v>144</v>
      </c>
      <c r="C14" s="58">
        <v>21700</v>
      </c>
      <c r="D14" s="55">
        <v>5.0137741046832</v>
      </c>
      <c r="E14" s="55">
        <v>3.63</v>
      </c>
      <c r="F14" s="59">
        <v>18.2</v>
      </c>
      <c r="G14" s="59"/>
      <c r="H14" s="59"/>
      <c r="I14" s="59" t="s">
        <v>134</v>
      </c>
      <c r="J14" s="59" t="s">
        <v>134</v>
      </c>
      <c r="K14" s="96" t="s">
        <v>134</v>
      </c>
      <c r="L14" s="56" t="s">
        <v>134</v>
      </c>
      <c r="M14" s="60" t="s">
        <v>135</v>
      </c>
      <c r="N14" s="136">
        <f>(3.14*2.11)*7.15</f>
        <v>47.37161</v>
      </c>
      <c r="O14" s="136">
        <f>3.14*((2.11/2)^2)</f>
        <v>3.4948985</v>
      </c>
      <c r="P14" s="136">
        <f t="shared" si="1"/>
        <v>3.4948985</v>
      </c>
      <c r="Q14" s="136">
        <f t="shared" si="2"/>
        <v>54.361407</v>
      </c>
    </row>
    <row r="15" spans="2:17">
      <c r="B15" s="53" t="s">
        <v>145</v>
      </c>
      <c r="C15" s="58">
        <v>18650</v>
      </c>
      <c r="D15" s="55">
        <v>2.37</v>
      </c>
      <c r="E15" s="55">
        <v>3.7</v>
      </c>
      <c r="F15" s="59">
        <v>8.769</v>
      </c>
      <c r="G15" s="59"/>
      <c r="H15" s="59"/>
      <c r="I15" s="59" t="s">
        <v>134</v>
      </c>
      <c r="J15" s="59" t="s">
        <v>134</v>
      </c>
      <c r="K15" s="96" t="s">
        <v>134</v>
      </c>
      <c r="L15" s="56" t="s">
        <v>134</v>
      </c>
      <c r="M15" s="60" t="s">
        <v>138</v>
      </c>
      <c r="N15" s="130">
        <f t="shared" si="3"/>
        <v>36.738</v>
      </c>
      <c r="O15" s="130">
        <f t="shared" ref="O15:O19" si="5">3.14*(0.9^2)</f>
        <v>2.5434</v>
      </c>
      <c r="P15" s="130">
        <f t="shared" si="1"/>
        <v>2.5434</v>
      </c>
      <c r="Q15" s="130">
        <f t="shared" si="2"/>
        <v>41.8248</v>
      </c>
    </row>
    <row r="16" spans="2:17">
      <c r="B16" s="53" t="s">
        <v>22</v>
      </c>
      <c r="C16" s="58">
        <v>18650</v>
      </c>
      <c r="D16" s="55">
        <v>2.37</v>
      </c>
      <c r="E16" s="55">
        <v>3.7</v>
      </c>
      <c r="F16" s="59">
        <v>8.769</v>
      </c>
      <c r="G16" s="59"/>
      <c r="H16" s="59"/>
      <c r="I16" s="59" t="s">
        <v>134</v>
      </c>
      <c r="J16" s="59" t="s">
        <v>134</v>
      </c>
      <c r="K16" s="96" t="s">
        <v>134</v>
      </c>
      <c r="L16" s="56" t="s">
        <v>134</v>
      </c>
      <c r="M16" s="60" t="s">
        <v>138</v>
      </c>
      <c r="N16" s="130">
        <f t="shared" si="3"/>
        <v>36.738</v>
      </c>
      <c r="O16" s="130">
        <f t="shared" si="5"/>
        <v>2.5434</v>
      </c>
      <c r="P16" s="130">
        <f t="shared" si="1"/>
        <v>2.5434</v>
      </c>
      <c r="Q16" s="130">
        <f t="shared" si="2"/>
        <v>41.8248</v>
      </c>
    </row>
    <row r="17" spans="2:19">
      <c r="B17" s="53" t="s">
        <v>24</v>
      </c>
      <c r="C17" s="58">
        <v>18650</v>
      </c>
      <c r="D17" s="55">
        <v>2.37</v>
      </c>
      <c r="E17" s="55">
        <v>3.7</v>
      </c>
      <c r="F17" s="59">
        <v>8.769</v>
      </c>
      <c r="G17" s="59"/>
      <c r="H17" s="59"/>
      <c r="I17" s="59" t="s">
        <v>134</v>
      </c>
      <c r="J17" s="59" t="s">
        <v>134</v>
      </c>
      <c r="K17" s="96" t="s">
        <v>134</v>
      </c>
      <c r="L17" s="56" t="s">
        <v>134</v>
      </c>
      <c r="M17" s="60" t="s">
        <v>138</v>
      </c>
      <c r="N17" s="130">
        <f t="shared" si="3"/>
        <v>36.738</v>
      </c>
      <c r="O17" s="130">
        <f t="shared" si="5"/>
        <v>2.5434</v>
      </c>
      <c r="P17" s="130">
        <f t="shared" si="1"/>
        <v>2.5434</v>
      </c>
      <c r="Q17" s="130">
        <f t="shared" si="2"/>
        <v>41.8248</v>
      </c>
    </row>
    <row r="18" spans="2:19">
      <c r="B18" s="53" t="s">
        <v>26</v>
      </c>
      <c r="C18" s="58">
        <v>18650</v>
      </c>
      <c r="D18" s="55">
        <v>2.37</v>
      </c>
      <c r="E18" s="55">
        <v>3.7</v>
      </c>
      <c r="F18" s="59">
        <v>8.769</v>
      </c>
      <c r="G18" s="59"/>
      <c r="H18" s="59"/>
      <c r="I18" s="59" t="s">
        <v>134</v>
      </c>
      <c r="J18" s="59" t="s">
        <v>134</v>
      </c>
      <c r="K18" s="96" t="s">
        <v>134</v>
      </c>
      <c r="L18" s="56" t="s">
        <v>134</v>
      </c>
      <c r="M18" s="60" t="s">
        <v>138</v>
      </c>
      <c r="N18" s="130">
        <f t="shared" si="3"/>
        <v>36.738</v>
      </c>
      <c r="O18" s="130">
        <f t="shared" si="5"/>
        <v>2.5434</v>
      </c>
      <c r="P18" s="130">
        <f t="shared" si="1"/>
        <v>2.5434</v>
      </c>
      <c r="Q18" s="130">
        <f t="shared" si="2"/>
        <v>41.8248</v>
      </c>
    </row>
    <row r="19" spans="2:19">
      <c r="B19" s="53" t="s">
        <v>146</v>
      </c>
      <c r="C19" s="58">
        <v>18650</v>
      </c>
      <c r="D19" s="55">
        <v>3.5</v>
      </c>
      <c r="E19" s="55">
        <v>3.6</v>
      </c>
      <c r="F19" s="59">
        <v>12.6</v>
      </c>
      <c r="G19" s="59"/>
      <c r="H19" s="59"/>
      <c r="I19" s="53" t="s">
        <v>134</v>
      </c>
      <c r="J19" s="53" t="s">
        <v>134</v>
      </c>
      <c r="K19" s="96" t="s">
        <v>134</v>
      </c>
      <c r="L19" s="56" t="s">
        <v>134</v>
      </c>
      <c r="M19" s="60" t="s">
        <v>138</v>
      </c>
      <c r="N19" s="130">
        <f t="shared" si="3"/>
        <v>36.738</v>
      </c>
      <c r="O19" s="130">
        <f t="shared" si="5"/>
        <v>2.5434</v>
      </c>
      <c r="P19" s="130">
        <f t="shared" si="1"/>
        <v>2.5434</v>
      </c>
      <c r="Q19" s="130">
        <f t="shared" si="2"/>
        <v>41.8248</v>
      </c>
    </row>
    <row r="20" spans="2:19">
      <c r="B20" s="53" t="s">
        <v>147</v>
      </c>
      <c r="C20" s="58">
        <v>18650</v>
      </c>
      <c r="D20" s="53">
        <v>2.8</v>
      </c>
      <c r="E20" s="53">
        <v>3.6</v>
      </c>
      <c r="F20" s="59">
        <v>10.08</v>
      </c>
      <c r="G20" s="59"/>
      <c r="H20" s="59"/>
      <c r="I20" s="53" t="s">
        <v>134</v>
      </c>
      <c r="J20" s="53" t="s">
        <v>134</v>
      </c>
      <c r="K20" s="96" t="s">
        <v>134</v>
      </c>
      <c r="L20" s="56" t="s">
        <v>134</v>
      </c>
      <c r="M20" s="60" t="s">
        <v>138</v>
      </c>
      <c r="N20" s="136">
        <f>(3.14*3.3)*6</f>
        <v>62.172</v>
      </c>
      <c r="O20" s="136">
        <f>3.14*(1.65^2)</f>
        <v>8.54865</v>
      </c>
      <c r="P20" s="136">
        <f t="shared" si="1"/>
        <v>8.54865</v>
      </c>
      <c r="Q20" s="136">
        <f t="shared" si="2"/>
        <v>79.2693</v>
      </c>
    </row>
    <row r="21" spans="2:19">
      <c r="B21" s="53" t="s">
        <v>148</v>
      </c>
      <c r="C21" s="58">
        <v>18650</v>
      </c>
      <c r="D21" s="53">
        <v>3.2</v>
      </c>
      <c r="E21" s="53">
        <v>3.6</v>
      </c>
      <c r="F21" s="59">
        <f>E21*D21</f>
        <v>11.52</v>
      </c>
      <c r="G21" s="59">
        <v>238</v>
      </c>
      <c r="H21" s="59">
        <v>681</v>
      </c>
      <c r="I21" s="53" t="s">
        <v>149</v>
      </c>
      <c r="J21" s="53" t="s">
        <v>142</v>
      </c>
      <c r="K21" s="96" t="s">
        <v>150</v>
      </c>
      <c r="L21" s="56" t="s">
        <v>134</v>
      </c>
      <c r="M21" s="60" t="s">
        <v>135</v>
      </c>
      <c r="N21" s="136">
        <f>(3.14*1.82)*6.51</f>
        <v>37.203348</v>
      </c>
      <c r="O21" s="136">
        <f>3.14*(0.91^2)</f>
        <v>2.600234</v>
      </c>
      <c r="P21" s="136">
        <f t="shared" si="1"/>
        <v>2.600234</v>
      </c>
      <c r="Q21" s="136">
        <f t="shared" ref="Q21" si="6">SUM(N21:P21)</f>
        <v>42.403816</v>
      </c>
      <c r="S21" s="137" t="s">
        <v>151</v>
      </c>
    </row>
    <row r="22" spans="2:19">
      <c r="B22" s="90" t="s">
        <v>152</v>
      </c>
      <c r="C22" s="95" t="s">
        <v>153</v>
      </c>
      <c r="D22" s="92">
        <v>4.5</v>
      </c>
      <c r="E22" s="92">
        <v>3.6</v>
      </c>
      <c r="F22" s="96">
        <v>16.2</v>
      </c>
      <c r="G22" s="96">
        <v>140</v>
      </c>
      <c r="H22" s="96">
        <v>314</v>
      </c>
      <c r="I22" s="96" t="s">
        <v>154</v>
      </c>
      <c r="J22" s="96" t="s">
        <v>142</v>
      </c>
      <c r="K22" s="96" t="s">
        <v>134</v>
      </c>
      <c r="L22" s="93">
        <v>380</v>
      </c>
      <c r="M22" s="97" t="s">
        <v>138</v>
      </c>
      <c r="N22" s="130">
        <f t="shared" si="3"/>
        <v>36.738</v>
      </c>
      <c r="O22" s="130">
        <f t="shared" ref="O22:O34" si="7">3.14*(0.9^2)</f>
        <v>2.5434</v>
      </c>
      <c r="P22" s="130">
        <f t="shared" si="1"/>
        <v>2.5434</v>
      </c>
      <c r="Q22" s="130">
        <f t="shared" si="2"/>
        <v>41.8248</v>
      </c>
      <c r="S22" s="137" t="s">
        <v>155</v>
      </c>
    </row>
    <row r="23" spans="2:19">
      <c r="B23" s="53" t="s">
        <v>156</v>
      </c>
      <c r="C23" s="58">
        <v>18650</v>
      </c>
      <c r="D23" s="55">
        <v>2.6</v>
      </c>
      <c r="E23" s="55">
        <v>3.63</v>
      </c>
      <c r="F23" s="59">
        <v>9.438</v>
      </c>
      <c r="G23" s="59"/>
      <c r="H23" s="59"/>
      <c r="I23" s="59" t="s">
        <v>134</v>
      </c>
      <c r="J23" s="59" t="s">
        <v>134</v>
      </c>
      <c r="K23" s="96" t="s">
        <v>134</v>
      </c>
      <c r="L23" s="138" t="s">
        <v>134</v>
      </c>
      <c r="M23" s="62" t="s">
        <v>138</v>
      </c>
      <c r="N23" s="130">
        <f t="shared" si="3"/>
        <v>36.738</v>
      </c>
      <c r="O23" s="130">
        <f t="shared" si="7"/>
        <v>2.5434</v>
      </c>
      <c r="P23" s="130">
        <f t="shared" si="1"/>
        <v>2.5434</v>
      </c>
      <c r="Q23" s="130">
        <f t="shared" si="2"/>
        <v>41.8248</v>
      </c>
    </row>
    <row r="24" spans="2:19">
      <c r="B24" s="53" t="s">
        <v>157</v>
      </c>
      <c r="C24" s="58">
        <v>18650</v>
      </c>
      <c r="D24" s="55">
        <v>3</v>
      </c>
      <c r="E24" s="55">
        <v>3.6</v>
      </c>
      <c r="F24" s="59">
        <v>10.8</v>
      </c>
      <c r="G24" s="59"/>
      <c r="H24" s="59"/>
      <c r="I24" s="59" t="s">
        <v>134</v>
      </c>
      <c r="J24" s="59" t="s">
        <v>134</v>
      </c>
      <c r="K24" s="96" t="s">
        <v>134</v>
      </c>
      <c r="L24" s="56" t="s">
        <v>134</v>
      </c>
      <c r="M24" s="60" t="s">
        <v>138</v>
      </c>
      <c r="N24" s="130">
        <f t="shared" si="3"/>
        <v>36.738</v>
      </c>
      <c r="O24" s="130">
        <f t="shared" si="7"/>
        <v>2.5434</v>
      </c>
      <c r="P24" s="130">
        <f t="shared" si="1"/>
        <v>2.5434</v>
      </c>
      <c r="Q24" s="130">
        <f t="shared" si="2"/>
        <v>41.8248</v>
      </c>
    </row>
    <row r="25" spans="2:19">
      <c r="B25" s="53" t="s">
        <v>158</v>
      </c>
      <c r="C25" s="58">
        <v>18650</v>
      </c>
      <c r="D25" s="53">
        <v>2.15</v>
      </c>
      <c r="E25" s="53">
        <v>3.6</v>
      </c>
      <c r="F25" s="59">
        <v>7.74</v>
      </c>
      <c r="G25" s="59"/>
      <c r="H25" s="59"/>
      <c r="I25" s="53" t="s">
        <v>134</v>
      </c>
      <c r="J25" s="53" t="s">
        <v>134</v>
      </c>
      <c r="K25" s="96" t="s">
        <v>134</v>
      </c>
      <c r="L25" s="56" t="s">
        <v>159</v>
      </c>
      <c r="M25" s="60" t="s">
        <v>138</v>
      </c>
      <c r="N25" s="130">
        <f t="shared" si="3"/>
        <v>36.738</v>
      </c>
      <c r="O25" s="130">
        <f t="shared" si="7"/>
        <v>2.5434</v>
      </c>
      <c r="P25" s="130">
        <f t="shared" si="1"/>
        <v>2.5434</v>
      </c>
      <c r="Q25" s="130">
        <f t="shared" si="2"/>
        <v>41.8248</v>
      </c>
    </row>
    <row r="26" spans="2:19">
      <c r="B26" s="53" t="s">
        <v>160</v>
      </c>
      <c r="C26" s="58">
        <v>18650</v>
      </c>
      <c r="D26" s="55">
        <v>3.13</v>
      </c>
      <c r="E26" s="55">
        <v>3.6</v>
      </c>
      <c r="F26" s="59">
        <v>11.268</v>
      </c>
      <c r="G26" s="59">
        <v>237</v>
      </c>
      <c r="H26" s="59">
        <v>617</v>
      </c>
      <c r="I26" s="59" t="s">
        <v>161</v>
      </c>
      <c r="J26" s="59" t="s">
        <v>142</v>
      </c>
      <c r="K26" s="96" t="s">
        <v>134</v>
      </c>
      <c r="L26" s="56" t="s">
        <v>134</v>
      </c>
      <c r="M26" s="60" t="s">
        <v>138</v>
      </c>
      <c r="N26" s="130">
        <f t="shared" si="3"/>
        <v>36.738</v>
      </c>
      <c r="O26" s="130">
        <f t="shared" si="7"/>
        <v>2.5434</v>
      </c>
      <c r="P26" s="130">
        <f t="shared" si="1"/>
        <v>2.5434</v>
      </c>
      <c r="Q26" s="130">
        <f t="shared" si="2"/>
        <v>41.8248</v>
      </c>
    </row>
    <row r="27" spans="2:19">
      <c r="B27" s="53" t="s">
        <v>162</v>
      </c>
      <c r="C27" s="58">
        <v>18650</v>
      </c>
      <c r="D27" s="55">
        <v>3.53</v>
      </c>
      <c r="E27" s="55">
        <v>3.59773371104816</v>
      </c>
      <c r="F27" s="59">
        <v>12.7</v>
      </c>
      <c r="G27" s="59">
        <v>267</v>
      </c>
      <c r="H27" s="59">
        <v>719</v>
      </c>
      <c r="I27" s="59" t="s">
        <v>134</v>
      </c>
      <c r="J27" s="59" t="s">
        <v>134</v>
      </c>
      <c r="K27" s="96" t="s">
        <v>134</v>
      </c>
      <c r="L27" s="56" t="s">
        <v>134</v>
      </c>
      <c r="M27" s="60" t="s">
        <v>135</v>
      </c>
      <c r="N27" s="130">
        <f t="shared" si="3"/>
        <v>36.738</v>
      </c>
      <c r="O27" s="130">
        <f t="shared" si="7"/>
        <v>2.5434</v>
      </c>
      <c r="P27" s="130">
        <f t="shared" si="1"/>
        <v>2.5434</v>
      </c>
      <c r="Q27" s="130">
        <f t="shared" si="2"/>
        <v>41.8248</v>
      </c>
    </row>
    <row r="28" spans="2:19">
      <c r="B28" s="90" t="s">
        <v>8</v>
      </c>
      <c r="C28" s="95">
        <v>18650</v>
      </c>
      <c r="D28" s="92">
        <v>2.1</v>
      </c>
      <c r="E28" s="92">
        <v>3.65</v>
      </c>
      <c r="F28" s="96">
        <v>7.665</v>
      </c>
      <c r="G28" s="96"/>
      <c r="H28" s="96"/>
      <c r="I28" s="96" t="s">
        <v>134</v>
      </c>
      <c r="J28" s="96" t="s">
        <v>134</v>
      </c>
      <c r="K28" s="96" t="s">
        <v>134</v>
      </c>
      <c r="L28" s="93">
        <v>250</v>
      </c>
      <c r="M28" s="97" t="s">
        <v>138</v>
      </c>
      <c r="N28" s="130">
        <f t="shared" si="3"/>
        <v>36.738</v>
      </c>
      <c r="O28" s="130">
        <f t="shared" si="7"/>
        <v>2.5434</v>
      </c>
      <c r="P28" s="130">
        <f t="shared" si="1"/>
        <v>2.5434</v>
      </c>
      <c r="Q28" s="130">
        <f t="shared" si="2"/>
        <v>41.8248</v>
      </c>
    </row>
    <row r="29" spans="2:19">
      <c r="B29" s="90" t="s">
        <v>10</v>
      </c>
      <c r="C29" s="95">
        <v>18650</v>
      </c>
      <c r="D29" s="92">
        <v>2.1</v>
      </c>
      <c r="E29" s="92">
        <v>3.65</v>
      </c>
      <c r="F29" s="96">
        <v>7.665</v>
      </c>
      <c r="G29" s="96"/>
      <c r="H29" s="96"/>
      <c r="I29" s="96" t="s">
        <v>134</v>
      </c>
      <c r="J29" s="96" t="s">
        <v>134</v>
      </c>
      <c r="K29" s="96" t="s">
        <v>134</v>
      </c>
      <c r="L29" s="93">
        <v>250</v>
      </c>
      <c r="M29" s="97" t="s">
        <v>138</v>
      </c>
      <c r="N29" s="130">
        <f t="shared" si="3"/>
        <v>36.738</v>
      </c>
      <c r="O29" s="130">
        <f t="shared" si="7"/>
        <v>2.5434</v>
      </c>
      <c r="P29" s="130">
        <f t="shared" si="1"/>
        <v>2.5434</v>
      </c>
      <c r="Q29" s="130">
        <f t="shared" si="2"/>
        <v>41.8248</v>
      </c>
    </row>
    <row r="30" spans="2:19">
      <c r="B30" s="90" t="s">
        <v>12</v>
      </c>
      <c r="C30" s="95">
        <v>18650</v>
      </c>
      <c r="D30" s="92">
        <v>2.1</v>
      </c>
      <c r="E30" s="92">
        <v>3.65</v>
      </c>
      <c r="F30" s="96">
        <v>7.665</v>
      </c>
      <c r="G30" s="96"/>
      <c r="H30" s="96"/>
      <c r="I30" s="96" t="s">
        <v>134</v>
      </c>
      <c r="J30" s="96" t="s">
        <v>134</v>
      </c>
      <c r="K30" s="96" t="s">
        <v>134</v>
      </c>
      <c r="L30" s="93">
        <v>250</v>
      </c>
      <c r="M30" s="97" t="s">
        <v>138</v>
      </c>
      <c r="N30" s="130">
        <f t="shared" si="3"/>
        <v>36.738</v>
      </c>
      <c r="O30" s="130">
        <f t="shared" si="7"/>
        <v>2.5434</v>
      </c>
      <c r="P30" s="130">
        <f t="shared" si="1"/>
        <v>2.5434</v>
      </c>
      <c r="Q30" s="130">
        <f t="shared" si="2"/>
        <v>41.8248</v>
      </c>
    </row>
    <row r="31" spans="2:19">
      <c r="B31" s="90" t="s">
        <v>14</v>
      </c>
      <c r="C31" s="95">
        <v>18650</v>
      </c>
      <c r="D31" s="92">
        <v>2.1</v>
      </c>
      <c r="E31" s="92">
        <v>3.65</v>
      </c>
      <c r="F31" s="96">
        <v>7.665</v>
      </c>
      <c r="G31" s="96"/>
      <c r="H31" s="96"/>
      <c r="I31" s="96" t="s">
        <v>134</v>
      </c>
      <c r="J31" s="96" t="s">
        <v>134</v>
      </c>
      <c r="K31" s="96" t="s">
        <v>134</v>
      </c>
      <c r="L31" s="93">
        <v>250</v>
      </c>
      <c r="M31" s="97" t="s">
        <v>138</v>
      </c>
      <c r="N31" s="130">
        <f t="shared" si="3"/>
        <v>36.738</v>
      </c>
      <c r="O31" s="130">
        <f t="shared" si="7"/>
        <v>2.5434</v>
      </c>
      <c r="P31" s="130">
        <f t="shared" si="1"/>
        <v>2.5434</v>
      </c>
      <c r="Q31" s="130">
        <f t="shared" si="2"/>
        <v>41.8248</v>
      </c>
    </row>
    <row r="32" spans="2:19">
      <c r="B32" s="90" t="s">
        <v>16</v>
      </c>
      <c r="C32" s="95">
        <v>18650</v>
      </c>
      <c r="D32" s="92">
        <v>2.1</v>
      </c>
      <c r="E32" s="92">
        <v>3.65</v>
      </c>
      <c r="F32" s="96">
        <v>7.665</v>
      </c>
      <c r="G32" s="96"/>
      <c r="H32" s="96"/>
      <c r="I32" s="96" t="s">
        <v>134</v>
      </c>
      <c r="J32" s="96" t="s">
        <v>134</v>
      </c>
      <c r="K32" s="96" t="s">
        <v>134</v>
      </c>
      <c r="L32" s="93">
        <v>250</v>
      </c>
      <c r="M32" s="97" t="s">
        <v>138</v>
      </c>
      <c r="N32" s="130">
        <f t="shared" si="3"/>
        <v>36.738</v>
      </c>
      <c r="O32" s="130">
        <f t="shared" si="7"/>
        <v>2.5434</v>
      </c>
      <c r="P32" s="130">
        <f t="shared" si="1"/>
        <v>2.5434</v>
      </c>
      <c r="Q32" s="130">
        <f t="shared" si="2"/>
        <v>41.8248</v>
      </c>
    </row>
    <row r="33" spans="2:17">
      <c r="B33" s="90" t="s">
        <v>18</v>
      </c>
      <c r="C33" s="95">
        <v>18650</v>
      </c>
      <c r="D33" s="92">
        <v>2.1</v>
      </c>
      <c r="E33" s="92">
        <v>3.65</v>
      </c>
      <c r="F33" s="96">
        <v>7.665</v>
      </c>
      <c r="G33" s="96"/>
      <c r="H33" s="96"/>
      <c r="I33" s="96" t="s">
        <v>134</v>
      </c>
      <c r="J33" s="96" t="s">
        <v>134</v>
      </c>
      <c r="K33" s="96" t="s">
        <v>134</v>
      </c>
      <c r="L33" s="93">
        <v>250</v>
      </c>
      <c r="M33" s="97" t="s">
        <v>138</v>
      </c>
      <c r="N33" s="130">
        <f t="shared" si="3"/>
        <v>36.738</v>
      </c>
      <c r="O33" s="130">
        <f t="shared" si="7"/>
        <v>2.5434</v>
      </c>
      <c r="P33" s="130">
        <f t="shared" si="1"/>
        <v>2.5434</v>
      </c>
      <c r="Q33" s="130">
        <f t="shared" si="2"/>
        <v>41.8248</v>
      </c>
    </row>
    <row r="34" spans="2:17">
      <c r="B34" s="90" t="s">
        <v>20</v>
      </c>
      <c r="C34" s="95">
        <v>18650</v>
      </c>
      <c r="D34" s="92">
        <v>2.1</v>
      </c>
      <c r="E34" s="92">
        <v>3.65</v>
      </c>
      <c r="F34" s="96">
        <v>7.665</v>
      </c>
      <c r="G34" s="96"/>
      <c r="H34" s="96"/>
      <c r="I34" s="96" t="s">
        <v>134</v>
      </c>
      <c r="J34" s="96" t="s">
        <v>134</v>
      </c>
      <c r="K34" s="96" t="s">
        <v>134</v>
      </c>
      <c r="L34" s="93">
        <v>250</v>
      </c>
      <c r="M34" s="97" t="s">
        <v>138</v>
      </c>
      <c r="N34" s="130">
        <f t="shared" si="3"/>
        <v>36.738</v>
      </c>
      <c r="O34" s="130">
        <f t="shared" si="7"/>
        <v>2.5434</v>
      </c>
      <c r="P34" s="130">
        <f t="shared" si="1"/>
        <v>2.5434</v>
      </c>
      <c r="Q34" s="130">
        <f t="shared" si="2"/>
        <v>41.8248</v>
      </c>
    </row>
    <row r="36" spans="2:17">
      <c r="K36" s="96" t="s">
        <v>134</v>
      </c>
    </row>
  </sheetData>
  <hyperlinks>
    <hyperlink ref="S21" r:id="rId1" display="Panasonic BE 18650 Battery, 3200mAh, 3.63A, 3.6V, Grade A Lithium-ion (NCR18650BE) - 18650 Battery - Lithium Ion Battery - Voltaplex"/>
    <hyperlink ref="S22" r:id="rId2" display="Microsoft PowerPoint - Y Borthomieu VES16 cells and Batteries.ppt [Mode de compatibilité] (nasa.gov)"/>
  </hyperlinks>
  <pageMargins left="0.7" right="0.7" top="0.75" bottom="0.75" header="0.3" footer="0.3"/>
  <pageSetup paperSize="1" orientation="portrait"/>
  <headerFooter/>
  <ignoredErrors>
    <ignoredError sqref="G5"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N419"/>
  <sheetViews>
    <sheetView showGridLines="0" zoomScale="85" zoomScaleNormal="85" workbookViewId="0">
      <pane xSplit="3" ySplit="3" topLeftCell="AT4" activePane="bottomRight" state="frozen"/>
      <selection/>
      <selection pane="topRight"/>
      <selection pane="bottomLeft"/>
      <selection pane="bottomRight" activeCell="AW9" sqref="AW9"/>
    </sheetView>
  </sheetViews>
  <sheetFormatPr defaultColWidth="9" defaultRowHeight="14.4"/>
  <cols>
    <col min="1" max="1" width="3.85185185185185" style="54" customWidth="1"/>
    <col min="2" max="2" width="32.8518518518519" style="53" customWidth="1"/>
    <col min="3" max="3" width="34.287037037037" style="53" customWidth="1"/>
    <col min="4" max="4" width="42.8518518518519" style="53" customWidth="1"/>
    <col min="5" max="5" width="42.8518518518519" style="55" customWidth="1"/>
    <col min="6" max="7" width="42.8518518518519" style="56" customWidth="1"/>
    <col min="8" max="8" width="42.8518518518519" style="57" customWidth="1"/>
    <col min="9" max="10" width="42.8518518518519" style="58" customWidth="1"/>
    <col min="11" max="11" width="42.8518518518519" style="59" customWidth="1"/>
    <col min="12" max="14" width="42.8518518518519" style="60" customWidth="1"/>
    <col min="15" max="16" width="42.8518518518519" style="59" customWidth="1"/>
    <col min="17" max="17" width="42.8518518518519" style="61" customWidth="1"/>
    <col min="18" max="18" width="42.8518518518519" style="62" customWidth="1"/>
    <col min="19" max="20" width="42.8518518518519" style="63" customWidth="1"/>
    <col min="21" max="24" width="42.8518518518519" style="60" customWidth="1"/>
    <col min="25" max="25" width="9.71296296296296" style="60" customWidth="1"/>
    <col min="26" max="36" width="42.8518518518519" style="60" customWidth="1"/>
    <col min="37" max="37" width="42.8518518518519" style="55" customWidth="1"/>
    <col min="38" max="45" width="42.8518518518519" style="60" customWidth="1"/>
    <col min="46" max="48" width="42.712962962963" style="53" customWidth="1"/>
    <col min="49" max="54" width="42.8518518518519" style="53" customWidth="1"/>
    <col min="55" max="56" width="42.8518518518519" style="56" customWidth="1"/>
    <col min="57" max="57" width="42.8518518518519" style="59" customWidth="1"/>
    <col min="58" max="65" width="42.8518518518519" style="53" customWidth="1"/>
    <col min="66" max="66" width="23.287037037037" style="54" customWidth="1"/>
    <col min="67" max="16384" width="9" style="54"/>
  </cols>
  <sheetData>
    <row r="1" ht="14.45" customHeight="1"/>
    <row r="2" ht="58.35" customHeight="1" spans="2:66">
      <c r="B2" s="64"/>
      <c r="C2" s="65"/>
      <c r="D2" s="65"/>
      <c r="E2" s="65"/>
      <c r="F2" s="66"/>
      <c r="G2" s="66"/>
      <c r="H2" s="67"/>
      <c r="I2" s="68"/>
      <c r="J2" s="68"/>
      <c r="K2" s="69"/>
      <c r="L2" s="70"/>
      <c r="M2" s="70"/>
      <c r="N2" s="70"/>
      <c r="O2" s="69"/>
      <c r="P2" s="69"/>
      <c r="Q2" s="71"/>
      <c r="R2" s="72"/>
      <c r="S2" s="73"/>
      <c r="T2" s="73"/>
      <c r="U2" s="70"/>
      <c r="V2" s="70"/>
      <c r="W2" s="70"/>
      <c r="X2" s="70"/>
      <c r="Y2" s="70"/>
      <c r="Z2" s="70"/>
      <c r="AA2" s="70"/>
      <c r="AB2" s="70"/>
      <c r="AC2" s="74"/>
      <c r="AD2" s="70"/>
      <c r="AE2" s="70"/>
      <c r="AF2" s="70"/>
      <c r="AG2" s="70"/>
      <c r="AH2" s="70"/>
      <c r="AI2" s="70"/>
      <c r="AJ2" s="70"/>
      <c r="AK2" s="75"/>
      <c r="AL2" s="70"/>
      <c r="AM2" s="70"/>
      <c r="AN2" s="70"/>
      <c r="AO2" s="70"/>
      <c r="AP2" s="70"/>
      <c r="AQ2" s="70"/>
      <c r="AR2" s="70"/>
      <c r="AS2" s="70"/>
      <c r="AT2" s="76"/>
      <c r="AU2" s="76"/>
      <c r="AV2" s="76"/>
      <c r="AW2" s="76"/>
      <c r="AX2" s="76"/>
      <c r="AY2" s="76"/>
      <c r="AZ2" s="76"/>
      <c r="BA2" s="76"/>
      <c r="BB2" s="76"/>
      <c r="BC2" s="66"/>
      <c r="BD2" s="66"/>
      <c r="BE2" s="77"/>
      <c r="BF2" s="78"/>
      <c r="BG2" s="78"/>
      <c r="BH2" s="78"/>
      <c r="BI2" s="78"/>
      <c r="BJ2" s="79"/>
      <c r="BK2" s="79"/>
      <c r="BL2" s="79"/>
      <c r="BM2" s="79"/>
      <c r="BN2" s="80"/>
    </row>
    <row r="3" s="49" customFormat="1" spans="2:66">
      <c r="B3" s="81" t="s">
        <v>46</v>
      </c>
      <c r="C3" s="81" t="s">
        <v>38</v>
      </c>
      <c r="D3" s="81" t="s">
        <v>40</v>
      </c>
      <c r="E3" s="82" t="s">
        <v>56</v>
      </c>
      <c r="F3" s="83" t="s">
        <v>42</v>
      </c>
      <c r="G3" s="83" t="s">
        <v>163</v>
      </c>
      <c r="H3" s="84" t="s">
        <v>44</v>
      </c>
      <c r="I3" s="85" t="s">
        <v>164</v>
      </c>
      <c r="J3" s="85" t="s">
        <v>165</v>
      </c>
      <c r="K3" s="86" t="s">
        <v>58</v>
      </c>
      <c r="L3" s="10" t="s">
        <v>60</v>
      </c>
      <c r="M3" s="10" t="s">
        <v>62</v>
      </c>
      <c r="N3" s="10" t="s">
        <v>64</v>
      </c>
      <c r="O3" s="86" t="s">
        <v>66</v>
      </c>
      <c r="P3" s="86" t="s">
        <v>68</v>
      </c>
      <c r="Q3" s="82" t="s">
        <v>70</v>
      </c>
      <c r="R3" s="10" t="s">
        <v>72</v>
      </c>
      <c r="S3" s="86" t="s">
        <v>74</v>
      </c>
      <c r="T3" s="86" t="s">
        <v>76</v>
      </c>
      <c r="U3" s="10" t="s">
        <v>78</v>
      </c>
      <c r="V3" s="10" t="s">
        <v>80</v>
      </c>
      <c r="W3" s="10" t="s">
        <v>82</v>
      </c>
      <c r="X3" s="10" t="s">
        <v>84</v>
      </c>
      <c r="Y3" s="10" t="s">
        <v>86</v>
      </c>
      <c r="Z3" s="10" t="s">
        <v>88</v>
      </c>
      <c r="AA3" s="10" t="s">
        <v>90</v>
      </c>
      <c r="AB3" s="10" t="s">
        <v>92</v>
      </c>
      <c r="AC3" s="10" t="s">
        <v>94</v>
      </c>
      <c r="AD3" s="10" t="s">
        <v>166</v>
      </c>
      <c r="AE3" s="10" t="s">
        <v>167</v>
      </c>
      <c r="AF3" s="10" t="s">
        <v>168</v>
      </c>
      <c r="AG3" s="10" t="s">
        <v>96</v>
      </c>
      <c r="AH3" s="10" t="s">
        <v>98</v>
      </c>
      <c r="AI3" s="10" t="s">
        <v>100</v>
      </c>
      <c r="AJ3" s="10" t="s">
        <v>169</v>
      </c>
      <c r="AK3" s="82" t="s">
        <v>170</v>
      </c>
      <c r="AL3" s="10" t="s">
        <v>104</v>
      </c>
      <c r="AM3" s="10" t="s">
        <v>106</v>
      </c>
      <c r="AN3" s="10" t="s">
        <v>108</v>
      </c>
      <c r="AO3" s="10" t="s">
        <v>110</v>
      </c>
      <c r="AP3" s="10" t="s">
        <v>112</v>
      </c>
      <c r="AQ3" s="10" t="s">
        <v>114</v>
      </c>
      <c r="AR3" s="10" t="s">
        <v>116</v>
      </c>
      <c r="AS3" s="10" t="s">
        <v>118</v>
      </c>
      <c r="AT3" s="81" t="s">
        <v>171</v>
      </c>
      <c r="AU3" s="81" t="s">
        <v>172</v>
      </c>
      <c r="AV3" s="81" t="s">
        <v>173</v>
      </c>
      <c r="AW3" s="81" t="s">
        <v>174</v>
      </c>
      <c r="AX3" s="81" t="s">
        <v>175</v>
      </c>
      <c r="AY3" s="81" t="s">
        <v>176</v>
      </c>
      <c r="AZ3" s="81" t="s">
        <v>177</v>
      </c>
      <c r="BA3" s="81" t="s">
        <v>178</v>
      </c>
      <c r="BB3" s="81" t="s">
        <v>179</v>
      </c>
      <c r="BC3" s="83" t="s">
        <v>180</v>
      </c>
      <c r="BD3" s="83" t="s">
        <v>181</v>
      </c>
      <c r="BE3" s="87" t="s">
        <v>182</v>
      </c>
      <c r="BF3" s="88" t="s">
        <v>183</v>
      </c>
      <c r="BG3" s="88" t="s">
        <v>184</v>
      </c>
      <c r="BH3" s="88" t="s">
        <v>185</v>
      </c>
      <c r="BI3" s="88" t="s">
        <v>186</v>
      </c>
      <c r="BJ3" s="88" t="s">
        <v>187</v>
      </c>
      <c r="BK3" s="88" t="s">
        <v>188</v>
      </c>
      <c r="BL3" s="88" t="s">
        <v>189</v>
      </c>
      <c r="BM3" s="88" t="s">
        <v>190</v>
      </c>
      <c r="BN3" s="89" t="s">
        <v>191</v>
      </c>
    </row>
    <row r="4" s="50" customFormat="1" spans="2:66">
      <c r="B4" s="90" t="s">
        <v>133</v>
      </c>
      <c r="C4" s="91" t="s">
        <v>192</v>
      </c>
      <c r="D4" s="90" t="s">
        <v>193</v>
      </c>
      <c r="E4" s="92" t="s">
        <v>194</v>
      </c>
      <c r="F4" s="93" t="s">
        <v>195</v>
      </c>
      <c r="G4" s="93" t="s">
        <v>196</v>
      </c>
      <c r="H4" s="94">
        <v>43812</v>
      </c>
      <c r="I4" s="95">
        <v>66</v>
      </c>
      <c r="J4" s="95">
        <v>100</v>
      </c>
      <c r="K4" s="96">
        <v>4.2</v>
      </c>
      <c r="L4" s="97">
        <v>47.3927</v>
      </c>
      <c r="M4" s="97">
        <v>52.8</v>
      </c>
      <c r="N4" s="97">
        <v>53.4</v>
      </c>
      <c r="O4" s="96" t="s">
        <v>197</v>
      </c>
      <c r="P4" s="96" t="s">
        <v>198</v>
      </c>
      <c r="Q4" s="98" t="s">
        <v>199</v>
      </c>
      <c r="R4" s="99">
        <v>52.1847335628888</v>
      </c>
      <c r="S4" s="100">
        <v>0.034</v>
      </c>
      <c r="T4" s="100">
        <v>55.1062147189424</v>
      </c>
      <c r="U4" s="97">
        <v>55.6796626926914</v>
      </c>
      <c r="V4" s="97">
        <v>22.0507968798187</v>
      </c>
      <c r="W4" s="97">
        <v>20.1540163941523</v>
      </c>
      <c r="X4" s="97">
        <v>13.4748494187203</v>
      </c>
      <c r="Y4" s="97">
        <v>39.6029641945248</v>
      </c>
      <c r="Z4" s="97">
        <v>36.1963694093962</v>
      </c>
      <c r="AA4" s="97">
        <v>24.200666396079</v>
      </c>
      <c r="AB4" s="97">
        <v>0.314660580226608</v>
      </c>
      <c r="AC4" s="97">
        <v>0.25878739352235</v>
      </c>
      <c r="AD4" s="101">
        <v>5.5099</v>
      </c>
      <c r="AE4" s="101">
        <v>3.90469999999999</v>
      </c>
      <c r="AF4" s="101">
        <v>4.10639999999999</v>
      </c>
      <c r="AG4" s="97">
        <v>939.927396027083</v>
      </c>
      <c r="AH4" s="97">
        <v>61.0576</v>
      </c>
      <c r="AI4" s="97">
        <v>57.2298170799639</v>
      </c>
      <c r="AJ4" s="97">
        <v>73.0673</v>
      </c>
      <c r="AK4" s="92">
        <v>130.16562</v>
      </c>
      <c r="AL4" s="97">
        <v>24.2</v>
      </c>
      <c r="AM4" s="97">
        <v>2.4</v>
      </c>
      <c r="AN4" s="97">
        <v>7.3</v>
      </c>
      <c r="AO4" s="97">
        <v>1.3</v>
      </c>
      <c r="AP4" s="97">
        <v>0.3</v>
      </c>
      <c r="AQ4" s="97">
        <v>3.3</v>
      </c>
      <c r="AR4" s="97">
        <v>0.5</v>
      </c>
      <c r="AS4" s="97">
        <v>8.0927</v>
      </c>
      <c r="AT4" s="97">
        <v>23.1927</v>
      </c>
      <c r="AU4" s="97">
        <v>48.9372835900888</v>
      </c>
      <c r="AV4" s="97">
        <v>0</v>
      </c>
      <c r="AW4" s="90" t="s">
        <v>200</v>
      </c>
      <c r="AX4" s="90" t="s">
        <v>201</v>
      </c>
      <c r="AY4" s="90" t="s">
        <v>202</v>
      </c>
      <c r="AZ4" s="90" t="s">
        <v>203</v>
      </c>
      <c r="BA4" s="90" t="s">
        <v>204</v>
      </c>
      <c r="BB4" s="90" t="s">
        <v>134</v>
      </c>
      <c r="BC4" s="93">
        <v>6</v>
      </c>
      <c r="BD4" s="93">
        <v>7.40740740740741</v>
      </c>
      <c r="BE4" s="96">
        <f>U4/((VLOOKUP(B4,'Cell-Characteristics'!$B$4:$E$34,3,FALSE)*VLOOKUP(B4,'Cell-Characteristics'!$B$4:$E$34,4,FALSE)*3600)/1000)</f>
        <v>1.301900081666</v>
      </c>
      <c r="BF4" s="90">
        <f>(1000*V4)/AD4</f>
        <v>4002.03213848141</v>
      </c>
      <c r="BG4" s="90">
        <f t="shared" ref="BG4:BG68" si="0">(1000*W4)/AE4</f>
        <v>5161.47627068721</v>
      </c>
      <c r="BH4" s="90">
        <f t="shared" ref="BH4:BH68" si="1">(1000*X4)/AF4</f>
        <v>3281.42641211775</v>
      </c>
      <c r="BI4" s="90">
        <f>(1000*U4)/AVERAGE(AD4:AF4)</f>
        <v>12354.0409790751</v>
      </c>
      <c r="BJ4" s="90">
        <f>BF4/((VLOOKUP(B4,'Cell-Characteristics'!$B$4:$Q$34,13,FALSE)))</f>
        <v>105.914483461208</v>
      </c>
      <c r="BK4" s="90">
        <f>BG4/((VLOOKUP(B4,'Cell-Characteristics'!$B$4:$Q$34,14,FALSE)))</f>
        <v>1942.08678144047</v>
      </c>
      <c r="BL4" s="90">
        <f>BH4/((VLOOKUP(B4,'Cell-Characteristics'!$B$4:$Q$34,15,FALSE)))</f>
        <v>1234.68839630934</v>
      </c>
      <c r="BM4" s="90">
        <f>BI4/((VLOOKUP(B4,'Cell-Characteristics'!$B$4:$Q$34,16,FALSE)))</f>
        <v>286.630722922213</v>
      </c>
      <c r="BN4" s="50">
        <f>AVERAGE(AD4:AF4)</f>
        <v>4.50699999999999</v>
      </c>
    </row>
    <row r="5" s="50" customFormat="1" spans="2:66">
      <c r="B5" s="90" t="s">
        <v>133</v>
      </c>
      <c r="C5" s="91" t="s">
        <v>205</v>
      </c>
      <c r="D5" s="90" t="s">
        <v>193</v>
      </c>
      <c r="E5" s="92" t="s">
        <v>194</v>
      </c>
      <c r="F5" s="93" t="s">
        <v>195</v>
      </c>
      <c r="G5" s="93" t="s">
        <v>196</v>
      </c>
      <c r="H5" s="94">
        <v>43812</v>
      </c>
      <c r="I5" s="95">
        <v>64</v>
      </c>
      <c r="J5" s="95">
        <v>100</v>
      </c>
      <c r="K5" s="96">
        <v>4.122</v>
      </c>
      <c r="L5" s="97">
        <v>47.2264</v>
      </c>
      <c r="M5" s="97">
        <v>50.4</v>
      </c>
      <c r="N5" s="97">
        <v>52</v>
      </c>
      <c r="O5" s="96" t="s">
        <v>197</v>
      </c>
      <c r="P5" s="96" t="s">
        <v>198</v>
      </c>
      <c r="Q5" s="98" t="s">
        <v>199</v>
      </c>
      <c r="R5" s="99">
        <v>57.1391702830241</v>
      </c>
      <c r="S5" s="100">
        <v>0.0377</v>
      </c>
      <c r="T5" s="100">
        <v>59.001219652016</v>
      </c>
      <c r="U5" s="97">
        <v>60.9700460764044</v>
      </c>
      <c r="V5" s="97">
        <v>13.8136766524456</v>
      </c>
      <c r="W5" s="97">
        <v>9.39005723526229</v>
      </c>
      <c r="X5" s="97">
        <v>37.7663121886965</v>
      </c>
      <c r="Y5" s="97">
        <v>22.656496987283</v>
      </c>
      <c r="Z5" s="97">
        <v>15.4010991290628</v>
      </c>
      <c r="AA5" s="97">
        <v>61.9424038836542</v>
      </c>
      <c r="AB5" s="97">
        <v>0.627179943803904</v>
      </c>
      <c r="AC5" s="97">
        <v>1.34164648058458</v>
      </c>
      <c r="AD5" s="101">
        <v>5.2184</v>
      </c>
      <c r="AE5" s="101">
        <v>1.8057</v>
      </c>
      <c r="AF5" s="101">
        <v>1.7041</v>
      </c>
      <c r="AG5" s="97">
        <v>932.144671859778</v>
      </c>
      <c r="AH5" s="97">
        <v>71.4974</v>
      </c>
      <c r="AI5" s="97">
        <v>66.5069635081012</v>
      </c>
      <c r="AJ5" s="97">
        <v>80.2176</v>
      </c>
      <c r="AK5" s="92">
        <v>165.03871</v>
      </c>
      <c r="AL5" s="97">
        <v>16.3</v>
      </c>
      <c r="AM5" s="97">
        <v>0.5</v>
      </c>
      <c r="AN5" s="97">
        <v>2.2</v>
      </c>
      <c r="AO5" s="97">
        <v>0</v>
      </c>
      <c r="AP5" s="97">
        <v>3.8</v>
      </c>
      <c r="AQ5" s="97">
        <v>8.4</v>
      </c>
      <c r="AR5" s="97">
        <v>0.5</v>
      </c>
      <c r="AS5" s="97">
        <v>15.5264</v>
      </c>
      <c r="AT5" s="97">
        <v>30.9264</v>
      </c>
      <c r="AU5" s="97">
        <v>65.485406467569</v>
      </c>
      <c r="AV5" s="97">
        <v>0</v>
      </c>
      <c r="AW5" s="90" t="s">
        <v>206</v>
      </c>
      <c r="AX5" s="90" t="s">
        <v>207</v>
      </c>
      <c r="AY5" s="90" t="s">
        <v>202</v>
      </c>
      <c r="AZ5" s="90" t="s">
        <v>203</v>
      </c>
      <c r="BA5" s="90" t="s">
        <v>204</v>
      </c>
      <c r="BB5" s="90" t="s">
        <v>134</v>
      </c>
      <c r="BC5" s="93">
        <v>5</v>
      </c>
      <c r="BD5" s="93">
        <v>6.17283950617284</v>
      </c>
      <c r="BE5" s="96">
        <f>U5/((VLOOKUP(B5,'Cell-Characteristics'!$B$4:$E$34,3,FALSE)*VLOOKUP(B5,'Cell-Characteristics'!$B$4:$E$34,4,FALSE)*3600)/1000)</f>
        <v>1.42559965573336</v>
      </c>
      <c r="BF5" s="90">
        <f t="shared" ref="BF5:BF69" si="2">(1000*V5)/AD5</f>
        <v>2647.10958386586</v>
      </c>
      <c r="BG5" s="90">
        <f t="shared" si="0"/>
        <v>5200.23106566001</v>
      </c>
      <c r="BH5" s="90">
        <f t="shared" si="1"/>
        <v>22162.028160728</v>
      </c>
      <c r="BI5" s="90">
        <f t="shared" ref="BI5:BI69" si="3">(1000*U5)/AVERAGE(AD5:AF5)</f>
        <v>20956.2267396729</v>
      </c>
      <c r="BJ5" s="90">
        <f>BF5/((VLOOKUP(B5,'Cell-Characteristics'!$B$4:$Q$34,13,FALSE)))</f>
        <v>70.0562200749224</v>
      </c>
      <c r="BK5" s="90">
        <f>BG5/((VLOOKUP(B5,'Cell-Characteristics'!$B$4:$Q$34,14,FALSE)))</f>
        <v>1956.66888374743</v>
      </c>
      <c r="BL5" s="90">
        <f>BH5/((VLOOKUP(B5,'Cell-Characteristics'!$B$4:$Q$34,15,FALSE)))</f>
        <v>8338.81232493406</v>
      </c>
      <c r="BM5" s="90">
        <f>BI5/((VLOOKUP(B5,'Cell-Characteristics'!$B$4:$Q$34,16,FALSE)))</f>
        <v>486.213250408366</v>
      </c>
      <c r="BN5" s="50">
        <f t="shared" ref="BN5:BN69" si="4">AVERAGE(AD5:AF5)</f>
        <v>2.9094</v>
      </c>
    </row>
    <row r="6" s="50" customFormat="1" spans="2:66">
      <c r="B6" s="90" t="s">
        <v>133</v>
      </c>
      <c r="C6" s="91" t="s">
        <v>208</v>
      </c>
      <c r="D6" s="90" t="s">
        <v>193</v>
      </c>
      <c r="E6" s="92" t="s">
        <v>194</v>
      </c>
      <c r="F6" s="93" t="s">
        <v>195</v>
      </c>
      <c r="G6" s="93" t="s">
        <v>196</v>
      </c>
      <c r="H6" s="94">
        <v>43812</v>
      </c>
      <c r="I6" s="95">
        <v>58</v>
      </c>
      <c r="J6" s="95">
        <v>100</v>
      </c>
      <c r="K6" s="96">
        <v>4.254</v>
      </c>
      <c r="L6" s="97">
        <v>47.3518</v>
      </c>
      <c r="M6" s="97">
        <v>50.1</v>
      </c>
      <c r="N6" s="97">
        <v>48.3</v>
      </c>
      <c r="O6" s="96" t="s">
        <v>198</v>
      </c>
      <c r="P6" s="96" t="s">
        <v>198</v>
      </c>
      <c r="Q6" s="98" t="s">
        <v>209</v>
      </c>
      <c r="R6" s="99">
        <v>56.9774658336118</v>
      </c>
      <c r="S6" s="100">
        <v>0.0427</v>
      </c>
      <c r="T6" s="100">
        <v>59.1473595150113</v>
      </c>
      <c r="U6" s="97">
        <v>62.8791847287666</v>
      </c>
      <c r="V6" s="97">
        <v>6.07336092563279</v>
      </c>
      <c r="W6" s="97">
        <v>55.8415405887299</v>
      </c>
      <c r="X6" s="97">
        <v>0.964283214403912</v>
      </c>
      <c r="Y6" s="97">
        <v>9.65877810253206</v>
      </c>
      <c r="Z6" s="97">
        <v>88.8076727292283</v>
      </c>
      <c r="AA6" s="97">
        <v>1.53354916823971</v>
      </c>
      <c r="AB6" s="97">
        <v>3.73182521375531</v>
      </c>
      <c r="AC6" s="97">
        <v>0</v>
      </c>
      <c r="AD6" s="101">
        <v>8.21889999999999</v>
      </c>
      <c r="AE6" s="101">
        <v>1.50019999999999</v>
      </c>
      <c r="AF6" s="101">
        <v>0</v>
      </c>
      <c r="AG6" s="97">
        <v>950.473240643659</v>
      </c>
      <c r="AH6" s="97">
        <v>84.8873</v>
      </c>
      <c r="AI6" s="97">
        <v>80.4609887252585</v>
      </c>
      <c r="AJ6" s="97">
        <v>91.9055</v>
      </c>
      <c r="AK6" s="92">
        <v>219.34555</v>
      </c>
      <c r="AL6" s="97">
        <v>12.3</v>
      </c>
      <c r="AM6" s="97">
        <v>4.2</v>
      </c>
      <c r="AN6" s="97">
        <v>7.7</v>
      </c>
      <c r="AO6" s="97">
        <v>2.2</v>
      </c>
      <c r="AP6" s="97">
        <v>0.3</v>
      </c>
      <c r="AQ6" s="97">
        <v>0.0999999999999996</v>
      </c>
      <c r="AR6" s="97">
        <v>0</v>
      </c>
      <c r="AS6" s="97">
        <v>20.5518</v>
      </c>
      <c r="AT6" s="97">
        <v>35.0518</v>
      </c>
      <c r="AU6" s="97">
        <v>74.0242187203021</v>
      </c>
      <c r="AV6" s="97">
        <v>0</v>
      </c>
      <c r="AW6" s="90" t="s">
        <v>210</v>
      </c>
      <c r="AX6" s="90" t="s">
        <v>211</v>
      </c>
      <c r="AY6" s="90" t="s">
        <v>202</v>
      </c>
      <c r="AZ6" s="90" t="s">
        <v>212</v>
      </c>
      <c r="BA6" s="90" t="s">
        <v>204</v>
      </c>
      <c r="BB6" s="90" t="s">
        <v>134</v>
      </c>
      <c r="BC6" s="93">
        <v>5</v>
      </c>
      <c r="BD6" s="93">
        <v>6.17283950617284</v>
      </c>
      <c r="BE6" s="96">
        <f>U6/((VLOOKUP(B6,'Cell-Characteristics'!$B$4:$E$34,3,FALSE)*VLOOKUP(B6,'Cell-Characteristics'!$B$4:$E$34,4,FALSE)*3600)/1000)</f>
        <v>1.47023907427905</v>
      </c>
      <c r="BF6" s="90">
        <f t="shared" si="2"/>
        <v>738.950580446629</v>
      </c>
      <c r="BG6" s="90">
        <f t="shared" si="0"/>
        <v>37222.7306950608</v>
      </c>
      <c r="BH6" s="90" t="e">
        <f t="shared" si="1"/>
        <v>#DIV/0!</v>
      </c>
      <c r="BI6" s="90">
        <f t="shared" si="3"/>
        <v>19408.9529057526</v>
      </c>
      <c r="BJ6" s="90">
        <f>BF6/((VLOOKUP(B6,'Cell-Characteristics'!$B$4:$Q$34,13,FALSE)))</f>
        <v>19.5564569006842</v>
      </c>
      <c r="BK6" s="90">
        <f>BG6/((VLOOKUP(B6,'Cell-Characteristics'!$B$4:$Q$34,14,FALSE)))</f>
        <v>14005.6389801771</v>
      </c>
      <c r="BL6" s="90" t="e">
        <f>BH6/((VLOOKUP(B6,'Cell-Characteristics'!$B$4:$Q$34,15,FALSE)))</f>
        <v>#DIV/0!</v>
      </c>
      <c r="BM6" s="90">
        <f>BI6/((VLOOKUP(B6,'Cell-Characteristics'!$B$4:$Q$34,16,FALSE)))</f>
        <v>450.314371788294</v>
      </c>
      <c r="BN6" s="50">
        <f t="shared" si="4"/>
        <v>3.23969999999999</v>
      </c>
    </row>
    <row r="7" s="50" customFormat="1" spans="2:66">
      <c r="B7" s="90" t="s">
        <v>133</v>
      </c>
      <c r="C7" s="91" t="s">
        <v>213</v>
      </c>
      <c r="D7" s="90" t="s">
        <v>193</v>
      </c>
      <c r="E7" s="92" t="s">
        <v>194</v>
      </c>
      <c r="F7" s="93" t="s">
        <v>195</v>
      </c>
      <c r="G7" s="93" t="s">
        <v>196</v>
      </c>
      <c r="H7" s="94">
        <v>43812</v>
      </c>
      <c r="I7" s="95">
        <v>52</v>
      </c>
      <c r="J7" s="95">
        <v>100</v>
      </c>
      <c r="K7" s="96">
        <v>4.119</v>
      </c>
      <c r="L7" s="97">
        <v>47.369</v>
      </c>
      <c r="M7" s="97">
        <v>47.7</v>
      </c>
      <c r="N7" s="97">
        <v>49.7</v>
      </c>
      <c r="O7" s="96" t="s">
        <v>198</v>
      </c>
      <c r="P7" s="96" t="s">
        <v>198</v>
      </c>
      <c r="Q7" s="98" t="s">
        <v>199</v>
      </c>
      <c r="R7" s="99">
        <v>53.0582561337248</v>
      </c>
      <c r="S7" s="100">
        <v>0.0354</v>
      </c>
      <c r="T7" s="100">
        <v>55.1865534800923</v>
      </c>
      <c r="U7" s="97">
        <v>56.1116074331092</v>
      </c>
      <c r="V7" s="97">
        <v>19.0871677175443</v>
      </c>
      <c r="W7" s="97">
        <v>7.50096212935221</v>
      </c>
      <c r="X7" s="97">
        <v>29.5234775862127</v>
      </c>
      <c r="Y7" s="97">
        <v>34.0164336591108</v>
      </c>
      <c r="Z7" s="97">
        <v>13.3679330756905</v>
      </c>
      <c r="AA7" s="97">
        <v>52.6156332651987</v>
      </c>
      <c r="AB7" s="97">
        <v>0.24058064429589</v>
      </c>
      <c r="AC7" s="97">
        <v>0.68447330872101</v>
      </c>
      <c r="AD7" s="101">
        <v>7.2209</v>
      </c>
      <c r="AE7" s="101">
        <v>3.80930000000001</v>
      </c>
      <c r="AF7" s="101">
        <v>1.60429999999999</v>
      </c>
      <c r="AG7" s="97">
        <v>944.002552932528</v>
      </c>
      <c r="AH7" s="97">
        <v>67.9722</v>
      </c>
      <c r="AI7" s="97">
        <v>63.8909596552491</v>
      </c>
      <c r="AJ7" s="97">
        <v>78.4824</v>
      </c>
      <c r="AK7" s="92">
        <v>139.851815</v>
      </c>
      <c r="AL7" s="97">
        <v>23.3</v>
      </c>
      <c r="AM7" s="97">
        <v>0.199999999999999</v>
      </c>
      <c r="AN7" s="97">
        <v>3.2</v>
      </c>
      <c r="AO7" s="97">
        <v>0.299999999999997</v>
      </c>
      <c r="AP7" s="97">
        <v>1.3</v>
      </c>
      <c r="AQ7" s="97">
        <v>6.8</v>
      </c>
      <c r="AR7" s="97">
        <v>1.9</v>
      </c>
      <c r="AS7" s="97">
        <v>10.369</v>
      </c>
      <c r="AT7" s="97">
        <v>24.069</v>
      </c>
      <c r="AU7" s="97">
        <v>50.8117123012941</v>
      </c>
      <c r="AV7" s="97">
        <v>0</v>
      </c>
      <c r="AW7" s="90" t="s">
        <v>214</v>
      </c>
      <c r="AX7" s="90" t="s">
        <v>215</v>
      </c>
      <c r="AY7" s="90" t="s">
        <v>202</v>
      </c>
      <c r="AZ7" s="90" t="s">
        <v>212</v>
      </c>
      <c r="BA7" s="90" t="s">
        <v>204</v>
      </c>
      <c r="BB7" s="90" t="s">
        <v>134</v>
      </c>
      <c r="BC7" s="93">
        <v>5</v>
      </c>
      <c r="BD7" s="93">
        <v>6.17283950617284</v>
      </c>
      <c r="BE7" s="96">
        <f>U7/((VLOOKUP(B7,'Cell-Characteristics'!$B$4:$E$34,3,FALSE)*VLOOKUP(B7,'Cell-Characteristics'!$B$4:$E$34,4,FALSE)*3600)/1000)</f>
        <v>1.31199979968923</v>
      </c>
      <c r="BF7" s="90">
        <f t="shared" si="2"/>
        <v>2643.32253840163</v>
      </c>
      <c r="BG7" s="90">
        <f t="shared" si="0"/>
        <v>1969.11824465182</v>
      </c>
      <c r="BH7" s="90">
        <f t="shared" si="1"/>
        <v>18402.7161916181</v>
      </c>
      <c r="BI7" s="90">
        <f t="shared" si="3"/>
        <v>13323.425723165</v>
      </c>
      <c r="BJ7" s="90">
        <f>BF7/((VLOOKUP(B7,'Cell-Characteristics'!$B$4:$Q$34,13,FALSE)))</f>
        <v>69.9559952515554</v>
      </c>
      <c r="BK7" s="90">
        <f>BG7/((VLOOKUP(B7,'Cell-Characteristics'!$B$4:$Q$34,14,FALSE)))</f>
        <v>740.911768935131</v>
      </c>
      <c r="BL7" s="90">
        <f>BH7/((VLOOKUP(B7,'Cell-Characteristics'!$B$4:$Q$34,15,FALSE)))</f>
        <v>6924.31195728107</v>
      </c>
      <c r="BM7" s="90">
        <f>BI7/((VLOOKUP(B7,'Cell-Characteristics'!$B$4:$Q$34,16,FALSE)))</f>
        <v>309.121780743606</v>
      </c>
      <c r="BN7" s="50">
        <f t="shared" si="4"/>
        <v>4.2115</v>
      </c>
    </row>
    <row r="8" s="50" customFormat="1" spans="2:66">
      <c r="B8" s="90" t="s">
        <v>133</v>
      </c>
      <c r="C8" s="91" t="s">
        <v>216</v>
      </c>
      <c r="D8" s="90" t="s">
        <v>193</v>
      </c>
      <c r="E8" s="92" t="s">
        <v>194</v>
      </c>
      <c r="F8" s="93" t="s">
        <v>195</v>
      </c>
      <c r="G8" s="93" t="s">
        <v>196</v>
      </c>
      <c r="H8" s="94">
        <v>43812</v>
      </c>
      <c r="I8" s="95">
        <v>62</v>
      </c>
      <c r="J8" s="95">
        <v>100</v>
      </c>
      <c r="K8" s="96">
        <v>4.144</v>
      </c>
      <c r="L8" s="97">
        <v>47.4738</v>
      </c>
      <c r="M8" s="97">
        <v>47.5</v>
      </c>
      <c r="N8" s="97">
        <v>49.9</v>
      </c>
      <c r="O8" s="96" t="s">
        <v>198</v>
      </c>
      <c r="P8" s="96" t="s">
        <v>198</v>
      </c>
      <c r="Q8" s="98" t="s">
        <v>199</v>
      </c>
      <c r="R8" s="99">
        <v>59.781344895986</v>
      </c>
      <c r="S8" s="100">
        <v>0.0483</v>
      </c>
      <c r="T8" s="100">
        <v>61.939964170677</v>
      </c>
      <c r="U8" s="97">
        <v>63.6838430087112</v>
      </c>
      <c r="V8" s="97">
        <v>9.61548648318473</v>
      </c>
      <c r="W8" s="97">
        <v>6.38498791661999</v>
      </c>
      <c r="X8" s="97">
        <v>47.6833686089065</v>
      </c>
      <c r="Y8" s="97">
        <v>15.0987849176587</v>
      </c>
      <c r="Z8" s="97">
        <v>10.0260719437842</v>
      </c>
      <c r="AA8" s="97">
        <v>74.8751431385571</v>
      </c>
      <c r="AB8" s="97">
        <v>0.336891281831352</v>
      </c>
      <c r="AC8" s="97">
        <v>1.40698755620293</v>
      </c>
      <c r="AD8" s="101">
        <v>7.03160000000001</v>
      </c>
      <c r="AE8" s="101">
        <v>2.6117</v>
      </c>
      <c r="AF8" s="101">
        <v>1.9051</v>
      </c>
      <c r="AG8" s="97">
        <v>948.703966742896</v>
      </c>
      <c r="AH8" s="97">
        <v>108.7464</v>
      </c>
      <c r="AI8" s="97">
        <v>102.917014911113</v>
      </c>
      <c r="AJ8" s="97">
        <v>122.9653</v>
      </c>
      <c r="AK8" s="92">
        <v>239.83976</v>
      </c>
      <c r="AL8" s="97">
        <v>15.1</v>
      </c>
      <c r="AM8" s="97">
        <v>0.0999999999999996</v>
      </c>
      <c r="AN8" s="97">
        <v>1.2</v>
      </c>
      <c r="AO8" s="97">
        <v>0</v>
      </c>
      <c r="AP8" s="97">
        <v>5.5</v>
      </c>
      <c r="AQ8" s="97">
        <v>12.1</v>
      </c>
      <c r="AR8" s="97">
        <v>1.1</v>
      </c>
      <c r="AS8" s="97">
        <v>12.3738</v>
      </c>
      <c r="AT8" s="97">
        <v>32.3738</v>
      </c>
      <c r="AU8" s="97">
        <v>68.1929822344114</v>
      </c>
      <c r="AV8" s="97">
        <v>0</v>
      </c>
      <c r="AW8" s="90" t="s">
        <v>217</v>
      </c>
      <c r="AX8" s="90" t="s">
        <v>218</v>
      </c>
      <c r="AY8" s="90" t="s">
        <v>202</v>
      </c>
      <c r="AZ8" s="90" t="s">
        <v>212</v>
      </c>
      <c r="BA8" s="90" t="s">
        <v>204</v>
      </c>
      <c r="BB8" s="90" t="s">
        <v>134</v>
      </c>
      <c r="BC8" s="93">
        <v>4</v>
      </c>
      <c r="BD8" s="93">
        <v>4.93827160493827</v>
      </c>
      <c r="BE8" s="96">
        <f>U8/((VLOOKUP(B8,'Cell-Characteristics'!$B$4:$E$34,3,FALSE)*VLOOKUP(B8,'Cell-Characteristics'!$B$4:$E$34,4,FALSE)*3600)/1000)</f>
        <v>1.48905356829198</v>
      </c>
      <c r="BF8" s="90">
        <f t="shared" si="2"/>
        <v>1367.46778587871</v>
      </c>
      <c r="BG8" s="90">
        <f t="shared" si="0"/>
        <v>2444.76314914423</v>
      </c>
      <c r="BH8" s="90">
        <f t="shared" si="1"/>
        <v>25029.3258143439</v>
      </c>
      <c r="BI8" s="90">
        <f t="shared" si="3"/>
        <v>16543.5496714812</v>
      </c>
      <c r="BJ8" s="90">
        <f>BF8/((VLOOKUP(B8,'Cell-Characteristics'!$B$4:$Q$34,13,FALSE)))</f>
        <v>36.1902751351075</v>
      </c>
      <c r="BK8" s="90">
        <f>BG8/((VLOOKUP(B8,'Cell-Characteristics'!$B$4:$Q$34,14,FALSE)))</f>
        <v>919.880659467536</v>
      </c>
      <c r="BL8" s="90">
        <f>BH8/((VLOOKUP(B8,'Cell-Characteristics'!$B$4:$Q$34,15,FALSE)))</f>
        <v>9417.67825001199</v>
      </c>
      <c r="BM8" s="90">
        <f>BI8/((VLOOKUP(B8,'Cell-Characteristics'!$B$4:$Q$34,16,FALSE)))</f>
        <v>383.833080209775</v>
      </c>
      <c r="BN8" s="50">
        <f t="shared" si="4"/>
        <v>3.84946666666667</v>
      </c>
    </row>
    <row r="9" s="50" customFormat="1" spans="2:66">
      <c r="B9" s="90" t="s">
        <v>133</v>
      </c>
      <c r="C9" s="91" t="s">
        <v>219</v>
      </c>
      <c r="D9" s="90" t="s">
        <v>193</v>
      </c>
      <c r="E9" s="92" t="s">
        <v>194</v>
      </c>
      <c r="F9" s="93" t="s">
        <v>195</v>
      </c>
      <c r="G9" s="93" t="s">
        <v>196</v>
      </c>
      <c r="H9" s="94">
        <v>43813</v>
      </c>
      <c r="I9" s="95">
        <v>50</v>
      </c>
      <c r="J9" s="95">
        <v>100</v>
      </c>
      <c r="K9" s="96">
        <v>4.148</v>
      </c>
      <c r="L9" s="97">
        <v>48.0584</v>
      </c>
      <c r="M9" s="97">
        <v>51.1</v>
      </c>
      <c r="N9" s="97">
        <v>52.1</v>
      </c>
      <c r="O9" s="96" t="s">
        <v>197</v>
      </c>
      <c r="P9" s="96" t="s">
        <v>198</v>
      </c>
      <c r="Q9" s="98" t="s">
        <v>209</v>
      </c>
      <c r="R9" s="99">
        <v>56.9796524906104</v>
      </c>
      <c r="S9" s="100">
        <v>0.0443</v>
      </c>
      <c r="T9" s="100">
        <v>58.9925845005785</v>
      </c>
      <c r="U9" s="97">
        <v>61.3142396845325</v>
      </c>
      <c r="V9" s="97">
        <v>13.0934201261731</v>
      </c>
      <c r="W9" s="97">
        <v>47.5354776114197</v>
      </c>
      <c r="X9" s="97">
        <v>0.685341946939641</v>
      </c>
      <c r="Y9" s="97">
        <v>21.3546154915074</v>
      </c>
      <c r="Z9" s="97">
        <v>77.5276311930054</v>
      </c>
      <c r="AA9" s="97">
        <v>1.11775331548722</v>
      </c>
      <c r="AB9" s="97">
        <v>2.32165518395395</v>
      </c>
      <c r="AC9" s="97">
        <v>0</v>
      </c>
      <c r="AD9" s="101">
        <v>3.4088</v>
      </c>
      <c r="AE9" s="101">
        <v>1.90479999999999</v>
      </c>
      <c r="AF9" s="101">
        <v>0</v>
      </c>
      <c r="AG9" s="97">
        <v>951.355589809439</v>
      </c>
      <c r="AH9" s="97">
        <v>102.2557</v>
      </c>
      <c r="AI9" s="97">
        <v>97.0592241541922</v>
      </c>
      <c r="AJ9" s="97">
        <v>107.3737</v>
      </c>
      <c r="AK9" s="92">
        <v>231.285635</v>
      </c>
      <c r="AL9" s="97">
        <v>9.7</v>
      </c>
      <c r="AM9" s="97">
        <v>12.8</v>
      </c>
      <c r="AN9" s="97">
        <v>10.2</v>
      </c>
      <c r="AO9" s="97">
        <v>0.899999999999999</v>
      </c>
      <c r="AP9" s="97">
        <v>0</v>
      </c>
      <c r="AQ9" s="97">
        <v>0</v>
      </c>
      <c r="AR9" s="97">
        <v>0</v>
      </c>
      <c r="AS9" s="97">
        <v>14.4584</v>
      </c>
      <c r="AT9" s="97">
        <v>38.3584</v>
      </c>
      <c r="AU9" s="97">
        <v>79.8162235946265</v>
      </c>
      <c r="AV9" s="97">
        <v>0</v>
      </c>
      <c r="AW9" s="90" t="s">
        <v>220</v>
      </c>
      <c r="AX9" s="90" t="s">
        <v>221</v>
      </c>
      <c r="AY9" s="90" t="s">
        <v>202</v>
      </c>
      <c r="AZ9" s="90" t="s">
        <v>203</v>
      </c>
      <c r="BA9" s="90" t="s">
        <v>204</v>
      </c>
      <c r="BB9" s="90" t="s">
        <v>134</v>
      </c>
      <c r="BC9" s="93">
        <v>5</v>
      </c>
      <c r="BD9" s="93">
        <v>6.17283950617284</v>
      </c>
      <c r="BE9" s="96">
        <f>U9/((VLOOKUP(B9,'Cell-Characteristics'!$B$4:$E$34,3,FALSE)*VLOOKUP(B9,'Cell-Characteristics'!$B$4:$E$34,4,FALSE)*3600)/1000)</f>
        <v>1.43364757960467</v>
      </c>
      <c r="BF9" s="90">
        <f t="shared" si="2"/>
        <v>3841.06434116789</v>
      </c>
      <c r="BG9" s="90">
        <f t="shared" si="0"/>
        <v>24955.6266334628</v>
      </c>
      <c r="BH9" s="90" t="e">
        <f t="shared" si="1"/>
        <v>#DIV/0!</v>
      </c>
      <c r="BI9" s="90">
        <f t="shared" si="3"/>
        <v>34617.3439953323</v>
      </c>
      <c r="BJ9" s="90">
        <f>BF9/((VLOOKUP(B9,'Cell-Characteristics'!$B$4:$Q$34,13,FALSE)))</f>
        <v>101.654442432947</v>
      </c>
      <c r="BK9" s="90">
        <f>BG9/((VLOOKUP(B9,'Cell-Characteristics'!$B$4:$Q$34,14,FALSE)))</f>
        <v>9389.94777185307</v>
      </c>
      <c r="BL9" s="90" t="e">
        <f>BH9/((VLOOKUP(B9,'Cell-Characteristics'!$B$4:$Q$34,15,FALSE)))</f>
        <v>#DIV/0!</v>
      </c>
      <c r="BM9" s="90">
        <f>BI9/((VLOOKUP(B9,'Cell-Characteristics'!$B$4:$Q$34,16,FALSE)))</f>
        <v>803.169938632652</v>
      </c>
      <c r="BN9" s="50">
        <f t="shared" si="4"/>
        <v>1.7712</v>
      </c>
    </row>
    <row r="10" s="50" customFormat="1" ht="16.5" customHeight="1" spans="2:66">
      <c r="B10" s="90" t="s">
        <v>133</v>
      </c>
      <c r="C10" s="90" t="s">
        <v>222</v>
      </c>
      <c r="D10" s="90" t="s">
        <v>193</v>
      </c>
      <c r="E10" s="92" t="s">
        <v>194</v>
      </c>
      <c r="F10" s="93" t="s">
        <v>195</v>
      </c>
      <c r="G10" s="93" t="s">
        <v>196</v>
      </c>
      <c r="H10" s="94">
        <v>43813</v>
      </c>
      <c r="I10" s="95">
        <v>53</v>
      </c>
      <c r="J10" s="95">
        <v>100</v>
      </c>
      <c r="K10" s="96">
        <v>4.129</v>
      </c>
      <c r="L10" s="97">
        <v>47.394</v>
      </c>
      <c r="M10" s="97">
        <v>45.2</v>
      </c>
      <c r="N10" s="97">
        <v>48.7</v>
      </c>
      <c r="O10" s="96" t="s">
        <v>198</v>
      </c>
      <c r="P10" s="96" t="s">
        <v>198</v>
      </c>
      <c r="Q10" s="98" t="s">
        <v>199</v>
      </c>
      <c r="R10" s="99">
        <v>50.1191007899454</v>
      </c>
      <c r="S10" s="100">
        <v>0.043</v>
      </c>
      <c r="T10" s="100">
        <v>53.0472479438784</v>
      </c>
      <c r="U10" s="97">
        <v>54.5988205490875</v>
      </c>
      <c r="V10" s="97">
        <v>8.90885369217318</v>
      </c>
      <c r="W10" s="97">
        <v>3.77527902081845</v>
      </c>
      <c r="X10" s="97">
        <v>41.9146878360958</v>
      </c>
      <c r="Y10" s="97">
        <v>16.3169343267472</v>
      </c>
      <c r="Z10" s="97">
        <v>6.91457980749649</v>
      </c>
      <c r="AA10" s="97">
        <v>76.7684858657562</v>
      </c>
      <c r="AB10" s="97">
        <v>0.28261499806026</v>
      </c>
      <c r="AC10" s="97">
        <v>1.2689576071488</v>
      </c>
      <c r="AD10" s="101">
        <v>1.5034</v>
      </c>
      <c r="AE10" s="101">
        <v>1.5034</v>
      </c>
      <c r="AF10" s="101">
        <v>1.4037</v>
      </c>
      <c r="AG10" s="97">
        <v>950.336508908991</v>
      </c>
      <c r="AH10" s="97">
        <v>104.4472</v>
      </c>
      <c r="AI10" s="97">
        <v>99.0555641180532</v>
      </c>
      <c r="AJ10" s="97">
        <v>107.4492</v>
      </c>
      <c r="AK10" s="92">
        <v>223.21516</v>
      </c>
      <c r="AL10" s="97">
        <v>20</v>
      </c>
      <c r="AM10" s="97">
        <v>0</v>
      </c>
      <c r="AN10" s="97">
        <v>0</v>
      </c>
      <c r="AO10" s="97">
        <v>0</v>
      </c>
      <c r="AP10" s="97">
        <v>2.6</v>
      </c>
      <c r="AQ10" s="97">
        <v>7.7</v>
      </c>
      <c r="AR10" s="97">
        <v>4.8</v>
      </c>
      <c r="AS10" s="97">
        <v>12.294</v>
      </c>
      <c r="AT10" s="97">
        <v>27.394</v>
      </c>
      <c r="AU10" s="97">
        <v>57.8005654724227</v>
      </c>
      <c r="AV10" s="97">
        <v>0</v>
      </c>
      <c r="AW10" s="90" t="s">
        <v>223</v>
      </c>
      <c r="AX10" s="90" t="s">
        <v>202</v>
      </c>
      <c r="AY10" s="90" t="s">
        <v>202</v>
      </c>
      <c r="AZ10" s="90" t="s">
        <v>212</v>
      </c>
      <c r="BA10" s="102" t="s">
        <v>202</v>
      </c>
      <c r="BB10" s="90" t="s">
        <v>134</v>
      </c>
      <c r="BC10" s="93">
        <v>5</v>
      </c>
      <c r="BD10" s="93">
        <v>6.17283950617284</v>
      </c>
      <c r="BE10" s="96">
        <f>U10/((VLOOKUP(B10,'Cell-Characteristics'!$B$4:$E$34,3,FALSE)*VLOOKUP(B10,'Cell-Characteristics'!$B$4:$E$34,4,FALSE)*3600)/1000)</f>
        <v>1.27662786543882</v>
      </c>
      <c r="BF10" s="90">
        <f t="shared" si="2"/>
        <v>5925.80397244458</v>
      </c>
      <c r="BG10" s="90">
        <f t="shared" si="0"/>
        <v>2511.16071625545</v>
      </c>
      <c r="BH10" s="90">
        <f t="shared" si="1"/>
        <v>29860.1466382388</v>
      </c>
      <c r="BI10" s="90">
        <f t="shared" si="3"/>
        <v>37137.8441553707</v>
      </c>
      <c r="BJ10" s="90">
        <f>BF10/((VLOOKUP(B10,'Cell-Characteristics'!$B$4:$Q$34,13,FALSE)))</f>
        <v>156.827442938027</v>
      </c>
      <c r="BK10" s="90">
        <f>BG10/((VLOOKUP(B10,'Cell-Characteristics'!$B$4:$Q$34,14,FALSE)))</f>
        <v>944.863790386656</v>
      </c>
      <c r="BL10" s="90">
        <f>BH10/((VLOOKUP(B10,'Cell-Characteristics'!$B$4:$Q$34,15,FALSE)))</f>
        <v>11235.350709125</v>
      </c>
      <c r="BM10" s="90">
        <f>BI10/((VLOOKUP(B10,'Cell-Characteristics'!$B$4:$Q$34,16,FALSE)))</f>
        <v>861.649005054807</v>
      </c>
      <c r="BN10" s="50">
        <f t="shared" si="4"/>
        <v>1.47016666666667</v>
      </c>
    </row>
    <row r="11" s="51" customFormat="1" ht="16.5" customHeight="1" spans="2:66">
      <c r="B11" s="90" t="s">
        <v>133</v>
      </c>
      <c r="C11" s="90" t="s">
        <v>224</v>
      </c>
      <c r="D11" s="90" t="s">
        <v>193</v>
      </c>
      <c r="E11" s="92" t="s">
        <v>194</v>
      </c>
      <c r="F11" s="93" t="s">
        <v>195</v>
      </c>
      <c r="G11" s="93" t="s">
        <v>196</v>
      </c>
      <c r="H11" s="94">
        <v>43813</v>
      </c>
      <c r="I11" s="95">
        <v>54</v>
      </c>
      <c r="J11" s="95">
        <v>100</v>
      </c>
      <c r="K11" s="96">
        <v>4.124</v>
      </c>
      <c r="L11" s="97">
        <v>47.4415</v>
      </c>
      <c r="M11" s="97">
        <v>47.1</v>
      </c>
      <c r="N11" s="97">
        <v>48.1</v>
      </c>
      <c r="O11" s="96" t="s">
        <v>198</v>
      </c>
      <c r="P11" s="96" t="s">
        <v>198</v>
      </c>
      <c r="Q11" s="98" t="s">
        <v>199</v>
      </c>
      <c r="R11" s="99">
        <v>58.5112612554285</v>
      </c>
      <c r="S11" s="100">
        <v>0.0497</v>
      </c>
      <c r="T11" s="100">
        <v>61.1035400666443</v>
      </c>
      <c r="U11" s="97">
        <v>62.7881943599652</v>
      </c>
      <c r="V11" s="97">
        <v>8.47118058812356</v>
      </c>
      <c r="W11" s="97">
        <v>5.04166894683353</v>
      </c>
      <c r="X11" s="97">
        <v>49.2753448250081</v>
      </c>
      <c r="Y11" s="97">
        <v>13.4916773359626</v>
      </c>
      <c r="Z11" s="97">
        <v>8.02964474170033</v>
      </c>
      <c r="AA11" s="97">
        <v>78.4786779223371</v>
      </c>
      <c r="AB11" s="97">
        <v>0.265726536243795</v>
      </c>
      <c r="AC11" s="97">
        <v>1.41892775707711</v>
      </c>
      <c r="AD11" s="101">
        <v>0.401399999999995</v>
      </c>
      <c r="AE11" s="101">
        <v>1.40299999999999</v>
      </c>
      <c r="AF11" s="101">
        <v>2.7017</v>
      </c>
      <c r="AG11" s="97">
        <v>937.413080329124</v>
      </c>
      <c r="AH11" s="97">
        <v>105.9144</v>
      </c>
      <c r="AI11" s="97">
        <v>99.0604422867934</v>
      </c>
      <c r="AJ11" s="97">
        <v>106.6131</v>
      </c>
      <c r="AK11" s="92">
        <v>240.42719</v>
      </c>
      <c r="AL11" s="97">
        <v>13.9</v>
      </c>
      <c r="AM11" s="97">
        <v>0.5</v>
      </c>
      <c r="AN11" s="97">
        <v>11.4</v>
      </c>
      <c r="AO11" s="97">
        <v>0</v>
      </c>
      <c r="AP11" s="97">
        <v>5.1</v>
      </c>
      <c r="AQ11" s="97">
        <v>0.6</v>
      </c>
      <c r="AR11" s="97">
        <v>1.6</v>
      </c>
      <c r="AS11" s="97">
        <v>14.3415</v>
      </c>
      <c r="AT11" s="97">
        <v>33.5415</v>
      </c>
      <c r="AU11" s="97">
        <v>70.7007577753654</v>
      </c>
      <c r="AV11" s="97">
        <v>0</v>
      </c>
      <c r="AW11" s="90" t="s">
        <v>202</v>
      </c>
      <c r="AX11" s="90" t="s">
        <v>202</v>
      </c>
      <c r="AY11" s="90" t="s">
        <v>202</v>
      </c>
      <c r="AZ11" s="90" t="s">
        <v>212</v>
      </c>
      <c r="BA11" s="102" t="s">
        <v>202</v>
      </c>
      <c r="BB11" s="90" t="s">
        <v>134</v>
      </c>
      <c r="BC11" s="93">
        <v>6</v>
      </c>
      <c r="BD11" s="93">
        <v>7.40740740740741</v>
      </c>
      <c r="BE11" s="96">
        <f>U11/((VLOOKUP(B11,'Cell-Characteristics'!$B$4:$E$34,3,FALSE)*VLOOKUP(B11,'Cell-Characteristics'!$B$4:$E$34,4,FALSE)*3600)/1000)</f>
        <v>1.46811154040323</v>
      </c>
      <c r="BF11" s="90">
        <f t="shared" si="2"/>
        <v>21104.0871652309</v>
      </c>
      <c r="BG11" s="90">
        <f t="shared" si="0"/>
        <v>3593.49176538387</v>
      </c>
      <c r="BH11" s="90">
        <f t="shared" si="1"/>
        <v>18238.6441222223</v>
      </c>
      <c r="BI11" s="90">
        <f t="shared" si="3"/>
        <v>41802.1311288911</v>
      </c>
      <c r="BJ11" s="90">
        <f>BF11/((VLOOKUP(B11,'Cell-Characteristics'!$B$4:$Q$34,13,FALSE)))</f>
        <v>558.523373546396</v>
      </c>
      <c r="BK11" s="90">
        <f>BG11/((VLOOKUP(B11,'Cell-Characteristics'!$B$4:$Q$34,14,FALSE)))</f>
        <v>1352.10790300466</v>
      </c>
      <c r="BL11" s="90">
        <f>BH11/((VLOOKUP(B11,'Cell-Characteristics'!$B$4:$Q$34,15,FALSE)))</f>
        <v>6862.57725572163</v>
      </c>
      <c r="BM11" s="90">
        <f>BI11/((VLOOKUP(B11,'Cell-Characteristics'!$B$4:$Q$34,16,FALSE)))</f>
        <v>969.866870723316</v>
      </c>
      <c r="BN11" s="50">
        <f t="shared" si="4"/>
        <v>1.50203333333333</v>
      </c>
    </row>
    <row r="12" s="50" customFormat="1" ht="16.5" customHeight="1" spans="2:66">
      <c r="B12" s="90" t="s">
        <v>133</v>
      </c>
      <c r="C12" s="90" t="s">
        <v>225</v>
      </c>
      <c r="D12" s="90" t="s">
        <v>193</v>
      </c>
      <c r="E12" s="92" t="s">
        <v>194</v>
      </c>
      <c r="F12" s="93" t="s">
        <v>195</v>
      </c>
      <c r="G12" s="93" t="s">
        <v>196</v>
      </c>
      <c r="H12" s="94">
        <v>43813</v>
      </c>
      <c r="I12" s="95">
        <v>61</v>
      </c>
      <c r="J12" s="95">
        <v>100</v>
      </c>
      <c r="K12" s="96">
        <v>4.117</v>
      </c>
      <c r="L12" s="97">
        <v>47.4116</v>
      </c>
      <c r="M12" s="97">
        <v>47.8</v>
      </c>
      <c r="N12" s="97">
        <v>48.29</v>
      </c>
      <c r="O12" s="96" t="s">
        <v>197</v>
      </c>
      <c r="P12" s="96" t="s">
        <v>198</v>
      </c>
      <c r="Q12" s="98" t="s">
        <v>199</v>
      </c>
      <c r="R12" s="99">
        <v>53.8072564526827</v>
      </c>
      <c r="S12" s="100">
        <v>0.0518</v>
      </c>
      <c r="T12" s="100">
        <v>57.20439328213</v>
      </c>
      <c r="U12" s="97">
        <v>58.8418521575439</v>
      </c>
      <c r="V12" s="97">
        <v>13.715243950662</v>
      </c>
      <c r="W12" s="97">
        <v>13.9598482851471</v>
      </c>
      <c r="X12" s="97">
        <v>31.1667599217348</v>
      </c>
      <c r="Y12" s="97">
        <v>23.308654380798</v>
      </c>
      <c r="Z12" s="97">
        <v>23.7243522650695</v>
      </c>
      <c r="AA12" s="97">
        <v>52.9669933541325</v>
      </c>
      <c r="AB12" s="97">
        <v>0.430615965451464</v>
      </c>
      <c r="AC12" s="97">
        <v>1.20684290996239</v>
      </c>
      <c r="AD12" s="101">
        <v>1.70099999999999</v>
      </c>
      <c r="AE12" s="101">
        <v>1.8001</v>
      </c>
      <c r="AF12" s="101">
        <v>2.5004</v>
      </c>
      <c r="AG12" s="97">
        <v>948.688250522776</v>
      </c>
      <c r="AH12" s="97">
        <v>100.2492</v>
      </c>
      <c r="AI12" s="97">
        <v>94.932748830741</v>
      </c>
      <c r="AJ12" s="97">
        <v>102.7518</v>
      </c>
      <c r="AK12" s="92">
        <v>245.009025</v>
      </c>
      <c r="AL12" s="97">
        <v>21</v>
      </c>
      <c r="AM12" s="97">
        <v>0</v>
      </c>
      <c r="AN12" s="97">
        <v>2.9</v>
      </c>
      <c r="AO12" s="97">
        <v>0.600000000000001</v>
      </c>
      <c r="AP12" s="97">
        <v>1.5</v>
      </c>
      <c r="AQ12" s="97">
        <v>6.4</v>
      </c>
      <c r="AR12" s="97">
        <v>0</v>
      </c>
      <c r="AS12" s="97">
        <v>15.0116</v>
      </c>
      <c r="AT12" s="97">
        <v>26.4116</v>
      </c>
      <c r="AU12" s="97">
        <v>55.7070421584591</v>
      </c>
      <c r="AV12" s="97">
        <v>0</v>
      </c>
      <c r="AW12" s="90" t="s">
        <v>202</v>
      </c>
      <c r="AX12" s="90" t="s">
        <v>202</v>
      </c>
      <c r="AY12" s="90" t="s">
        <v>202</v>
      </c>
      <c r="AZ12" s="90" t="s">
        <v>203</v>
      </c>
      <c r="BA12" s="102" t="s">
        <v>202</v>
      </c>
      <c r="BB12" s="90" t="s">
        <v>134</v>
      </c>
      <c r="BC12" s="93">
        <v>2</v>
      </c>
      <c r="BD12" s="93">
        <v>2.46913580246914</v>
      </c>
      <c r="BE12" s="96">
        <f>U12/((VLOOKUP(B12,'Cell-Characteristics'!$B$4:$E$34,3,FALSE)*VLOOKUP(B12,'Cell-Characteristics'!$B$4:$E$34,4,FALSE)*3600)/1000)</f>
        <v>1.3758382939942</v>
      </c>
      <c r="BF12" s="90">
        <f t="shared" si="2"/>
        <v>8063.04759004237</v>
      </c>
      <c r="BG12" s="90">
        <f t="shared" si="0"/>
        <v>7755.0404339465</v>
      </c>
      <c r="BH12" s="90">
        <f t="shared" si="1"/>
        <v>12464.7096151555</v>
      </c>
      <c r="BI12" s="90">
        <f t="shared" si="3"/>
        <v>29413.5726856006</v>
      </c>
      <c r="BJ12" s="90">
        <f>BF12/((VLOOKUP(B12,'Cell-Characteristics'!$B$4:$Q$34,13,FALSE)))</f>
        <v>213.389970662886</v>
      </c>
      <c r="BK12" s="90">
        <f>BG12/((VLOOKUP(B12,'Cell-Characteristics'!$B$4:$Q$34,14,FALSE)))</f>
        <v>2917.95616727666</v>
      </c>
      <c r="BL12" s="90">
        <f>BH12/((VLOOKUP(B12,'Cell-Characteristics'!$B$4:$Q$34,15,FALSE)))</f>
        <v>4690.04341172034</v>
      </c>
      <c r="BM12" s="90">
        <f>BI12/((VLOOKUP(B12,'Cell-Characteristics'!$B$4:$Q$34,16,FALSE)))</f>
        <v>682.435295210582</v>
      </c>
      <c r="BN12" s="50">
        <f t="shared" si="4"/>
        <v>2.0005</v>
      </c>
    </row>
    <row r="13" s="50" customFormat="1" spans="2:66">
      <c r="B13" s="90" t="s">
        <v>133</v>
      </c>
      <c r="C13" s="91" t="s">
        <v>226</v>
      </c>
      <c r="D13" s="90" t="s">
        <v>227</v>
      </c>
      <c r="E13" s="92" t="s">
        <v>228</v>
      </c>
      <c r="F13" s="93" t="s">
        <v>229</v>
      </c>
      <c r="G13" s="93" t="s">
        <v>230</v>
      </c>
      <c r="H13" s="94">
        <v>43399</v>
      </c>
      <c r="I13" s="95">
        <v>1</v>
      </c>
      <c r="J13" s="95">
        <v>100</v>
      </c>
      <c r="K13" s="96">
        <v>4.141</v>
      </c>
      <c r="L13" s="97">
        <v>47.4114</v>
      </c>
      <c r="M13" s="97">
        <v>47.3</v>
      </c>
      <c r="N13" s="97">
        <v>51.1</v>
      </c>
      <c r="O13" s="92" t="s">
        <v>198</v>
      </c>
      <c r="P13" s="92" t="s">
        <v>198</v>
      </c>
      <c r="Q13" s="98" t="s">
        <v>199</v>
      </c>
      <c r="R13" s="99">
        <v>56.2711208759735</v>
      </c>
      <c r="S13" s="100">
        <v>0.031</v>
      </c>
      <c r="T13" s="100">
        <v>58.2181670227822</v>
      </c>
      <c r="U13" s="97">
        <v>59.7168751537002</v>
      </c>
      <c r="V13" s="97">
        <v>18.2493813074851</v>
      </c>
      <c r="W13" s="97">
        <v>14.8492713003522</v>
      </c>
      <c r="X13" s="97">
        <v>26.6182225458629</v>
      </c>
      <c r="Y13" s="97">
        <v>30.5598396776699</v>
      </c>
      <c r="Z13" s="97">
        <v>24.8661224522095</v>
      </c>
      <c r="AA13" s="97">
        <v>44.5740378701205</v>
      </c>
      <c r="AB13" s="97">
        <v>0.655708357737066</v>
      </c>
      <c r="AC13" s="97">
        <v>0.84299977318092</v>
      </c>
      <c r="AD13" s="103">
        <v>6.7259</v>
      </c>
      <c r="AE13" s="103">
        <v>1.7078</v>
      </c>
      <c r="AF13" s="103">
        <v>6.7259</v>
      </c>
      <c r="AG13" s="97">
        <v>965.358318134433</v>
      </c>
      <c r="AH13" s="97">
        <v>61.316</v>
      </c>
      <c r="AI13" s="97">
        <v>59.4471089865104</v>
      </c>
      <c r="AJ13" s="97"/>
      <c r="AK13" s="92">
        <v>296.68422</v>
      </c>
      <c r="AL13" s="97">
        <v>24.0452</v>
      </c>
      <c r="AM13" s="97">
        <v>0.5</v>
      </c>
      <c r="AN13" s="97">
        <v>2.35</v>
      </c>
      <c r="AO13" s="97">
        <v>0.32</v>
      </c>
      <c r="AP13" s="97">
        <v>1.2</v>
      </c>
      <c r="AQ13" s="97">
        <v>5.07</v>
      </c>
      <c r="AR13" s="97">
        <v>0.97</v>
      </c>
      <c r="AS13" s="97">
        <v>12.9562</v>
      </c>
      <c r="AT13" s="97">
        <f t="shared" ref="AT13:AT18" si="5">L13-AL13</f>
        <v>23.3662</v>
      </c>
      <c r="AU13" s="97">
        <f t="shared" ref="AU13:AU18" si="6">100*(AT13/L13)</f>
        <v>49.2839274942313</v>
      </c>
      <c r="AV13" s="97">
        <v>0</v>
      </c>
      <c r="AW13" s="90" t="s">
        <v>231</v>
      </c>
      <c r="AX13" s="90" t="s">
        <v>134</v>
      </c>
      <c r="AY13" s="90" t="s">
        <v>134</v>
      </c>
      <c r="AZ13" s="90" t="s">
        <v>212</v>
      </c>
      <c r="BA13" s="90" t="s">
        <v>204</v>
      </c>
      <c r="BB13" s="90" t="s">
        <v>232</v>
      </c>
      <c r="BC13" s="93">
        <v>5</v>
      </c>
      <c r="BD13" s="93">
        <v>10</v>
      </c>
      <c r="BE13" s="96">
        <f>U13/((VLOOKUP(B13,'Cell-Characteristics'!$B$4:$E$34,3,FALSE)*VLOOKUP(B13,'Cell-Characteristics'!$B$4:$E$34,4,FALSE)*3600)/1000)</f>
        <v>1.3962980535377</v>
      </c>
      <c r="BF13" s="90">
        <f t="shared" si="2"/>
        <v>2713.29952980048</v>
      </c>
      <c r="BG13" s="90">
        <f t="shared" si="0"/>
        <v>8694.97089843787</v>
      </c>
      <c r="BH13" s="90">
        <f t="shared" si="1"/>
        <v>3957.57036914955</v>
      </c>
      <c r="BI13" s="90">
        <f t="shared" si="3"/>
        <v>11817.6353901884</v>
      </c>
      <c r="BJ13" s="90">
        <f>BF13/((VLOOKUP(B13,'Cell-Characteristics'!$B$4:$Q$34,13,FALSE)))</f>
        <v>71.8079486196738</v>
      </c>
      <c r="BK13" s="90">
        <f>BG13/((VLOOKUP(B13,'Cell-Characteristics'!$B$4:$Q$34,14,FALSE)))</f>
        <v>3271.61981597514</v>
      </c>
      <c r="BL13" s="90">
        <f>BH13/((VLOOKUP(B13,'Cell-Characteristics'!$B$4:$Q$34,15,FALSE)))</f>
        <v>1489.09821482575</v>
      </c>
      <c r="BM13" s="90">
        <f>BI13/((VLOOKUP(B13,'Cell-Characteristics'!$B$4:$Q$34,16,FALSE)))</f>
        <v>274.185376336224</v>
      </c>
      <c r="BN13" s="50">
        <f t="shared" si="4"/>
        <v>5.0532</v>
      </c>
    </row>
    <row r="14" s="50" customFormat="1" spans="2:66">
      <c r="B14" s="90" t="s">
        <v>133</v>
      </c>
      <c r="C14" s="91" t="s">
        <v>233</v>
      </c>
      <c r="D14" s="90" t="s">
        <v>227</v>
      </c>
      <c r="E14" s="92" t="s">
        <v>228</v>
      </c>
      <c r="F14" s="93" t="s">
        <v>229</v>
      </c>
      <c r="G14" s="93" t="s">
        <v>230</v>
      </c>
      <c r="H14" s="94">
        <v>43399</v>
      </c>
      <c r="I14" s="95">
        <v>2</v>
      </c>
      <c r="J14" s="95">
        <v>100</v>
      </c>
      <c r="K14" s="96">
        <v>4.141</v>
      </c>
      <c r="L14" s="97">
        <v>47.5045</v>
      </c>
      <c r="M14" s="97">
        <v>50.5</v>
      </c>
      <c r="N14" s="97">
        <v>48.5</v>
      </c>
      <c r="O14" s="92" t="s">
        <v>198</v>
      </c>
      <c r="P14" s="92" t="s">
        <v>198</v>
      </c>
      <c r="Q14" s="98" t="s">
        <v>199</v>
      </c>
      <c r="R14" s="99">
        <v>59.4595626474031</v>
      </c>
      <c r="S14" s="100">
        <v>0.03</v>
      </c>
      <c r="T14" s="100">
        <v>61.1786658363168</v>
      </c>
      <c r="U14" s="97">
        <v>62.3791229988472</v>
      </c>
      <c r="V14" s="97">
        <v>21.6624491863067</v>
      </c>
      <c r="W14" s="97">
        <v>8.2504729757873</v>
      </c>
      <c r="X14" s="97">
        <v>32.4662008367532</v>
      </c>
      <c r="Y14" s="97">
        <v>34.7270819865599</v>
      </c>
      <c r="Z14" s="97">
        <v>13.2263369203504</v>
      </c>
      <c r="AA14" s="97">
        <v>52.0465810930897</v>
      </c>
      <c r="AB14" s="97">
        <v>0.300721341799515</v>
      </c>
      <c r="AC14" s="97">
        <v>0.89973582073089</v>
      </c>
      <c r="AD14" s="103">
        <v>5.3216</v>
      </c>
      <c r="AE14" s="103">
        <v>2.3083</v>
      </c>
      <c r="AF14" s="103">
        <v>2.71</v>
      </c>
      <c r="AG14" s="97">
        <v>969.93280026205</v>
      </c>
      <c r="AH14" s="97">
        <v>85.1825</v>
      </c>
      <c r="AI14" s="97">
        <v>82.6809047897327</v>
      </c>
      <c r="AJ14" s="97"/>
      <c r="AK14" s="92">
        <v>247.77281</v>
      </c>
      <c r="AL14" s="97">
        <v>24.0963</v>
      </c>
      <c r="AM14" s="97">
        <v>0.34</v>
      </c>
      <c r="AN14" s="97">
        <v>1.04</v>
      </c>
      <c r="AO14" s="97">
        <v>0.3127</v>
      </c>
      <c r="AP14" s="97">
        <v>3.253</v>
      </c>
      <c r="AQ14" s="97">
        <v>5.83</v>
      </c>
      <c r="AR14" s="97">
        <v>0.822</v>
      </c>
      <c r="AS14" s="97">
        <v>11.8105</v>
      </c>
      <c r="AT14" s="97">
        <f t="shared" si="5"/>
        <v>23.4082</v>
      </c>
      <c r="AU14" s="97">
        <f t="shared" si="6"/>
        <v>49.2757528234167</v>
      </c>
      <c r="AV14" s="97">
        <v>0</v>
      </c>
      <c r="AW14" s="90" t="s">
        <v>234</v>
      </c>
      <c r="AX14" s="90" t="s">
        <v>134</v>
      </c>
      <c r="AY14" s="90" t="s">
        <v>134</v>
      </c>
      <c r="AZ14" s="90" t="s">
        <v>212</v>
      </c>
      <c r="BA14" s="90" t="s">
        <v>204</v>
      </c>
      <c r="BB14" s="90" t="s">
        <v>235</v>
      </c>
      <c r="BC14" s="93">
        <v>7</v>
      </c>
      <c r="BD14" s="93">
        <v>14</v>
      </c>
      <c r="BE14" s="96">
        <f>U14/((VLOOKUP(B14,'Cell-Characteristics'!$B$4:$E$34,3,FALSE)*VLOOKUP(B14,'Cell-Characteristics'!$B$4:$E$34,4,FALSE)*3600)/1000)</f>
        <v>1.45854664699886</v>
      </c>
      <c r="BF14" s="90">
        <f t="shared" si="2"/>
        <v>4070.66468473893</v>
      </c>
      <c r="BG14" s="90">
        <f t="shared" si="0"/>
        <v>3574.26373339137</v>
      </c>
      <c r="BH14" s="90">
        <f t="shared" si="1"/>
        <v>11980.147910241</v>
      </c>
      <c r="BI14" s="90">
        <f t="shared" si="3"/>
        <v>18098.5666202325</v>
      </c>
      <c r="BJ14" s="90">
        <f>BF14/((VLOOKUP(B14,'Cell-Characteristics'!$B$4:$Q$34,13,FALSE)))</f>
        <v>107.730855852523</v>
      </c>
      <c r="BK14" s="90">
        <f>BG14/((VLOOKUP(B14,'Cell-Characteristics'!$B$4:$Q$34,14,FALSE)))</f>
        <v>1344.87305297196</v>
      </c>
      <c r="BL14" s="90">
        <f>BH14/((VLOOKUP(B14,'Cell-Characteristics'!$B$4:$Q$34,15,FALSE)))</f>
        <v>4507.71943451811</v>
      </c>
      <c r="BM14" s="90">
        <f>BI14/((VLOOKUP(B14,'Cell-Characteristics'!$B$4:$Q$34,16,FALSE)))</f>
        <v>419.911609731558</v>
      </c>
      <c r="BN14" s="50">
        <f t="shared" si="4"/>
        <v>3.44663333333333</v>
      </c>
    </row>
    <row r="15" s="50" customFormat="1" spans="2:66">
      <c r="B15" s="90" t="s">
        <v>133</v>
      </c>
      <c r="C15" s="91" t="s">
        <v>236</v>
      </c>
      <c r="D15" s="90" t="s">
        <v>227</v>
      </c>
      <c r="E15" s="92" t="s">
        <v>228</v>
      </c>
      <c r="F15" s="93" t="s">
        <v>229</v>
      </c>
      <c r="G15" s="93" t="s">
        <v>230</v>
      </c>
      <c r="H15" s="94">
        <v>43399</v>
      </c>
      <c r="I15" s="95">
        <v>4</v>
      </c>
      <c r="J15" s="95">
        <v>100</v>
      </c>
      <c r="K15" s="96">
        <v>4.141</v>
      </c>
      <c r="L15" s="97">
        <v>47.2836</v>
      </c>
      <c r="M15" s="97">
        <v>46.6</v>
      </c>
      <c r="N15" s="97">
        <v>47.9</v>
      </c>
      <c r="O15" s="92" t="s">
        <v>197</v>
      </c>
      <c r="P15" s="92" t="s">
        <v>198</v>
      </c>
      <c r="Q15" s="98" t="s">
        <v>199</v>
      </c>
      <c r="R15" s="99">
        <v>62.0543684742999</v>
      </c>
      <c r="S15" s="100">
        <v>0.032</v>
      </c>
      <c r="T15" s="100">
        <v>63.2884716997807</v>
      </c>
      <c r="U15" s="97">
        <v>65.6539203615649</v>
      </c>
      <c r="V15" s="97">
        <v>14.2828502701324</v>
      </c>
      <c r="W15" s="97">
        <v>3.01900265724917</v>
      </c>
      <c r="X15" s="97">
        <v>48.3520674341834</v>
      </c>
      <c r="Y15" s="97">
        <v>21.7547561386659</v>
      </c>
      <c r="Z15" s="97">
        <v>4.59835854526755</v>
      </c>
      <c r="AA15" s="97">
        <v>73.6468853160665</v>
      </c>
      <c r="AB15" s="97">
        <v>0.32984037969441</v>
      </c>
      <c r="AC15" s="97">
        <v>2.03560828208985</v>
      </c>
      <c r="AD15" s="103">
        <v>8.5418</v>
      </c>
      <c r="AE15" s="103">
        <v>1.906</v>
      </c>
      <c r="AF15" s="103">
        <v>1.6052</v>
      </c>
      <c r="AG15" s="97">
        <v>977.87384934515</v>
      </c>
      <c r="AH15" s="97">
        <v>87.0302</v>
      </c>
      <c r="AI15" s="97">
        <v>85.1294059524959</v>
      </c>
      <c r="AJ15" s="97"/>
      <c r="AK15" s="92">
        <v>252.18554</v>
      </c>
      <c r="AL15" s="97">
        <v>21.6271</v>
      </c>
      <c r="AM15" s="97">
        <v>0.3698</v>
      </c>
      <c r="AN15" s="97">
        <v>0.4313</v>
      </c>
      <c r="AO15" s="97">
        <v>0.2054</v>
      </c>
      <c r="AP15" s="97">
        <v>1.6174</v>
      </c>
      <c r="AQ15" s="97">
        <v>8.4075</v>
      </c>
      <c r="AR15" s="97">
        <v>0.5721</v>
      </c>
      <c r="AS15" s="97">
        <v>14.053</v>
      </c>
      <c r="AT15" s="97">
        <f t="shared" si="5"/>
        <v>25.6565</v>
      </c>
      <c r="AU15" s="97">
        <f t="shared" si="6"/>
        <v>54.2608853809778</v>
      </c>
      <c r="AV15" s="97">
        <v>0</v>
      </c>
      <c r="AW15" s="90" t="s">
        <v>237</v>
      </c>
      <c r="AX15" s="90" t="s">
        <v>134</v>
      </c>
      <c r="AY15" s="90" t="s">
        <v>134</v>
      </c>
      <c r="AZ15" s="90" t="s">
        <v>203</v>
      </c>
      <c r="BA15" s="90" t="s">
        <v>204</v>
      </c>
      <c r="BB15" s="90" t="s">
        <v>235</v>
      </c>
      <c r="BC15" s="93">
        <v>6</v>
      </c>
      <c r="BD15" s="93">
        <v>12</v>
      </c>
      <c r="BE15" s="96">
        <f>U15/((VLOOKUP(B15,'Cell-Characteristics'!$B$4:$E$34,3,FALSE)*VLOOKUP(B15,'Cell-Characteristics'!$B$4:$E$34,4,FALSE)*3600)/1000)</f>
        <v>1.53511785357194</v>
      </c>
      <c r="BF15" s="90">
        <f t="shared" si="2"/>
        <v>1672.11246694284</v>
      </c>
      <c r="BG15" s="90">
        <f t="shared" si="0"/>
        <v>1583.94682961657</v>
      </c>
      <c r="BH15" s="90">
        <f t="shared" si="1"/>
        <v>30122.1451745473</v>
      </c>
      <c r="BI15" s="90">
        <f t="shared" si="3"/>
        <v>16341.3059889401</v>
      </c>
      <c r="BJ15" s="90">
        <f>BF15/((VLOOKUP(B15,'Cell-Characteristics'!$B$4:$Q$34,13,FALSE)))</f>
        <v>44.2527501272139</v>
      </c>
      <c r="BK15" s="90">
        <f>BG15/((VLOOKUP(B15,'Cell-Characteristics'!$B$4:$Q$34,14,FALSE)))</f>
        <v>595.984954493127</v>
      </c>
      <c r="BL15" s="90">
        <f>BH15/((VLOOKUP(B15,'Cell-Characteristics'!$B$4:$Q$34,15,FALSE)))</f>
        <v>11333.9317869867</v>
      </c>
      <c r="BM15" s="90">
        <f>BI15/((VLOOKUP(B15,'Cell-Characteristics'!$B$4:$Q$34,16,FALSE)))</f>
        <v>379.140748928748</v>
      </c>
      <c r="BN15" s="50">
        <f t="shared" si="4"/>
        <v>4.01766666666667</v>
      </c>
    </row>
    <row r="16" s="50" customFormat="1" spans="2:66">
      <c r="B16" s="90" t="s">
        <v>133</v>
      </c>
      <c r="C16" s="91" t="s">
        <v>238</v>
      </c>
      <c r="D16" s="90" t="s">
        <v>227</v>
      </c>
      <c r="E16" s="92" t="s">
        <v>228</v>
      </c>
      <c r="F16" s="93" t="s">
        <v>229</v>
      </c>
      <c r="G16" s="93" t="s">
        <v>230</v>
      </c>
      <c r="H16" s="94">
        <v>43399</v>
      </c>
      <c r="I16" s="95">
        <v>5</v>
      </c>
      <c r="J16" s="95">
        <v>100</v>
      </c>
      <c r="K16" s="96">
        <v>4.14</v>
      </c>
      <c r="L16" s="97">
        <v>47.3373</v>
      </c>
      <c r="M16" s="97">
        <v>48</v>
      </c>
      <c r="N16" s="97">
        <v>45.8</v>
      </c>
      <c r="O16" s="92" t="s">
        <v>197</v>
      </c>
      <c r="P16" s="92" t="s">
        <v>198</v>
      </c>
      <c r="Q16" s="98" t="s">
        <v>199</v>
      </c>
      <c r="R16" s="99">
        <v>51.3552244016705</v>
      </c>
      <c r="S16" s="100">
        <v>0.032</v>
      </c>
      <c r="T16" s="100">
        <v>55.0227284818386</v>
      </c>
      <c r="U16" s="97">
        <v>56.0541959951666</v>
      </c>
      <c r="V16" s="97">
        <v>20.0014437197225</v>
      </c>
      <c r="W16" s="97">
        <v>23.2850127752595</v>
      </c>
      <c r="X16" s="97">
        <v>12.7677395001846</v>
      </c>
      <c r="Y16" s="97">
        <v>35.6823309381641</v>
      </c>
      <c r="Z16" s="97">
        <v>41.540177968599</v>
      </c>
      <c r="AA16" s="97">
        <v>22.7774910932369</v>
      </c>
      <c r="AB16" s="97">
        <v>0.579549991490313</v>
      </c>
      <c r="AC16" s="97">
        <v>0.451917521837718</v>
      </c>
      <c r="AD16" s="103">
        <v>5.9305</v>
      </c>
      <c r="AE16" s="103">
        <v>3.216</v>
      </c>
      <c r="AF16" s="103">
        <v>5.9305</v>
      </c>
      <c r="AG16" s="97">
        <v>971.221204862895</v>
      </c>
      <c r="AH16" s="97">
        <v>91.3962</v>
      </c>
      <c r="AI16" s="97">
        <v>88.7880923228318</v>
      </c>
      <c r="AJ16" s="97"/>
      <c r="AK16" s="92">
        <v>245.20037</v>
      </c>
      <c r="AL16" s="97">
        <v>23.1129</v>
      </c>
      <c r="AM16" s="97">
        <v>5.6031</v>
      </c>
      <c r="AN16" s="97">
        <v>2.8547</v>
      </c>
      <c r="AO16" s="97">
        <v>0.5923</v>
      </c>
      <c r="AP16" s="97">
        <v>0.403</v>
      </c>
      <c r="AQ16" s="97">
        <v>3.0516</v>
      </c>
      <c r="AR16" s="97">
        <v>0.1854</v>
      </c>
      <c r="AS16" s="97">
        <v>11.5343</v>
      </c>
      <c r="AT16" s="97">
        <f t="shared" si="5"/>
        <v>24.2244</v>
      </c>
      <c r="AU16" s="97">
        <f t="shared" si="6"/>
        <v>51.1740213320151</v>
      </c>
      <c r="AV16" s="97">
        <v>0</v>
      </c>
      <c r="AW16" s="90" t="s">
        <v>239</v>
      </c>
      <c r="AX16" s="90" t="s">
        <v>134</v>
      </c>
      <c r="AY16" s="90" t="s">
        <v>134</v>
      </c>
      <c r="AZ16" s="90" t="s">
        <v>203</v>
      </c>
      <c r="BA16" s="90" t="s">
        <v>204</v>
      </c>
      <c r="BB16" s="90" t="s">
        <v>235</v>
      </c>
      <c r="BC16" s="93">
        <v>8</v>
      </c>
      <c r="BD16" s="93">
        <v>16</v>
      </c>
      <c r="BE16" s="96">
        <f>U16/((VLOOKUP(B16,'Cell-Characteristics'!$B$4:$E$34,3,FALSE)*VLOOKUP(B16,'Cell-Characteristics'!$B$4:$E$34,4,FALSE)*3600)/1000)</f>
        <v>1.31065740729439</v>
      </c>
      <c r="BF16" s="90">
        <f t="shared" si="2"/>
        <v>3372.64037091687</v>
      </c>
      <c r="BG16" s="90">
        <f t="shared" si="0"/>
        <v>7240.36466892397</v>
      </c>
      <c r="BH16" s="90">
        <f t="shared" si="1"/>
        <v>2152.89427538735</v>
      </c>
      <c r="BI16" s="90">
        <f t="shared" si="3"/>
        <v>11153.5841338131</v>
      </c>
      <c r="BJ16" s="90">
        <f>BF16/((VLOOKUP(B16,'Cell-Characteristics'!$B$4:$Q$34,13,FALSE)))</f>
        <v>89.257519786341</v>
      </c>
      <c r="BK16" s="90">
        <f>BG16/((VLOOKUP(B16,'Cell-Characteristics'!$B$4:$Q$34,14,FALSE)))</f>
        <v>2724.30130042111</v>
      </c>
      <c r="BL16" s="90">
        <f>BH16/((VLOOKUP(B16,'Cell-Characteristics'!$B$4:$Q$34,15,FALSE)))</f>
        <v>810.060396443892</v>
      </c>
      <c r="BM16" s="90">
        <f>BI16/((VLOOKUP(B16,'Cell-Characteristics'!$B$4:$Q$34,16,FALSE)))</f>
        <v>258.778474902542</v>
      </c>
      <c r="BN16" s="50">
        <f t="shared" si="4"/>
        <v>5.02566666666667</v>
      </c>
    </row>
    <row r="17" s="50" customFormat="1" spans="2:66">
      <c r="B17" s="90" t="s">
        <v>133</v>
      </c>
      <c r="C17" s="91" t="s">
        <v>240</v>
      </c>
      <c r="D17" s="90" t="s">
        <v>227</v>
      </c>
      <c r="E17" s="92" t="s">
        <v>228</v>
      </c>
      <c r="F17" s="93" t="s">
        <v>229</v>
      </c>
      <c r="G17" s="93" t="s">
        <v>230</v>
      </c>
      <c r="H17" s="94">
        <v>43402</v>
      </c>
      <c r="I17" s="95">
        <v>6</v>
      </c>
      <c r="J17" s="95">
        <v>100</v>
      </c>
      <c r="K17" s="96">
        <v>4.138</v>
      </c>
      <c r="L17" s="97">
        <v>47.4078</v>
      </c>
      <c r="M17" s="97">
        <v>47.7</v>
      </c>
      <c r="N17" s="97">
        <v>47.9</v>
      </c>
      <c r="O17" s="92" t="s">
        <v>198</v>
      </c>
      <c r="P17" s="92" t="s">
        <v>198</v>
      </c>
      <c r="Q17" s="98" t="s">
        <v>199</v>
      </c>
      <c r="R17" s="99">
        <v>56.529139019955</v>
      </c>
      <c r="S17" s="100">
        <v>0.031</v>
      </c>
      <c r="T17" s="100">
        <v>61.5108063963622</v>
      </c>
      <c r="U17" s="97">
        <v>63.0663172464451</v>
      </c>
      <c r="V17" s="97">
        <v>21.1521660305432</v>
      </c>
      <c r="W17" s="97">
        <v>21.5940161129451</v>
      </c>
      <c r="X17" s="97">
        <v>20.3201351029568</v>
      </c>
      <c r="Y17" s="97">
        <v>33.539561138296</v>
      </c>
      <c r="Z17" s="97">
        <v>34.2401729730973</v>
      </c>
      <c r="AA17" s="97">
        <v>32.2202658886067</v>
      </c>
      <c r="AB17" s="97">
        <v>1.00111142202133</v>
      </c>
      <c r="AC17" s="97">
        <v>0.554399428061556</v>
      </c>
      <c r="AD17" s="103">
        <v>3.7136</v>
      </c>
      <c r="AE17" s="103">
        <v>3.7136</v>
      </c>
      <c r="AF17" s="103">
        <v>2.8091</v>
      </c>
      <c r="AG17" s="97">
        <v>24.4499826726311</v>
      </c>
      <c r="AH17" s="97">
        <v>94.0284999999999</v>
      </c>
      <c r="AI17" s="97">
        <v>0.00936374502591863</v>
      </c>
      <c r="AJ17" s="97"/>
      <c r="AK17" s="92">
        <v>226.20204</v>
      </c>
      <c r="AL17" s="97">
        <v>20.34</v>
      </c>
      <c r="AM17" s="97">
        <v>0.9</v>
      </c>
      <c r="AN17" s="97">
        <v>3.49</v>
      </c>
      <c r="AO17" s="97">
        <v>0.27</v>
      </c>
      <c r="AP17" s="97">
        <v>1.77</v>
      </c>
      <c r="AQ17" s="97">
        <v>6.31</v>
      </c>
      <c r="AR17" s="97">
        <v>0.36</v>
      </c>
      <c r="AS17" s="97">
        <v>13.9678</v>
      </c>
      <c r="AT17" s="97">
        <f t="shared" si="5"/>
        <v>27.0678</v>
      </c>
      <c r="AU17" s="97">
        <f t="shared" si="6"/>
        <v>57.095667801501</v>
      </c>
      <c r="AV17" s="97">
        <v>0</v>
      </c>
      <c r="AW17" s="90" t="s">
        <v>241</v>
      </c>
      <c r="AX17" s="90" t="s">
        <v>134</v>
      </c>
      <c r="AY17" s="90" t="s">
        <v>134</v>
      </c>
      <c r="AZ17" s="90" t="s">
        <v>212</v>
      </c>
      <c r="BA17" s="90" t="s">
        <v>204</v>
      </c>
      <c r="BB17" s="90" t="s">
        <v>242</v>
      </c>
      <c r="BC17" s="93">
        <v>11</v>
      </c>
      <c r="BD17" s="93">
        <v>22</v>
      </c>
      <c r="BE17" s="96">
        <f>U17/((VLOOKUP(B17,'Cell-Characteristics'!$B$4:$E$34,3,FALSE)*VLOOKUP(B17,'Cell-Characteristics'!$B$4:$E$34,4,FALSE)*3600)/1000)</f>
        <v>1.47461460078669</v>
      </c>
      <c r="BF17" s="90">
        <f t="shared" si="2"/>
        <v>5695.8654756956</v>
      </c>
      <c r="BG17" s="90">
        <f t="shared" si="0"/>
        <v>5814.84707909982</v>
      </c>
      <c r="BH17" s="90">
        <f t="shared" si="1"/>
        <v>7233.68164285956</v>
      </c>
      <c r="BI17" s="90">
        <f t="shared" si="3"/>
        <v>18483.138608612</v>
      </c>
      <c r="BJ17" s="90">
        <f>BF17/((VLOOKUP(B17,'Cell-Characteristics'!$B$4:$Q$34,13,FALSE)))</f>
        <v>150.742080235203</v>
      </c>
      <c r="BK17" s="90">
        <f>BG17/((VLOOKUP(B17,'Cell-Characteristics'!$B$4:$Q$34,14,FALSE)))</f>
        <v>2187.92784392941</v>
      </c>
      <c r="BL17" s="90">
        <f>BH17/((VLOOKUP(B17,'Cell-Characteristics'!$B$4:$Q$34,15,FALSE)))</f>
        <v>2721.78670655318</v>
      </c>
      <c r="BM17" s="90">
        <f>BI17/((VLOOKUP(B17,'Cell-Characteristics'!$B$4:$Q$34,16,FALSE)))</f>
        <v>428.834208194002</v>
      </c>
      <c r="BN17" s="50">
        <f t="shared" si="4"/>
        <v>3.4121</v>
      </c>
    </row>
    <row r="18" s="50" customFormat="1" spans="2:66">
      <c r="B18" s="90" t="s">
        <v>133</v>
      </c>
      <c r="C18" s="91" t="s">
        <v>243</v>
      </c>
      <c r="D18" s="90" t="s">
        <v>244</v>
      </c>
      <c r="E18" s="92" t="s">
        <v>228</v>
      </c>
      <c r="F18" s="93" t="s">
        <v>245</v>
      </c>
      <c r="G18" s="93" t="s">
        <v>246</v>
      </c>
      <c r="H18" s="94">
        <v>43512</v>
      </c>
      <c r="I18" s="95">
        <v>22</v>
      </c>
      <c r="J18" s="95">
        <v>100</v>
      </c>
      <c r="K18" s="96">
        <v>4.136</v>
      </c>
      <c r="L18" s="97">
        <v>45.951</v>
      </c>
      <c r="M18" s="97">
        <v>48.5</v>
      </c>
      <c r="N18" s="97">
        <v>49.6</v>
      </c>
      <c r="O18" s="96" t="s">
        <v>198</v>
      </c>
      <c r="P18" s="96" t="s">
        <v>198</v>
      </c>
      <c r="Q18" s="98" t="s">
        <v>199</v>
      </c>
      <c r="R18" s="99">
        <v>52.2752117255097</v>
      </c>
      <c r="S18" s="100">
        <v>0.039</v>
      </c>
      <c r="T18" s="100">
        <v>53.8252897013904</v>
      </c>
      <c r="U18" s="97">
        <v>54.7107307670736</v>
      </c>
      <c r="V18" s="97">
        <v>14.8841847317132</v>
      </c>
      <c r="W18" s="97">
        <v>7.83945224703359</v>
      </c>
      <c r="X18" s="97">
        <v>31.9870937883268</v>
      </c>
      <c r="Y18" s="97">
        <v>27.2052383929605</v>
      </c>
      <c r="Z18" s="97">
        <v>14.3289115994619</v>
      </c>
      <c r="AA18" s="97">
        <v>58.4658500075776</v>
      </c>
      <c r="AB18" s="97">
        <v>0.24431569033677</v>
      </c>
      <c r="AC18" s="97">
        <v>0.64112537534643</v>
      </c>
      <c r="AD18" s="103">
        <v>1.1062</v>
      </c>
      <c r="AE18" s="103">
        <v>2.3087</v>
      </c>
      <c r="AF18" s="103">
        <v>2.2139</v>
      </c>
      <c r="AG18" s="97">
        <v>963.164628180056</v>
      </c>
      <c r="AH18" s="97">
        <v>109.0104</v>
      </c>
      <c r="AI18" s="97">
        <v>105.128502075899</v>
      </c>
      <c r="AJ18" s="97"/>
      <c r="AK18" s="92">
        <v>225.77041</v>
      </c>
      <c r="AL18" s="97">
        <v>22.7</v>
      </c>
      <c r="AM18" s="97">
        <v>1.4</v>
      </c>
      <c r="AN18" s="97">
        <v>5</v>
      </c>
      <c r="AO18" s="97">
        <v>0.9</v>
      </c>
      <c r="AP18" s="97">
        <v>4.44</v>
      </c>
      <c r="AQ18" s="97">
        <v>1.2</v>
      </c>
      <c r="AR18" s="97">
        <v>1.64</v>
      </c>
      <c r="AS18" s="97">
        <v>8.671</v>
      </c>
      <c r="AT18" s="97">
        <f t="shared" si="5"/>
        <v>23.251</v>
      </c>
      <c r="AU18" s="97">
        <f t="shared" si="6"/>
        <v>50.5995516963722</v>
      </c>
      <c r="AV18" s="97">
        <v>0</v>
      </c>
      <c r="AW18" s="90" t="s">
        <v>247</v>
      </c>
      <c r="AX18" s="90" t="s">
        <v>248</v>
      </c>
      <c r="AY18" s="90" t="s">
        <v>249</v>
      </c>
      <c r="AZ18" s="90" t="s">
        <v>212</v>
      </c>
      <c r="BA18" s="90" t="s">
        <v>204</v>
      </c>
      <c r="BB18" s="90" t="s">
        <v>250</v>
      </c>
      <c r="BC18" s="93">
        <v>4</v>
      </c>
      <c r="BD18" s="93">
        <v>8</v>
      </c>
      <c r="BE18" s="96">
        <f>U18/((VLOOKUP(B18,'Cell-Characteristics'!$B$4:$E$34,3,FALSE)*VLOOKUP(B18,'Cell-Characteristics'!$B$4:$E$34,4,FALSE)*3600)/1000)</f>
        <v>1.27924454655522</v>
      </c>
      <c r="BF18" s="90">
        <f t="shared" si="2"/>
        <v>13455.2384123243</v>
      </c>
      <c r="BG18" s="90">
        <f t="shared" si="0"/>
        <v>3395.61322260735</v>
      </c>
      <c r="BH18" s="90">
        <f t="shared" si="1"/>
        <v>14448.3010923379</v>
      </c>
      <c r="BI18" s="90">
        <f t="shared" si="3"/>
        <v>29159.3576430537</v>
      </c>
      <c r="BJ18" s="90">
        <f>BF18/((VLOOKUP(B18,'Cell-Characteristics'!$B$4:$Q$34,13,FALSE)))</f>
        <v>356.095247858129</v>
      </c>
      <c r="BK18" s="90">
        <f>BG18/((VLOOKUP(B18,'Cell-Characteristics'!$B$4:$Q$34,14,FALSE)))</f>
        <v>1277.65298311295</v>
      </c>
      <c r="BL18" s="90">
        <f>BH18/((VLOOKUP(B18,'Cell-Characteristics'!$B$4:$Q$34,15,FALSE)))</f>
        <v>5436.40096246444</v>
      </c>
      <c r="BM18" s="90">
        <f>BI18/((VLOOKUP(B18,'Cell-Characteristics'!$B$4:$Q$34,16,FALSE)))</f>
        <v>676.537156978215</v>
      </c>
      <c r="BN18" s="50">
        <f t="shared" si="4"/>
        <v>1.87626666666667</v>
      </c>
    </row>
    <row r="19" s="50" customFormat="1" spans="2:66">
      <c r="B19" s="90" t="s">
        <v>133</v>
      </c>
      <c r="C19" s="91" t="s">
        <v>251</v>
      </c>
      <c r="D19" s="90" t="s">
        <v>193</v>
      </c>
      <c r="E19" s="92" t="s">
        <v>228</v>
      </c>
      <c r="F19" s="93" t="s">
        <v>195</v>
      </c>
      <c r="G19" s="93" t="s">
        <v>196</v>
      </c>
      <c r="H19" s="94">
        <v>43811</v>
      </c>
      <c r="I19" s="95" t="s">
        <v>252</v>
      </c>
      <c r="J19" s="95">
        <v>100</v>
      </c>
      <c r="K19" s="96">
        <v>4.131</v>
      </c>
      <c r="L19" s="97">
        <v>45.9</v>
      </c>
      <c r="M19" s="97">
        <v>48</v>
      </c>
      <c r="N19" s="97">
        <v>46.4</v>
      </c>
      <c r="O19" s="96" t="s">
        <v>197</v>
      </c>
      <c r="P19" s="96" t="s">
        <v>198</v>
      </c>
      <c r="Q19" s="98" t="s">
        <v>199</v>
      </c>
      <c r="R19" s="99">
        <v>59.4780599858932</v>
      </c>
      <c r="S19" s="100">
        <v>0.0442</v>
      </c>
      <c r="T19" s="100">
        <v>61.6707867234668</v>
      </c>
      <c r="U19" s="97">
        <v>64.2497337498848</v>
      </c>
      <c r="V19" s="97">
        <v>13.8864848382216</v>
      </c>
      <c r="W19" s="97">
        <v>9.05127840502581</v>
      </c>
      <c r="X19" s="97">
        <v>41.3119705066374</v>
      </c>
      <c r="Y19" s="97">
        <v>21.6132955387484</v>
      </c>
      <c r="Z19" s="97">
        <v>14.0876512271026</v>
      </c>
      <c r="AA19" s="97">
        <v>64.299053234149</v>
      </c>
      <c r="AB19" s="97">
        <v>0.516008873844</v>
      </c>
      <c r="AC19" s="97">
        <v>2.062938152574</v>
      </c>
      <c r="AD19" s="104">
        <v>2.81180000000001</v>
      </c>
      <c r="AE19" s="104">
        <v>0.905199999999994</v>
      </c>
      <c r="AF19" s="104">
        <v>2.1103</v>
      </c>
      <c r="AG19" s="97">
        <v>947.325285320238</v>
      </c>
      <c r="AH19" s="97">
        <v>102.051</v>
      </c>
      <c r="AI19" s="97">
        <v>96.4586286276959</v>
      </c>
      <c r="AJ19" s="97">
        <v>111.9611</v>
      </c>
      <c r="AK19" s="92">
        <v>235.511085</v>
      </c>
      <c r="AL19" s="97">
        <v>14.3</v>
      </c>
      <c r="AM19" s="97">
        <v>1.9</v>
      </c>
      <c r="AN19" s="97">
        <v>3.3</v>
      </c>
      <c r="AO19" s="97">
        <v>0.899999999999999</v>
      </c>
      <c r="AP19" s="97">
        <v>2.9</v>
      </c>
      <c r="AQ19" s="97">
        <v>5.8</v>
      </c>
      <c r="AR19" s="97">
        <v>0.600000000000001</v>
      </c>
      <c r="AS19" s="97">
        <v>16.2</v>
      </c>
      <c r="AT19" s="97">
        <v>31.6</v>
      </c>
      <c r="AU19" s="97">
        <v>68.8453159041395</v>
      </c>
      <c r="AV19" s="97">
        <v>0</v>
      </c>
      <c r="AW19" s="90" t="s">
        <v>253</v>
      </c>
      <c r="AX19" s="90" t="s">
        <v>254</v>
      </c>
      <c r="AY19" s="90" t="s">
        <v>202</v>
      </c>
      <c r="AZ19" s="90" t="s">
        <v>203</v>
      </c>
      <c r="BA19" s="90" t="s">
        <v>204</v>
      </c>
      <c r="BB19" s="90" t="s">
        <v>134</v>
      </c>
      <c r="BC19" s="93">
        <v>4</v>
      </c>
      <c r="BD19" s="93">
        <v>4.93827160493827</v>
      </c>
      <c r="BE19" s="96">
        <f>U19/((VLOOKUP(B19,'Cell-Characteristics'!$B$4:$E$34,3,FALSE)*VLOOKUP(B19,'Cell-Characteristics'!$B$4:$E$34,4,FALSE)*3600)/1000)</f>
        <v>1.50228520739536</v>
      </c>
      <c r="BF19" s="90">
        <f t="shared" si="2"/>
        <v>4938.64600548458</v>
      </c>
      <c r="BG19" s="90">
        <f t="shared" si="0"/>
        <v>9999.20283365651</v>
      </c>
      <c r="BH19" s="90">
        <f t="shared" si="1"/>
        <v>19576.3495742963</v>
      </c>
      <c r="BI19" s="90">
        <f t="shared" si="3"/>
        <v>33076.9312116511</v>
      </c>
      <c r="BJ19" s="90">
        <f>BF19/((VLOOKUP(B19,'Cell-Characteristics'!$B$4:$Q$34,13,FALSE)))</f>
        <v>130.70213395816</v>
      </c>
      <c r="BK19" s="90">
        <f>BG19/((VLOOKUP(B19,'Cell-Characteristics'!$B$4:$Q$34,14,FALSE)))</f>
        <v>3762.35763370096</v>
      </c>
      <c r="BL19" s="90">
        <f>BH19/((VLOOKUP(B19,'Cell-Characteristics'!$B$4:$Q$34,15,FALSE)))</f>
        <v>7365.91001164026</v>
      </c>
      <c r="BM19" s="90">
        <f>BI19/((VLOOKUP(B19,'Cell-Characteristics'!$B$4:$Q$34,16,FALSE)))</f>
        <v>767.430245803963</v>
      </c>
      <c r="BN19" s="50">
        <f t="shared" si="4"/>
        <v>1.94243333333333</v>
      </c>
    </row>
    <row r="20" s="50" customFormat="1" spans="2:66">
      <c r="B20" s="90" t="s">
        <v>133</v>
      </c>
      <c r="C20" s="91" t="s">
        <v>255</v>
      </c>
      <c r="D20" s="90" t="s">
        <v>193</v>
      </c>
      <c r="E20" s="92" t="s">
        <v>228</v>
      </c>
      <c r="F20" s="93" t="s">
        <v>195</v>
      </c>
      <c r="G20" s="93" t="s">
        <v>196</v>
      </c>
      <c r="H20" s="94">
        <v>43813</v>
      </c>
      <c r="I20" s="95">
        <v>9</v>
      </c>
      <c r="J20" s="95">
        <v>100</v>
      </c>
      <c r="K20" s="96">
        <v>4.131</v>
      </c>
      <c r="L20" s="97">
        <v>45.9005</v>
      </c>
      <c r="M20" s="97">
        <v>56.7</v>
      </c>
      <c r="N20" s="97">
        <v>53.7</v>
      </c>
      <c r="O20" s="96" t="s">
        <v>197</v>
      </c>
      <c r="P20" s="96" t="s">
        <v>198</v>
      </c>
      <c r="Q20" s="98" t="s">
        <v>199</v>
      </c>
      <c r="R20" s="99">
        <v>59.4290783517663</v>
      </c>
      <c r="S20" s="100">
        <v>0.045</v>
      </c>
      <c r="T20" s="100">
        <v>61.7392066635932</v>
      </c>
      <c r="U20" s="97">
        <v>63.3990034352677</v>
      </c>
      <c r="V20" s="97">
        <v>20.9273631849266</v>
      </c>
      <c r="W20" s="97">
        <v>9.81095107177815</v>
      </c>
      <c r="X20" s="97">
        <v>32.660689178563</v>
      </c>
      <c r="Y20" s="97">
        <v>33.0089781400019</v>
      </c>
      <c r="Z20" s="97">
        <v>15.4749294786556</v>
      </c>
      <c r="AA20" s="97">
        <v>51.5160923813424</v>
      </c>
      <c r="AB20" s="97">
        <v>0.379910532867225</v>
      </c>
      <c r="AC20" s="97">
        <v>1.2798862388073</v>
      </c>
      <c r="AD20" s="104">
        <v>1.4045</v>
      </c>
      <c r="AE20" s="104">
        <v>1.8069</v>
      </c>
      <c r="AF20" s="104">
        <v>3.4127</v>
      </c>
      <c r="AG20" s="97">
        <v>939.448568912754</v>
      </c>
      <c r="AH20" s="97">
        <v>98.9591</v>
      </c>
      <c r="AI20" s="97">
        <v>92.6939989974472</v>
      </c>
      <c r="AJ20" s="97">
        <v>107.5893</v>
      </c>
      <c r="AK20" s="92">
        <v>234.092405</v>
      </c>
      <c r="AL20" s="97">
        <v>20.4</v>
      </c>
      <c r="AM20" s="97">
        <v>0.5</v>
      </c>
      <c r="AN20" s="97">
        <v>2</v>
      </c>
      <c r="AO20" s="97">
        <v>0.699999999999996</v>
      </c>
      <c r="AP20" s="97">
        <v>1.9</v>
      </c>
      <c r="AQ20" s="97">
        <v>6.4</v>
      </c>
      <c r="AR20" s="97">
        <v>0.600000000000001</v>
      </c>
      <c r="AS20" s="97">
        <v>13.4005</v>
      </c>
      <c r="AT20" s="97">
        <v>25.5005</v>
      </c>
      <c r="AU20" s="97">
        <v>55.5560396945567</v>
      </c>
      <c r="AV20" s="97">
        <v>0</v>
      </c>
      <c r="AW20" s="90" t="s">
        <v>256</v>
      </c>
      <c r="AX20" s="90" t="s">
        <v>257</v>
      </c>
      <c r="AY20" s="90" t="s">
        <v>202</v>
      </c>
      <c r="AZ20" s="90" t="s">
        <v>203</v>
      </c>
      <c r="BA20" s="90" t="s">
        <v>204</v>
      </c>
      <c r="BB20" s="90" t="s">
        <v>134</v>
      </c>
      <c r="BC20" s="93">
        <v>5</v>
      </c>
      <c r="BD20" s="93">
        <v>6.17283950617284</v>
      </c>
      <c r="BE20" s="96">
        <f>U20/((VLOOKUP(B20,'Cell-Characteristics'!$B$4:$E$34,3,FALSE)*VLOOKUP(B20,'Cell-Characteristics'!$B$4:$E$34,4,FALSE)*3600)/1000)</f>
        <v>1.48239345855003</v>
      </c>
      <c r="BF20" s="90">
        <f t="shared" si="2"/>
        <v>14900.2229867758</v>
      </c>
      <c r="BG20" s="90">
        <f t="shared" si="0"/>
        <v>5429.71446775037</v>
      </c>
      <c r="BH20" s="90">
        <f t="shared" si="1"/>
        <v>9570.33702891054</v>
      </c>
      <c r="BI20" s="90">
        <f t="shared" si="3"/>
        <v>28712.8833057779</v>
      </c>
      <c r="BJ20" s="90">
        <f>BF20/((VLOOKUP(B20,'Cell-Characteristics'!$B$4:$Q$34,13,FALSE)))</f>
        <v>394.337018417851</v>
      </c>
      <c r="BK20" s="90">
        <f>BG20/((VLOOKUP(B20,'Cell-Characteristics'!$B$4:$Q$34,14,FALSE)))</f>
        <v>2043.01562998566</v>
      </c>
      <c r="BL20" s="90">
        <f>BH20/((VLOOKUP(B20,'Cell-Characteristics'!$B$4:$Q$34,15,FALSE)))</f>
        <v>3600.99011659367</v>
      </c>
      <c r="BM20" s="90">
        <f>BI20/((VLOOKUP(B20,'Cell-Characteristics'!$B$4:$Q$34,16,FALSE)))</f>
        <v>666.178338978796</v>
      </c>
      <c r="BN20" s="50">
        <f t="shared" si="4"/>
        <v>2.20803333333333</v>
      </c>
    </row>
    <row r="21" s="50" customFormat="1" spans="2:66">
      <c r="B21" s="90" t="s">
        <v>133</v>
      </c>
      <c r="C21" s="91" t="s">
        <v>258</v>
      </c>
      <c r="D21" s="90" t="s">
        <v>193</v>
      </c>
      <c r="E21" s="92" t="s">
        <v>228</v>
      </c>
      <c r="F21" s="93" t="s">
        <v>195</v>
      </c>
      <c r="G21" s="93" t="s">
        <v>196</v>
      </c>
      <c r="H21" s="94">
        <v>43813</v>
      </c>
      <c r="I21" s="95">
        <v>18</v>
      </c>
      <c r="J21" s="95">
        <v>100</v>
      </c>
      <c r="K21" s="96">
        <v>4.121</v>
      </c>
      <c r="L21" s="97">
        <v>46.2079</v>
      </c>
      <c r="M21" s="97">
        <v>49.9</v>
      </c>
      <c r="N21" s="97">
        <v>54.9</v>
      </c>
      <c r="O21" s="96" t="s">
        <v>198</v>
      </c>
      <c r="P21" s="96" t="s">
        <v>198</v>
      </c>
      <c r="Q21" s="98" t="s">
        <v>209</v>
      </c>
      <c r="R21" s="99">
        <v>54.4043337890396</v>
      </c>
      <c r="S21" s="100">
        <v>0.0428</v>
      </c>
      <c r="T21" s="100">
        <v>56.7327094100006</v>
      </c>
      <c r="U21" s="97">
        <v>58.9206672786918</v>
      </c>
      <c r="V21" s="97">
        <v>20.8793146216761</v>
      </c>
      <c r="W21" s="97">
        <v>37.3194414482746</v>
      </c>
      <c r="X21" s="97">
        <v>0.721911208741038</v>
      </c>
      <c r="Y21" s="97">
        <v>35.4363173161601</v>
      </c>
      <c r="Z21" s="97">
        <v>63.3384568979091</v>
      </c>
      <c r="AA21" s="97">
        <v>1.22522578593083</v>
      </c>
      <c r="AB21" s="97">
        <v>2.18795786869119</v>
      </c>
      <c r="AC21" s="97">
        <v>0</v>
      </c>
      <c r="AD21" s="104">
        <v>3.0056</v>
      </c>
      <c r="AE21" s="104">
        <v>1.90610000000001</v>
      </c>
      <c r="AF21" s="104">
        <v>0</v>
      </c>
      <c r="AG21" s="97">
        <v>939.809262350178</v>
      </c>
      <c r="AH21" s="97">
        <v>101.3031</v>
      </c>
      <c r="AI21" s="97">
        <v>94.9363286798956</v>
      </c>
      <c r="AJ21" s="97">
        <v>110.1137</v>
      </c>
      <c r="AK21" s="92">
        <v>230.27685</v>
      </c>
      <c r="AL21" s="97">
        <v>20.5</v>
      </c>
      <c r="AM21" s="97">
        <v>1.4</v>
      </c>
      <c r="AN21" s="97">
        <v>6.9</v>
      </c>
      <c r="AO21" s="97">
        <v>1.5</v>
      </c>
      <c r="AP21" s="97">
        <v>0</v>
      </c>
      <c r="AQ21" s="97">
        <v>0</v>
      </c>
      <c r="AR21" s="97">
        <v>0</v>
      </c>
      <c r="AS21" s="97">
        <v>15.9079</v>
      </c>
      <c r="AT21" s="97">
        <v>25.7079</v>
      </c>
      <c r="AU21" s="97">
        <v>55.6352918007527</v>
      </c>
      <c r="AV21" s="97">
        <v>0</v>
      </c>
      <c r="AW21" s="90" t="s">
        <v>259</v>
      </c>
      <c r="AX21" s="90" t="s">
        <v>260</v>
      </c>
      <c r="AY21" s="90" t="s">
        <v>202</v>
      </c>
      <c r="AZ21" s="90" t="s">
        <v>212</v>
      </c>
      <c r="BA21" s="90" t="s">
        <v>204</v>
      </c>
      <c r="BB21" s="90" t="s">
        <v>134</v>
      </c>
      <c r="BC21" s="93">
        <v>7</v>
      </c>
      <c r="BD21" s="93">
        <v>8.64197530864197</v>
      </c>
      <c r="BE21" s="96">
        <f>U21/((VLOOKUP(B21,'Cell-Characteristics'!$B$4:$E$34,3,FALSE)*VLOOKUP(B21,'Cell-Characteristics'!$B$4:$E$34,4,FALSE)*3600)/1000)</f>
        <v>1.37768114662111</v>
      </c>
      <c r="BF21" s="90">
        <f t="shared" si="2"/>
        <v>6946.80417276953</v>
      </c>
      <c r="BG21" s="90">
        <f t="shared" si="0"/>
        <v>19578.9525461804</v>
      </c>
      <c r="BH21" s="90" t="e">
        <f t="shared" si="1"/>
        <v>#DIV/0!</v>
      </c>
      <c r="BI21" s="90">
        <f t="shared" si="3"/>
        <v>35987.9475204257</v>
      </c>
      <c r="BJ21" s="90">
        <f>BF21/((VLOOKUP(B21,'Cell-Characteristics'!$B$4:$Q$34,13,FALSE)))</f>
        <v>183.848392567942</v>
      </c>
      <c r="BK21" s="90">
        <f>BG21/((VLOOKUP(B21,'Cell-Characteristics'!$B$4:$Q$34,14,FALSE)))</f>
        <v>7366.88942082931</v>
      </c>
      <c r="BL21" s="90" t="e">
        <f>BH21/((VLOOKUP(B21,'Cell-Characteristics'!$B$4:$Q$34,15,FALSE)))</f>
        <v>#DIV/0!</v>
      </c>
      <c r="BM21" s="90">
        <f>BI21/((VLOOKUP(B21,'Cell-Characteristics'!$B$4:$Q$34,16,FALSE)))</f>
        <v>834.969823375034</v>
      </c>
      <c r="BN21" s="50">
        <f t="shared" si="4"/>
        <v>1.63723333333334</v>
      </c>
    </row>
    <row r="22" s="50" customFormat="1" spans="2:66">
      <c r="B22" s="90" t="s">
        <v>133</v>
      </c>
      <c r="C22" s="91" t="s">
        <v>261</v>
      </c>
      <c r="D22" s="90" t="s">
        <v>193</v>
      </c>
      <c r="E22" s="92" t="s">
        <v>228</v>
      </c>
      <c r="F22" s="93" t="s">
        <v>195</v>
      </c>
      <c r="G22" s="93" t="s">
        <v>196</v>
      </c>
      <c r="H22" s="94">
        <v>43813</v>
      </c>
      <c r="I22" s="95">
        <v>1</v>
      </c>
      <c r="J22" s="95">
        <v>100</v>
      </c>
      <c r="K22" s="96">
        <v>4.124</v>
      </c>
      <c r="L22" s="97">
        <v>46.0735</v>
      </c>
      <c r="M22" s="97">
        <v>50.7</v>
      </c>
      <c r="N22" s="97">
        <v>54.9</v>
      </c>
      <c r="O22" s="96" t="s">
        <v>198</v>
      </c>
      <c r="P22" s="96" t="s">
        <v>198</v>
      </c>
      <c r="Q22" s="98" t="s">
        <v>199</v>
      </c>
      <c r="R22" s="99">
        <v>57.1365152102934</v>
      </c>
      <c r="S22" s="100">
        <v>0.045</v>
      </c>
      <c r="T22" s="100">
        <v>59.6710760518177</v>
      </c>
      <c r="U22" s="97">
        <v>61.125787553305</v>
      </c>
      <c r="V22" s="97">
        <v>17.4689020176133</v>
      </c>
      <c r="W22" s="97">
        <v>12.1565457716299</v>
      </c>
      <c r="X22" s="97">
        <v>31.5003397640618</v>
      </c>
      <c r="Y22" s="97">
        <v>28.5786125902745</v>
      </c>
      <c r="Z22" s="97">
        <v>19.8877532024086</v>
      </c>
      <c r="AA22" s="97">
        <v>51.5336342073169</v>
      </c>
      <c r="AB22" s="97">
        <v>0.35136372189402</v>
      </c>
      <c r="AC22" s="97">
        <v>1.10334777959322</v>
      </c>
      <c r="AD22" s="104">
        <v>1.1015</v>
      </c>
      <c r="AE22" s="104">
        <v>1.40089999999999</v>
      </c>
      <c r="AF22" s="104">
        <v>2.80249999999999</v>
      </c>
      <c r="AG22" s="97">
        <v>939.678066090077</v>
      </c>
      <c r="AH22" s="97">
        <v>102.1898</v>
      </c>
      <c r="AI22" s="97">
        <v>95.8104967546995</v>
      </c>
      <c r="AJ22" s="97">
        <v>111.5005</v>
      </c>
      <c r="AK22" s="92">
        <v>248.68833</v>
      </c>
      <c r="AL22" s="97">
        <v>19.8</v>
      </c>
      <c r="AM22" s="97">
        <v>0.5</v>
      </c>
      <c r="AN22" s="97">
        <v>4.2</v>
      </c>
      <c r="AO22" s="97">
        <v>0.799999999999997</v>
      </c>
      <c r="AP22" s="97">
        <v>0</v>
      </c>
      <c r="AQ22" s="97">
        <v>8.4</v>
      </c>
      <c r="AR22" s="97">
        <v>0.900000000000006</v>
      </c>
      <c r="AS22" s="97">
        <v>11.4735</v>
      </c>
      <c r="AT22" s="97">
        <v>26.2735</v>
      </c>
      <c r="AU22" s="97">
        <v>57.0251880148024</v>
      </c>
      <c r="AV22" s="97">
        <v>0</v>
      </c>
      <c r="AW22" s="90" t="s">
        <v>262</v>
      </c>
      <c r="AX22" s="90" t="s">
        <v>263</v>
      </c>
      <c r="AY22" s="90" t="s">
        <v>202</v>
      </c>
      <c r="AZ22" s="90" t="s">
        <v>212</v>
      </c>
      <c r="BA22" s="90" t="s">
        <v>204</v>
      </c>
      <c r="BB22" s="90" t="s">
        <v>134</v>
      </c>
      <c r="BC22" s="93">
        <v>6</v>
      </c>
      <c r="BD22" s="93">
        <v>7.40740740740741</v>
      </c>
      <c r="BE22" s="96">
        <f>U22/((VLOOKUP(B22,'Cell-Characteristics'!$B$4:$E$34,3,FALSE)*VLOOKUP(B22,'Cell-Characteristics'!$B$4:$E$34,4,FALSE)*3600)/1000)</f>
        <v>1.42924119793549</v>
      </c>
      <c r="BF22" s="90">
        <f t="shared" si="2"/>
        <v>15859.1938425904</v>
      </c>
      <c r="BG22" s="90">
        <f t="shared" si="0"/>
        <v>8677.66847857091</v>
      </c>
      <c r="BH22" s="90">
        <f t="shared" si="1"/>
        <v>11240.0855536349</v>
      </c>
      <c r="BI22" s="90">
        <f t="shared" si="3"/>
        <v>34567.543716171</v>
      </c>
      <c r="BJ22" s="90">
        <f>BF22/((VLOOKUP(B22,'Cell-Characteristics'!$B$4:$Q$34,13,FALSE)))</f>
        <v>419.716350550475</v>
      </c>
      <c r="BK22" s="90">
        <f>BG22/((VLOOKUP(B22,'Cell-Characteristics'!$B$4:$Q$34,14,FALSE)))</f>
        <v>3265.10950784849</v>
      </c>
      <c r="BL22" s="90">
        <f>BH22/((VLOOKUP(B22,'Cell-Characteristics'!$B$4:$Q$34,15,FALSE)))</f>
        <v>4229.25931093509</v>
      </c>
      <c r="BM22" s="90">
        <f>BI22/((VLOOKUP(B22,'Cell-Characteristics'!$B$4:$Q$34,16,FALSE)))</f>
        <v>802.014503739575</v>
      </c>
      <c r="BN22" s="50">
        <f t="shared" si="4"/>
        <v>1.76829999999999</v>
      </c>
    </row>
    <row r="23" s="50" customFormat="1" spans="2:66">
      <c r="B23" s="90" t="s">
        <v>133</v>
      </c>
      <c r="C23" s="91" t="s">
        <v>264</v>
      </c>
      <c r="D23" s="90" t="s">
        <v>227</v>
      </c>
      <c r="E23" s="92" t="s">
        <v>265</v>
      </c>
      <c r="F23" s="93" t="s">
        <v>229</v>
      </c>
      <c r="G23" s="93" t="s">
        <v>230</v>
      </c>
      <c r="H23" s="94">
        <v>43402</v>
      </c>
      <c r="I23" s="95">
        <v>10</v>
      </c>
      <c r="J23" s="95">
        <v>100</v>
      </c>
      <c r="K23" s="96">
        <v>4.138</v>
      </c>
      <c r="L23" s="97">
        <v>47.4721</v>
      </c>
      <c r="M23" s="97">
        <v>45.5</v>
      </c>
      <c r="N23" s="97">
        <v>47.4</v>
      </c>
      <c r="O23" s="92" t="s">
        <v>198</v>
      </c>
      <c r="P23" s="92" t="s">
        <v>198</v>
      </c>
      <c r="Q23" s="98" t="s">
        <v>209</v>
      </c>
      <c r="R23" s="99">
        <v>59.3592183179213</v>
      </c>
      <c r="S23" s="100">
        <v>0.01</v>
      </c>
      <c r="T23" s="100">
        <v>59.8434605750496</v>
      </c>
      <c r="U23" s="97">
        <v>62.0868627368481</v>
      </c>
      <c r="V23" s="97">
        <v>18.2076713634801</v>
      </c>
      <c r="W23" s="97">
        <v>43.1467926403172</v>
      </c>
      <c r="X23" s="97">
        <v>0.732398733050886</v>
      </c>
      <c r="Y23" s="97">
        <v>29.326125626048</v>
      </c>
      <c r="Z23" s="97">
        <v>69.4942387783267</v>
      </c>
      <c r="AA23" s="97">
        <v>1.17963559562531</v>
      </c>
      <c r="AB23" s="97">
        <v>2.24340216179856</v>
      </c>
      <c r="AC23" s="97">
        <v>0</v>
      </c>
      <c r="AD23" s="103">
        <v>2.2085</v>
      </c>
      <c r="AE23" s="103">
        <v>2.2085</v>
      </c>
      <c r="AF23" s="103">
        <v>0</v>
      </c>
      <c r="AG23" s="97" t="s">
        <v>134</v>
      </c>
      <c r="AH23" s="97" t="s">
        <v>134</v>
      </c>
      <c r="AI23" s="97" t="s">
        <v>134</v>
      </c>
      <c r="AJ23" s="97"/>
      <c r="AK23" s="92" t="s">
        <v>134</v>
      </c>
      <c r="AL23" s="97">
        <v>21.41</v>
      </c>
      <c r="AM23" s="97">
        <v>1</v>
      </c>
      <c r="AN23" s="97">
        <v>7.81</v>
      </c>
      <c r="AO23" s="97">
        <v>7.2</v>
      </c>
      <c r="AP23" s="97">
        <v>0.11</v>
      </c>
      <c r="AQ23" s="97">
        <v>0.24</v>
      </c>
      <c r="AR23" s="97">
        <v>0</v>
      </c>
      <c r="AS23" s="97">
        <v>9.70209999999999</v>
      </c>
      <c r="AT23" s="97">
        <f>L23-AL23</f>
        <v>26.0621</v>
      </c>
      <c r="AU23" s="97">
        <f>100*(AT23/L23)</f>
        <v>54.8998253711127</v>
      </c>
      <c r="AV23" s="97">
        <v>0</v>
      </c>
      <c r="AW23" s="90" t="s">
        <v>266</v>
      </c>
      <c r="AX23" s="90" t="s">
        <v>134</v>
      </c>
      <c r="AY23" s="90" t="s">
        <v>134</v>
      </c>
      <c r="AZ23" s="90" t="s">
        <v>212</v>
      </c>
      <c r="BA23" s="90" t="s">
        <v>204</v>
      </c>
      <c r="BB23" s="90" t="s">
        <v>267</v>
      </c>
      <c r="BC23" s="93">
        <v>9</v>
      </c>
      <c r="BD23" s="93">
        <v>18</v>
      </c>
      <c r="BE23" s="96">
        <f>U23/((VLOOKUP(B23,'Cell-Characteristics'!$B$4:$E$34,3,FALSE)*VLOOKUP(B23,'Cell-Characteristics'!$B$4:$E$34,4,FALSE)*3600)/1000)</f>
        <v>1.45171302695586</v>
      </c>
      <c r="BF23" s="90">
        <f t="shared" si="2"/>
        <v>8244.36104300659</v>
      </c>
      <c r="BG23" s="90">
        <f t="shared" si="0"/>
        <v>19536.6957846127</v>
      </c>
      <c r="BH23" s="90" t="e">
        <f t="shared" si="1"/>
        <v>#DIV/0!</v>
      </c>
      <c r="BI23" s="90">
        <f t="shared" si="3"/>
        <v>42169.0260834377</v>
      </c>
      <c r="BJ23" s="90">
        <f>BF23/((VLOOKUP(B23,'Cell-Characteristics'!$B$4:$Q$34,13,FALSE)))</f>
        <v>218.188463041451</v>
      </c>
      <c r="BK23" s="90">
        <f>BG23/((VLOOKUP(B23,'Cell-Characteristics'!$B$4:$Q$34,14,FALSE)))</f>
        <v>7350.98964840701</v>
      </c>
      <c r="BL23" s="90" t="e">
        <f>BH23/((VLOOKUP(B23,'Cell-Characteristics'!$B$4:$Q$34,15,FALSE)))</f>
        <v>#DIV/0!</v>
      </c>
      <c r="BM23" s="90">
        <f>BI23/((VLOOKUP(B23,'Cell-Characteristics'!$B$4:$Q$34,16,FALSE)))</f>
        <v>978.379337715803</v>
      </c>
      <c r="BN23" s="50">
        <f t="shared" si="4"/>
        <v>1.47233333333333</v>
      </c>
    </row>
    <row r="24" s="50" customFormat="1" spans="2:66">
      <c r="B24" s="90" t="s">
        <v>133</v>
      </c>
      <c r="C24" s="91" t="s">
        <v>268</v>
      </c>
      <c r="D24" s="90" t="s">
        <v>244</v>
      </c>
      <c r="E24" s="92" t="s">
        <v>265</v>
      </c>
      <c r="F24" s="93" t="s">
        <v>245</v>
      </c>
      <c r="G24" s="93" t="s">
        <v>246</v>
      </c>
      <c r="H24" s="94">
        <v>43511</v>
      </c>
      <c r="I24" s="95">
        <v>21</v>
      </c>
      <c r="J24" s="95">
        <v>100</v>
      </c>
      <c r="K24" s="96">
        <v>4.136</v>
      </c>
      <c r="L24" s="97">
        <v>46.0092</v>
      </c>
      <c r="M24" s="97">
        <v>48.5</v>
      </c>
      <c r="N24" s="97">
        <v>51.1</v>
      </c>
      <c r="O24" s="96" t="s">
        <v>198</v>
      </c>
      <c r="P24" s="96" t="s">
        <v>198</v>
      </c>
      <c r="Q24" s="98" t="s">
        <v>209</v>
      </c>
      <c r="R24" s="99">
        <v>56.6780119270752</v>
      </c>
      <c r="S24" s="100">
        <v>0.02</v>
      </c>
      <c r="T24" s="100">
        <v>58.1139446912515</v>
      </c>
      <c r="U24" s="97">
        <v>59.8475864167597</v>
      </c>
      <c r="V24" s="97">
        <v>25.3778820419505</v>
      </c>
      <c r="W24" s="97">
        <v>34.4307300308852</v>
      </c>
      <c r="X24" s="97">
        <v>0.038974343923989</v>
      </c>
      <c r="Y24" s="97">
        <v>42.4041863028977</v>
      </c>
      <c r="Z24" s="97">
        <v>57.5306910309139</v>
      </c>
      <c r="AA24" s="97">
        <v>0.0651226661883806</v>
      </c>
      <c r="AB24" s="97">
        <v>1.73364172550818</v>
      </c>
      <c r="AC24" s="97">
        <v>0</v>
      </c>
      <c r="AD24" s="103">
        <v>2.1002</v>
      </c>
      <c r="AE24" s="103">
        <v>2.3038</v>
      </c>
      <c r="AF24" s="103">
        <v>0</v>
      </c>
      <c r="AG24" s="97" t="s">
        <v>134</v>
      </c>
      <c r="AH24" s="97" t="s">
        <v>134</v>
      </c>
      <c r="AI24" s="97" t="s">
        <v>134</v>
      </c>
      <c r="AJ24" s="97"/>
      <c r="AK24" s="92" t="s">
        <v>134</v>
      </c>
      <c r="AL24" s="97">
        <v>25.4</v>
      </c>
      <c r="AM24" s="97">
        <v>1.4</v>
      </c>
      <c r="AN24" s="97">
        <v>3.9</v>
      </c>
      <c r="AO24" s="97">
        <v>3.8</v>
      </c>
      <c r="AP24" s="97">
        <v>0.1</v>
      </c>
      <c r="AQ24" s="97">
        <v>0</v>
      </c>
      <c r="AR24" s="97">
        <v>0</v>
      </c>
      <c r="AS24" s="97">
        <v>11.4092</v>
      </c>
      <c r="AT24" s="97">
        <f>L24-AL24</f>
        <v>20.6092</v>
      </c>
      <c r="AU24" s="97">
        <f>100*(AT24/L24)</f>
        <v>44.793649965659</v>
      </c>
      <c r="AV24" s="97">
        <v>0</v>
      </c>
      <c r="AW24" s="90" t="s">
        <v>269</v>
      </c>
      <c r="AX24" s="90" t="s">
        <v>248</v>
      </c>
      <c r="AY24" s="90" t="s">
        <v>270</v>
      </c>
      <c r="AZ24" s="90" t="s">
        <v>212</v>
      </c>
      <c r="BA24" s="90" t="s">
        <v>204</v>
      </c>
      <c r="BB24" s="90" t="s">
        <v>271</v>
      </c>
      <c r="BC24" s="93">
        <v>5</v>
      </c>
      <c r="BD24" s="93">
        <v>10</v>
      </c>
      <c r="BE24" s="96">
        <f>U24/((VLOOKUP(B24,'Cell-Characteristics'!$B$4:$E$34,3,FALSE)*VLOOKUP(B24,'Cell-Characteristics'!$B$4:$E$34,4,FALSE)*3600)/1000)</f>
        <v>1.3993543400851</v>
      </c>
      <c r="BF24" s="90">
        <f t="shared" si="2"/>
        <v>12083.5549195079</v>
      </c>
      <c r="BG24" s="90">
        <f t="shared" si="0"/>
        <v>14945.1905681419</v>
      </c>
      <c r="BH24" s="90" t="e">
        <f t="shared" si="1"/>
        <v>#DIV/0!</v>
      </c>
      <c r="BI24" s="90">
        <f t="shared" si="3"/>
        <v>40768.1106381197</v>
      </c>
      <c r="BJ24" s="90">
        <f>BF24/((VLOOKUP(B24,'Cell-Characteristics'!$B$4:$Q$34,13,FALSE)))</f>
        <v>319.793403298468</v>
      </c>
      <c r="BK24" s="90">
        <f>BG24/((VLOOKUP(B24,'Cell-Characteristics'!$B$4:$Q$34,14,FALSE)))</f>
        <v>5623.36345772498</v>
      </c>
      <c r="BL24" s="90" t="e">
        <f>BH24/((VLOOKUP(B24,'Cell-Characteristics'!$B$4:$Q$34,15,FALSE)))</f>
        <v>#DIV/0!</v>
      </c>
      <c r="BM24" s="90">
        <f>BI24/((VLOOKUP(B24,'Cell-Characteristics'!$B$4:$Q$34,16,FALSE)))</f>
        <v>945.876174781138</v>
      </c>
      <c r="BN24" s="50">
        <f t="shared" si="4"/>
        <v>1.468</v>
      </c>
    </row>
    <row r="25" s="50" customFormat="1" spans="2:66">
      <c r="B25" s="90" t="s">
        <v>133</v>
      </c>
      <c r="C25" s="91" t="s">
        <v>272</v>
      </c>
      <c r="D25" s="90" t="s">
        <v>244</v>
      </c>
      <c r="E25" s="92" t="s">
        <v>265</v>
      </c>
      <c r="F25" s="93" t="s">
        <v>245</v>
      </c>
      <c r="G25" s="93" t="s">
        <v>246</v>
      </c>
      <c r="H25" s="94">
        <v>43511</v>
      </c>
      <c r="I25" s="95">
        <v>18</v>
      </c>
      <c r="J25" s="95">
        <v>100</v>
      </c>
      <c r="K25" s="96">
        <v>4.118</v>
      </c>
      <c r="L25" s="97">
        <v>47.4033</v>
      </c>
      <c r="M25" s="97">
        <v>46.3</v>
      </c>
      <c r="N25" s="97">
        <v>46.9</v>
      </c>
      <c r="O25" s="96" t="s">
        <v>198</v>
      </c>
      <c r="P25" s="96" t="s">
        <v>198</v>
      </c>
      <c r="Q25" s="98" t="s">
        <v>199</v>
      </c>
      <c r="R25" s="99">
        <v>57.088453898817</v>
      </c>
      <c r="S25" s="100">
        <v>0.015</v>
      </c>
      <c r="T25" s="100">
        <v>58.0671190725721</v>
      </c>
      <c r="U25" s="97">
        <v>59.2163488308969</v>
      </c>
      <c r="V25" s="97">
        <v>17.6877691224229</v>
      </c>
      <c r="W25" s="97">
        <v>5.03588782983859</v>
      </c>
      <c r="X25" s="97">
        <v>36.4926918786354</v>
      </c>
      <c r="Y25" s="97">
        <v>29.8697394750453</v>
      </c>
      <c r="Z25" s="97">
        <v>8.50421873226174</v>
      </c>
      <c r="AA25" s="97">
        <v>61.626041792693</v>
      </c>
      <c r="AB25" s="97">
        <v>0.183117071533329</v>
      </c>
      <c r="AC25" s="97">
        <v>0.966112686791448</v>
      </c>
      <c r="AD25" s="103">
        <v>2.5169</v>
      </c>
      <c r="AE25" s="103">
        <v>2.3152</v>
      </c>
      <c r="AF25" s="103">
        <v>2.5169</v>
      </c>
      <c r="AG25" s="97" t="s">
        <v>134</v>
      </c>
      <c r="AH25" s="97" t="s">
        <v>134</v>
      </c>
      <c r="AI25" s="97" t="s">
        <v>134</v>
      </c>
      <c r="AJ25" s="97"/>
      <c r="AK25" s="92" t="s">
        <v>134</v>
      </c>
      <c r="AL25" s="97">
        <v>23.1</v>
      </c>
      <c r="AM25" s="97">
        <v>0.2</v>
      </c>
      <c r="AN25" s="97">
        <v>1.4</v>
      </c>
      <c r="AO25" s="97">
        <v>0</v>
      </c>
      <c r="AP25" s="97">
        <v>1</v>
      </c>
      <c r="AQ25" s="97">
        <v>6.2</v>
      </c>
      <c r="AR25" s="97">
        <v>3.6</v>
      </c>
      <c r="AS25" s="97">
        <v>11.9033</v>
      </c>
      <c r="AT25" s="97">
        <f>L25-AL25</f>
        <v>24.3033</v>
      </c>
      <c r="AU25" s="97">
        <f>100*(AT25/L25)</f>
        <v>51.2692154343685</v>
      </c>
      <c r="AV25" s="97">
        <v>0</v>
      </c>
      <c r="AW25" s="90" t="s">
        <v>273</v>
      </c>
      <c r="AX25" s="90" t="s">
        <v>248</v>
      </c>
      <c r="AY25" s="90" t="s">
        <v>274</v>
      </c>
      <c r="AZ25" s="90" t="s">
        <v>212</v>
      </c>
      <c r="BA25" s="90" t="s">
        <v>204</v>
      </c>
      <c r="BB25" s="90" t="s">
        <v>275</v>
      </c>
      <c r="BC25" s="93">
        <v>7</v>
      </c>
      <c r="BD25" s="93">
        <v>14</v>
      </c>
      <c r="BE25" s="96">
        <f>U25/((VLOOKUP(B25,'Cell-Characteristics'!$B$4:$E$34,3,FALSE)*VLOOKUP(B25,'Cell-Characteristics'!$B$4:$E$34,4,FALSE)*3600)/1000)</f>
        <v>1.38459476316164</v>
      </c>
      <c r="BF25" s="90">
        <f t="shared" si="2"/>
        <v>7027.60106576459</v>
      </c>
      <c r="BG25" s="90">
        <f t="shared" si="0"/>
        <v>2175.14159892821</v>
      </c>
      <c r="BH25" s="90">
        <f t="shared" si="1"/>
        <v>14499.0630849996</v>
      </c>
      <c r="BI25" s="90">
        <f t="shared" si="3"/>
        <v>24173.2271727705</v>
      </c>
      <c r="BJ25" s="90">
        <f>BF25/((VLOOKUP(B25,'Cell-Characteristics'!$B$4:$Q$34,13,FALSE)))</f>
        <v>185.98669653221</v>
      </c>
      <c r="BK25" s="90">
        <f>BG25/((VLOOKUP(B25,'Cell-Characteristics'!$B$4:$Q$34,14,FALSE)))</f>
        <v>818.431302499687</v>
      </c>
      <c r="BL25" s="90">
        <f>BH25/((VLOOKUP(B25,'Cell-Characteristics'!$B$4:$Q$34,15,FALSE)))</f>
        <v>5455.50096211137</v>
      </c>
      <c r="BM25" s="90">
        <f>BI25/((VLOOKUP(B25,'Cell-Characteristics'!$B$4:$Q$34,16,FALSE)))</f>
        <v>560.852080030321</v>
      </c>
      <c r="BN25" s="50">
        <f t="shared" si="4"/>
        <v>2.44966666666667</v>
      </c>
    </row>
    <row r="26" s="50" customFormat="1" spans="2:66">
      <c r="B26" s="90" t="s">
        <v>136</v>
      </c>
      <c r="C26" s="91" t="s">
        <v>276</v>
      </c>
      <c r="D26" s="90" t="s">
        <v>193</v>
      </c>
      <c r="E26" s="92" t="s">
        <v>194</v>
      </c>
      <c r="F26" s="93" t="s">
        <v>195</v>
      </c>
      <c r="G26" s="93" t="s">
        <v>196</v>
      </c>
      <c r="H26" s="94">
        <v>43811</v>
      </c>
      <c r="I26" s="95" t="s">
        <v>277</v>
      </c>
      <c r="J26" s="95">
        <v>100</v>
      </c>
      <c r="K26" s="96">
        <v>4.156</v>
      </c>
      <c r="L26" s="97">
        <v>73</v>
      </c>
      <c r="M26" s="97">
        <v>50.9</v>
      </c>
      <c r="N26" s="97">
        <v>50.2</v>
      </c>
      <c r="O26" s="96" t="s">
        <v>278</v>
      </c>
      <c r="P26" s="96" t="s">
        <v>278</v>
      </c>
      <c r="Q26" s="98" t="s">
        <v>199</v>
      </c>
      <c r="R26" s="99">
        <v>74.9459396656089</v>
      </c>
      <c r="S26" s="100">
        <v>0.0431</v>
      </c>
      <c r="T26" s="100">
        <v>78.985851597325</v>
      </c>
      <c r="U26" s="97">
        <v>83.232880947385</v>
      </c>
      <c r="V26" s="97">
        <v>29.0183014686131</v>
      </c>
      <c r="W26" s="97">
        <v>26.1901837750035</v>
      </c>
      <c r="X26" s="97">
        <v>28.0243957037684</v>
      </c>
      <c r="Y26" s="97">
        <v>34.8639878114477</v>
      </c>
      <c r="Z26" s="97">
        <v>31.4661507290123</v>
      </c>
      <c r="AA26" s="97">
        <v>33.66986145954</v>
      </c>
      <c r="AB26" s="97">
        <v>1.1575088343</v>
      </c>
      <c r="AC26" s="97">
        <v>3.08952051576</v>
      </c>
      <c r="AD26" s="97">
        <v>4.9179</v>
      </c>
      <c r="AE26" s="97">
        <v>4.9179</v>
      </c>
      <c r="AF26" s="97">
        <v>3.01</v>
      </c>
      <c r="AG26" s="97">
        <v>956.714172328706</v>
      </c>
      <c r="AH26" s="97">
        <v>93.0137</v>
      </c>
      <c r="AI26" s="97">
        <v>88.7774998396015</v>
      </c>
      <c r="AJ26" s="97">
        <v>94.3149</v>
      </c>
      <c r="AK26" s="92">
        <v>198.81297</v>
      </c>
      <c r="AL26" s="97">
        <v>39.5</v>
      </c>
      <c r="AM26" s="97">
        <v>2.4</v>
      </c>
      <c r="AN26" s="97">
        <v>4.8</v>
      </c>
      <c r="AO26" s="97">
        <v>0.100000000000001</v>
      </c>
      <c r="AP26" s="97">
        <v>1.7</v>
      </c>
      <c r="AQ26" s="97">
        <v>3</v>
      </c>
      <c r="AR26" s="97">
        <v>0</v>
      </c>
      <c r="AS26" s="97">
        <v>21.5</v>
      </c>
      <c r="AT26" s="97">
        <v>33.5</v>
      </c>
      <c r="AU26" s="97">
        <v>45.8904109589041</v>
      </c>
      <c r="AV26" s="97">
        <v>0</v>
      </c>
      <c r="AW26" s="90" t="s">
        <v>279</v>
      </c>
      <c r="AX26" s="90" t="s">
        <v>280</v>
      </c>
      <c r="AY26" s="90" t="s">
        <v>202</v>
      </c>
      <c r="AZ26" s="90" t="s">
        <v>212</v>
      </c>
      <c r="BA26" s="90" t="s">
        <v>204</v>
      </c>
      <c r="BB26" s="90"/>
      <c r="BC26" s="93">
        <v>4</v>
      </c>
      <c r="BD26" s="93">
        <v>4.93827160493827</v>
      </c>
      <c r="BE26" s="96">
        <f>U26/((VLOOKUP(B26,'Cell-Characteristics'!$B$4:$E$34,3,FALSE)*VLOOKUP(B26,'Cell-Characteristics'!$B$4:$E$34,4,FALSE)*3600)/1000)</f>
        <v>1.2844580393115</v>
      </c>
      <c r="BF26" s="90">
        <f t="shared" si="2"/>
        <v>5900.54728006123</v>
      </c>
      <c r="BG26" s="90">
        <f t="shared" si="0"/>
        <v>5325.48115557524</v>
      </c>
      <c r="BH26" s="90">
        <f t="shared" si="1"/>
        <v>9310.43046636824</v>
      </c>
      <c r="BI26" s="90">
        <f t="shared" si="3"/>
        <v>19438.1543260953</v>
      </c>
      <c r="BJ26" s="90">
        <f>BF26/((VLOOKUP(B26,'Cell-Characteristics'!$B$4:$Q$34,13,FALSE)))</f>
        <v>109.616472305482</v>
      </c>
      <c r="BK26" s="90">
        <f>BG26/((VLOOKUP(B26,'Cell-Characteristics'!$B$4:$Q$34,14,FALSE)))</f>
        <v>1440.68730010924</v>
      </c>
      <c r="BL26" s="90">
        <f>BH26/((VLOOKUP(B26,'Cell-Characteristics'!$B$4:$Q$34,15,FALSE)))</f>
        <v>2518.72432548265</v>
      </c>
      <c r="BM26" s="90">
        <f>BI26/((VLOOKUP(B26,'Cell-Characteristics'!$B$4:$Q$34,16,FALSE)))</f>
        <v>317.502802074661</v>
      </c>
      <c r="BN26" s="50">
        <f t="shared" si="4"/>
        <v>4.28193333333333</v>
      </c>
    </row>
    <row r="27" s="50" customFormat="1" spans="2:66">
      <c r="B27" s="90" t="s">
        <v>136</v>
      </c>
      <c r="C27" s="91" t="s">
        <v>281</v>
      </c>
      <c r="D27" s="90" t="s">
        <v>193</v>
      </c>
      <c r="E27" s="92" t="s">
        <v>194</v>
      </c>
      <c r="F27" s="93" t="s">
        <v>195</v>
      </c>
      <c r="G27" s="93" t="s">
        <v>196</v>
      </c>
      <c r="H27" s="94">
        <v>43811</v>
      </c>
      <c r="I27" s="95">
        <v>36130</v>
      </c>
      <c r="J27" s="95">
        <v>100</v>
      </c>
      <c r="K27" s="96">
        <v>4.168</v>
      </c>
      <c r="L27" s="97">
        <v>72.6</v>
      </c>
      <c r="M27" s="97">
        <v>49.39</v>
      </c>
      <c r="N27" s="97">
        <v>51.3</v>
      </c>
      <c r="O27" s="96" t="s">
        <v>278</v>
      </c>
      <c r="P27" s="96" t="s">
        <v>278</v>
      </c>
      <c r="Q27" s="98" t="s">
        <v>199</v>
      </c>
      <c r="R27" s="99">
        <v>91.3294063252114</v>
      </c>
      <c r="S27" s="100">
        <v>0.0463</v>
      </c>
      <c r="T27" s="100">
        <v>94.1606391540754</v>
      </c>
      <c r="U27" s="97">
        <v>96.2135017304554</v>
      </c>
      <c r="V27" s="97">
        <v>26.7076168750505</v>
      </c>
      <c r="W27" s="97">
        <v>26.0569295162527</v>
      </c>
      <c r="X27" s="97">
        <v>43.4489553391523</v>
      </c>
      <c r="Y27" s="97">
        <v>27.7586995532837</v>
      </c>
      <c r="Z27" s="97">
        <v>27.0824042858889</v>
      </c>
      <c r="AA27" s="97">
        <v>45.1588961608274</v>
      </c>
      <c r="AB27" s="97">
        <v>0.908241666023999</v>
      </c>
      <c r="AC27" s="97">
        <v>1.144620910356</v>
      </c>
      <c r="AD27" s="97">
        <v>6.1133</v>
      </c>
      <c r="AE27" s="97">
        <v>1.703</v>
      </c>
      <c r="AF27" s="97">
        <v>2.2048</v>
      </c>
      <c r="AG27" s="97">
        <v>929.336044081422</v>
      </c>
      <c r="AH27" s="97">
        <v>113.0937</v>
      </c>
      <c r="AI27" s="97">
        <v>104.952352435692</v>
      </c>
      <c r="AJ27" s="97">
        <v>114.5967</v>
      </c>
      <c r="AK27" s="92">
        <v>231.61023</v>
      </c>
      <c r="AL27" s="97">
        <v>31.2</v>
      </c>
      <c r="AM27" s="97">
        <v>3.1</v>
      </c>
      <c r="AN27" s="97">
        <v>3</v>
      </c>
      <c r="AO27" s="97">
        <v>2.7</v>
      </c>
      <c r="AP27" s="97">
        <v>7</v>
      </c>
      <c r="AQ27" s="97">
        <v>5.9</v>
      </c>
      <c r="AR27" s="97">
        <v>4.3</v>
      </c>
      <c r="AS27" s="97">
        <v>15.4</v>
      </c>
      <c r="AT27" s="97">
        <v>41.4</v>
      </c>
      <c r="AU27" s="97">
        <v>57.0247933884297</v>
      </c>
      <c r="AV27" s="97">
        <v>0</v>
      </c>
      <c r="AW27" s="90" t="s">
        <v>282</v>
      </c>
      <c r="AX27" s="90" t="s">
        <v>283</v>
      </c>
      <c r="AY27" s="90" t="s">
        <v>202</v>
      </c>
      <c r="AZ27" s="90" t="s">
        <v>212</v>
      </c>
      <c r="BA27" s="90" t="s">
        <v>204</v>
      </c>
      <c r="BB27" s="90"/>
      <c r="BC27" s="93">
        <v>5</v>
      </c>
      <c r="BD27" s="93">
        <v>6.17283950617284</v>
      </c>
      <c r="BE27" s="96">
        <f>U27/((VLOOKUP(B27,'Cell-Characteristics'!$B$4:$E$34,3,FALSE)*VLOOKUP(B27,'Cell-Characteristics'!$B$4:$E$34,4,FALSE)*3600)/1000)</f>
        <v>1.48477626127246</v>
      </c>
      <c r="BF27" s="90">
        <f t="shared" si="2"/>
        <v>4368.77249195206</v>
      </c>
      <c r="BG27" s="90">
        <f t="shared" si="0"/>
        <v>15300.6045309763</v>
      </c>
      <c r="BH27" s="90">
        <f t="shared" si="1"/>
        <v>19706.5290906895</v>
      </c>
      <c r="BI27" s="90">
        <f t="shared" si="3"/>
        <v>28803.2756076046</v>
      </c>
      <c r="BJ27" s="90">
        <f>BF27/((VLOOKUP(B27,'Cell-Characteristics'!$B$4:$Q$34,13,FALSE)))</f>
        <v>81.1601714456636</v>
      </c>
      <c r="BK27" s="90">
        <f>BG27/((VLOOKUP(B27,'Cell-Characteristics'!$B$4:$Q$34,14,FALSE)))</f>
        <v>4139.22911147554</v>
      </c>
      <c r="BL27" s="90">
        <f>BH27/((VLOOKUP(B27,'Cell-Characteristics'!$B$4:$Q$34,15,FALSE)))</f>
        <v>5331.15137595918</v>
      </c>
      <c r="BM27" s="90">
        <f>BI27/((VLOOKUP(B27,'Cell-Characteristics'!$B$4:$Q$34,16,FALSE)))</f>
        <v>470.472687937562</v>
      </c>
      <c r="BN27" s="50">
        <f t="shared" si="4"/>
        <v>3.34036666666667</v>
      </c>
    </row>
    <row r="28" s="50" customFormat="1" spans="2:66">
      <c r="B28" s="90" t="s">
        <v>136</v>
      </c>
      <c r="C28" s="91" t="s">
        <v>284</v>
      </c>
      <c r="D28" s="90" t="s">
        <v>193</v>
      </c>
      <c r="E28" s="92" t="s">
        <v>194</v>
      </c>
      <c r="F28" s="93" t="s">
        <v>195</v>
      </c>
      <c r="G28" s="93" t="s">
        <v>196</v>
      </c>
      <c r="H28" s="94">
        <v>43811</v>
      </c>
      <c r="I28" s="95" t="s">
        <v>285</v>
      </c>
      <c r="J28" s="95">
        <v>100</v>
      </c>
      <c r="K28" s="96">
        <v>4.153</v>
      </c>
      <c r="L28" s="97">
        <v>73.2</v>
      </c>
      <c r="M28" s="97">
        <v>47.6</v>
      </c>
      <c r="N28" s="97">
        <v>47.7</v>
      </c>
      <c r="O28" s="96" t="s">
        <v>278</v>
      </c>
      <c r="P28" s="96" t="s">
        <v>278</v>
      </c>
      <c r="Q28" s="98" t="s">
        <v>199</v>
      </c>
      <c r="R28" s="99">
        <v>84.683043172503</v>
      </c>
      <c r="S28" s="100">
        <v>0.0409</v>
      </c>
      <c r="T28" s="100">
        <v>87.5406605781182</v>
      </c>
      <c r="U28" s="97">
        <v>95.0702414104022</v>
      </c>
      <c r="V28" s="97">
        <v>24.5678026061375</v>
      </c>
      <c r="W28" s="97">
        <v>41.1765872828394</v>
      </c>
      <c r="X28" s="97">
        <v>29.3258515214254</v>
      </c>
      <c r="Y28" s="97">
        <v>25.8417378999622</v>
      </c>
      <c r="Z28" s="97">
        <v>43.3117521024134</v>
      </c>
      <c r="AA28" s="97">
        <v>30.8465099976244</v>
      </c>
      <c r="AB28" s="97">
        <v>2.93388180702</v>
      </c>
      <c r="AC28" s="97">
        <v>4.595699025264</v>
      </c>
      <c r="AD28" s="97">
        <v>5.0225</v>
      </c>
      <c r="AE28" s="97">
        <v>5.0225</v>
      </c>
      <c r="AF28" s="97">
        <v>3.5159</v>
      </c>
      <c r="AG28" s="97">
        <v>951.781495632472</v>
      </c>
      <c r="AH28" s="97">
        <v>70.9578</v>
      </c>
      <c r="AI28" s="97">
        <v>67.2906536814093</v>
      </c>
      <c r="AJ28" s="97">
        <v>73.1585</v>
      </c>
      <c r="AK28" s="92">
        <v>138.29991</v>
      </c>
      <c r="AL28" s="97">
        <v>32.9</v>
      </c>
      <c r="AM28" s="97">
        <v>0.6</v>
      </c>
      <c r="AN28" s="97">
        <v>5.2</v>
      </c>
      <c r="AO28" s="97">
        <v>0</v>
      </c>
      <c r="AP28" s="97">
        <v>4.4</v>
      </c>
      <c r="AQ28" s="97">
        <v>0.899999999999999</v>
      </c>
      <c r="AR28" s="97">
        <v>0</v>
      </c>
      <c r="AS28" s="97">
        <v>29.2</v>
      </c>
      <c r="AT28" s="97">
        <v>40.3</v>
      </c>
      <c r="AU28" s="97">
        <v>55.0546448087432</v>
      </c>
      <c r="AV28" s="97">
        <v>0</v>
      </c>
      <c r="AW28" s="90" t="s">
        <v>286</v>
      </c>
      <c r="AX28" s="90" t="s">
        <v>287</v>
      </c>
      <c r="AY28" s="90" t="s">
        <v>202</v>
      </c>
      <c r="AZ28" s="90" t="s">
        <v>212</v>
      </c>
      <c r="BA28" s="90" t="s">
        <v>204</v>
      </c>
      <c r="BB28" s="90"/>
      <c r="BC28" s="93">
        <v>6</v>
      </c>
      <c r="BD28" s="93">
        <v>7.40740740740741</v>
      </c>
      <c r="BE28" s="96">
        <f>U28/((VLOOKUP(B28,'Cell-Characteristics'!$B$4:$E$34,3,FALSE)*VLOOKUP(B28,'Cell-Characteristics'!$B$4:$E$34,4,FALSE)*3600)/1000)</f>
        <v>1.4671333550988</v>
      </c>
      <c r="BF28" s="90">
        <f t="shared" si="2"/>
        <v>4891.54855274017</v>
      </c>
      <c r="BG28" s="90">
        <f t="shared" si="0"/>
        <v>8198.42454611038</v>
      </c>
      <c r="BH28" s="90">
        <f t="shared" si="1"/>
        <v>8340.92309833198</v>
      </c>
      <c r="BI28" s="90">
        <f t="shared" si="3"/>
        <v>21031.8433312838</v>
      </c>
      <c r="BJ28" s="90">
        <f>BF28/((VLOOKUP(B28,'Cell-Characteristics'!$B$4:$Q$34,13,FALSE)))</f>
        <v>90.8719600085636</v>
      </c>
      <c r="BK28" s="90">
        <f>BG28/((VLOOKUP(B28,'Cell-Characteristics'!$B$4:$Q$34,14,FALSE)))</f>
        <v>2217.89652041483</v>
      </c>
      <c r="BL28" s="90">
        <f>BH28/((VLOOKUP(B28,'Cell-Characteristics'!$B$4:$Q$34,15,FALSE)))</f>
        <v>2256.44624925101</v>
      </c>
      <c r="BM28" s="90">
        <f>BI28/((VLOOKUP(B28,'Cell-Characteristics'!$B$4:$Q$34,16,FALSE)))</f>
        <v>343.534117409144</v>
      </c>
      <c r="BN28" s="50">
        <f t="shared" si="4"/>
        <v>4.5203</v>
      </c>
    </row>
    <row r="29" s="50" customFormat="1" spans="2:66">
      <c r="B29" s="90" t="s">
        <v>136</v>
      </c>
      <c r="C29" s="91" t="s">
        <v>288</v>
      </c>
      <c r="D29" s="90" t="s">
        <v>193</v>
      </c>
      <c r="E29" s="92" t="s">
        <v>194</v>
      </c>
      <c r="F29" s="93" t="s">
        <v>195</v>
      </c>
      <c r="G29" s="93" t="s">
        <v>196</v>
      </c>
      <c r="H29" s="94">
        <v>43811</v>
      </c>
      <c r="I29" s="95" t="s">
        <v>289</v>
      </c>
      <c r="J29" s="95">
        <v>100</v>
      </c>
      <c r="K29" s="96">
        <v>4.153</v>
      </c>
      <c r="L29" s="97">
        <v>72.5</v>
      </c>
      <c r="M29" s="97">
        <v>51.1</v>
      </c>
      <c r="N29" s="97">
        <v>52.09</v>
      </c>
      <c r="O29" s="96" t="s">
        <v>290</v>
      </c>
      <c r="P29" s="96" t="s">
        <v>290</v>
      </c>
      <c r="Q29" s="98" t="s">
        <v>199</v>
      </c>
      <c r="R29" s="99">
        <v>78.3018385028902</v>
      </c>
      <c r="S29" s="100">
        <v>0.0396</v>
      </c>
      <c r="T29" s="100">
        <v>82.8367371645397</v>
      </c>
      <c r="U29" s="97">
        <v>84.5073198424764</v>
      </c>
      <c r="V29" s="97">
        <v>21.1342890337827</v>
      </c>
      <c r="W29" s="97">
        <v>38.4983783358209</v>
      </c>
      <c r="X29" s="97">
        <v>24.8746524728729</v>
      </c>
      <c r="Y29" s="97">
        <v>25.0088265409167</v>
      </c>
      <c r="Z29" s="97">
        <v>45.5562647207162</v>
      </c>
      <c r="AA29" s="97">
        <v>29.4349087383671</v>
      </c>
      <c r="AB29" s="97">
        <v>0.9945367347645</v>
      </c>
      <c r="AC29" s="97">
        <v>0.6760459431723</v>
      </c>
      <c r="AD29" s="97">
        <f>AE29</f>
        <v>3.3051</v>
      </c>
      <c r="AE29" s="97">
        <v>3.3051</v>
      </c>
      <c r="AF29" s="97">
        <v>3.2045</v>
      </c>
      <c r="AG29" s="97">
        <v>924.523213879628</v>
      </c>
      <c r="AH29" s="97">
        <v>75.3585</v>
      </c>
      <c r="AI29" s="97">
        <v>69.3719982604718</v>
      </c>
      <c r="AJ29" s="97">
        <v>79.2654</v>
      </c>
      <c r="AK29" s="92">
        <v>219.826517777778</v>
      </c>
      <c r="AL29" s="97">
        <v>39.3</v>
      </c>
      <c r="AM29" s="97">
        <v>4.1</v>
      </c>
      <c r="AN29" s="97">
        <v>4.7</v>
      </c>
      <c r="AO29" s="97">
        <v>1.5</v>
      </c>
      <c r="AP29" s="97">
        <v>1.9</v>
      </c>
      <c r="AQ29" s="97">
        <v>3.7</v>
      </c>
      <c r="AR29" s="97">
        <v>0.809999999999995</v>
      </c>
      <c r="AS29" s="97">
        <v>16.49</v>
      </c>
      <c r="AT29" s="97">
        <v>33.2</v>
      </c>
      <c r="AU29" s="97">
        <v>45.7931034482759</v>
      </c>
      <c r="AV29" s="97" t="s">
        <v>159</v>
      </c>
      <c r="AW29" s="90" t="s">
        <v>291</v>
      </c>
      <c r="AX29" s="90" t="s">
        <v>292</v>
      </c>
      <c r="AY29" s="90" t="s">
        <v>202</v>
      </c>
      <c r="AZ29" s="90" t="s">
        <v>203</v>
      </c>
      <c r="BA29" s="90" t="s">
        <v>204</v>
      </c>
      <c r="BB29" s="90"/>
      <c r="BC29" s="93">
        <v>6</v>
      </c>
      <c r="BD29" s="93">
        <v>7.40740740740741</v>
      </c>
      <c r="BE29" s="96">
        <f>U29/((VLOOKUP(B29,'Cell-Characteristics'!$B$4:$E$34,3,FALSE)*VLOOKUP(B29,'Cell-Characteristics'!$B$4:$E$34,4,FALSE)*3600)/1000)</f>
        <v>1.30412530621106</v>
      </c>
      <c r="BF29" s="90">
        <f t="shared" si="2"/>
        <v>6394.44768200136</v>
      </c>
      <c r="BG29" s="90">
        <f t="shared" si="0"/>
        <v>11648.17353055</v>
      </c>
      <c r="BH29" s="90">
        <f t="shared" si="1"/>
        <v>7762.41300448522</v>
      </c>
      <c r="BI29" s="90">
        <f t="shared" si="3"/>
        <v>25830.8414447135</v>
      </c>
      <c r="BJ29" s="90">
        <f>BF29/((VLOOKUP(B29,'Cell-Characteristics'!$B$4:$Q$34,13,FALSE)))</f>
        <v>118.791827939676</v>
      </c>
      <c r="BK29" s="90">
        <f>BG29/((VLOOKUP(B29,'Cell-Characteristics'!$B$4:$Q$34,14,FALSE)))</f>
        <v>3151.14732071929</v>
      </c>
      <c r="BL29" s="90">
        <f>BH29/((VLOOKUP(B29,'Cell-Characteristics'!$B$4:$Q$34,15,FALSE)))</f>
        <v>2099.94355572115</v>
      </c>
      <c r="BM29" s="90">
        <f>BI29/((VLOOKUP(B29,'Cell-Characteristics'!$B$4:$Q$34,16,FALSE)))</f>
        <v>421.920949955247</v>
      </c>
      <c r="BN29" s="50">
        <f t="shared" si="4"/>
        <v>3.27156666666667</v>
      </c>
    </row>
    <row r="30" s="50" customFormat="1" spans="2:66">
      <c r="B30" s="90" t="s">
        <v>136</v>
      </c>
      <c r="C30" s="91" t="s">
        <v>293</v>
      </c>
      <c r="D30" s="90" t="s">
        <v>193</v>
      </c>
      <c r="E30" s="92" t="s">
        <v>194</v>
      </c>
      <c r="F30" s="93" t="s">
        <v>195</v>
      </c>
      <c r="G30" s="93" t="s">
        <v>196</v>
      </c>
      <c r="H30" s="94">
        <v>43811</v>
      </c>
      <c r="I30" s="95">
        <v>100</v>
      </c>
      <c r="J30" s="95">
        <v>100</v>
      </c>
      <c r="K30" s="96">
        <v>4.189</v>
      </c>
      <c r="L30" s="97">
        <v>72.0475</v>
      </c>
      <c r="M30" s="97">
        <v>53.2</v>
      </c>
      <c r="N30" s="97">
        <v>51.3</v>
      </c>
      <c r="O30" s="96" t="s">
        <v>290</v>
      </c>
      <c r="P30" s="96" t="s">
        <v>278</v>
      </c>
      <c r="Q30" s="98" t="s">
        <v>199</v>
      </c>
      <c r="R30" s="99">
        <v>86.2597517825934</v>
      </c>
      <c r="S30" s="100">
        <v>0.0407</v>
      </c>
      <c r="T30" s="100">
        <v>89.3421378797398</v>
      </c>
      <c r="U30" s="97">
        <v>91.2568461336934</v>
      </c>
      <c r="V30" s="97">
        <v>25.5432629533631</v>
      </c>
      <c r="W30" s="97">
        <f>(Z30/100)*U30</f>
        <v>28.4910386516245</v>
      </c>
      <c r="X30" s="97">
        <f>(AA30/100)*U30</f>
        <v>37.2225445287058</v>
      </c>
      <c r="Y30" s="97">
        <v>27.9905169152368</v>
      </c>
      <c r="Z30" s="97">
        <v>31.2207136874799</v>
      </c>
      <c r="AA30" s="97">
        <v>40.7887693972833</v>
      </c>
      <c r="AB30" s="97">
        <v>0.8344480397697</v>
      </c>
      <c r="AC30" s="97">
        <v>1.0802602141839</v>
      </c>
      <c r="AD30" s="97">
        <v>2.904</v>
      </c>
      <c r="AE30" s="97">
        <v>2.904</v>
      </c>
      <c r="AF30" s="97">
        <v>2.1061</v>
      </c>
      <c r="AG30" s="97">
        <v>929.124124034446</v>
      </c>
      <c r="AH30" s="97">
        <v>69.0667</v>
      </c>
      <c r="AI30" s="97">
        <v>63.9559558751963</v>
      </c>
      <c r="AJ30" s="97">
        <v>76.4865</v>
      </c>
      <c r="AK30" s="92">
        <v>150.098285</v>
      </c>
      <c r="AL30" s="97">
        <v>33.3</v>
      </c>
      <c r="AM30" s="97">
        <v>3.8</v>
      </c>
      <c r="AN30" s="97">
        <v>5.9</v>
      </c>
      <c r="AO30" s="97">
        <v>0</v>
      </c>
      <c r="AP30" s="97">
        <v>2.5</v>
      </c>
      <c r="AQ30" s="97">
        <v>9.1</v>
      </c>
      <c r="AR30" s="97">
        <v>2.50000000000001</v>
      </c>
      <c r="AS30" s="97">
        <v>14.9475</v>
      </c>
      <c r="AT30" s="97">
        <v>38.7475</v>
      </c>
      <c r="AU30" s="97">
        <v>53.7804920365037</v>
      </c>
      <c r="AV30" s="97">
        <v>0</v>
      </c>
      <c r="AW30" s="90" t="s">
        <v>294</v>
      </c>
      <c r="AX30" s="90" t="s">
        <v>295</v>
      </c>
      <c r="AY30" s="90" t="s">
        <v>202</v>
      </c>
      <c r="AZ30" s="90" t="s">
        <v>296</v>
      </c>
      <c r="BA30" s="90" t="s">
        <v>204</v>
      </c>
      <c r="BB30" s="90" t="s">
        <v>134</v>
      </c>
      <c r="BC30" s="93">
        <v>3</v>
      </c>
      <c r="BD30" s="93">
        <v>3.7037037037037</v>
      </c>
      <c r="BE30" s="96">
        <f>U30/((VLOOKUP(B30,'Cell-Characteristics'!$B$4:$E$34,3,FALSE)*VLOOKUP(B30,'Cell-Characteristics'!$B$4:$E$34,4,FALSE)*3600)/1000)</f>
        <v>1.408284662557</v>
      </c>
      <c r="BF30" s="90">
        <f t="shared" si="2"/>
        <v>8795.88944675038</v>
      </c>
      <c r="BG30" s="90">
        <f t="shared" si="0"/>
        <v>9810.96372301119</v>
      </c>
      <c r="BH30" s="90">
        <f t="shared" si="1"/>
        <v>17673.6833619989</v>
      </c>
      <c r="BI30" s="90">
        <f t="shared" si="3"/>
        <v>34592.757028731</v>
      </c>
      <c r="BJ30" s="90">
        <f>BF30/((VLOOKUP(B30,'Cell-Characteristics'!$B$4:$Q$34,13,FALSE)))</f>
        <v>163.404227807795</v>
      </c>
      <c r="BK30" s="90">
        <f>BG30/((VLOOKUP(B30,'Cell-Characteristics'!$B$4:$Q$34,14,FALSE)))</f>
        <v>2654.13216658878</v>
      </c>
      <c r="BL30" s="90">
        <f>BH30/((VLOOKUP(B30,'Cell-Characteristics'!$B$4:$Q$34,15,FALSE)))</f>
        <v>4781.21139141152</v>
      </c>
      <c r="BM30" s="90">
        <f>BI30/((VLOOKUP(B30,'Cell-Characteristics'!$B$4:$Q$34,16,FALSE)))</f>
        <v>565.038074286981</v>
      </c>
      <c r="BN30" s="50">
        <f t="shared" si="4"/>
        <v>2.63803333333333</v>
      </c>
    </row>
    <row r="31" s="50" customFormat="1" spans="2:66">
      <c r="B31" s="90" t="s">
        <v>136</v>
      </c>
      <c r="C31" s="91" t="s">
        <v>297</v>
      </c>
      <c r="D31" s="90" t="s">
        <v>193</v>
      </c>
      <c r="E31" s="92" t="s">
        <v>194</v>
      </c>
      <c r="F31" s="93" t="s">
        <v>195</v>
      </c>
      <c r="G31" s="93" t="s">
        <v>196</v>
      </c>
      <c r="H31" s="94">
        <v>43812</v>
      </c>
      <c r="I31" s="95">
        <v>105</v>
      </c>
      <c r="J31" s="95">
        <v>100</v>
      </c>
      <c r="K31" s="96">
        <v>4.19</v>
      </c>
      <c r="L31" s="97">
        <v>71.993</v>
      </c>
      <c r="M31" s="97">
        <v>52.7</v>
      </c>
      <c r="N31" s="97">
        <v>51.9</v>
      </c>
      <c r="O31" s="96" t="s">
        <v>290</v>
      </c>
      <c r="P31" s="96" t="s">
        <v>278</v>
      </c>
      <c r="Q31" s="98" t="s">
        <v>199</v>
      </c>
      <c r="R31" s="99">
        <v>77.14418775351</v>
      </c>
      <c r="S31" s="100">
        <v>0.0513</v>
      </c>
      <c r="T31" s="100">
        <v>80.8773477773645</v>
      </c>
      <c r="U31" s="97">
        <v>82.7571710026512</v>
      </c>
      <c r="V31" s="97">
        <v>19.1797651475878</v>
      </c>
      <c r="W31" s="97">
        <f>(Z31/100)*U31</f>
        <v>20.5920682369038</v>
      </c>
      <c r="X31" s="97">
        <f>(AA31/100)*U31</f>
        <v>42.9853376181597</v>
      </c>
      <c r="Y31" s="97">
        <v>23.1759555277371</v>
      </c>
      <c r="Z31" s="97">
        <v>24.8825183212753</v>
      </c>
      <c r="AA31" s="97">
        <v>51.9415261509877</v>
      </c>
      <c r="AB31" s="97">
        <v>0.57134590269096</v>
      </c>
      <c r="AC31" s="97">
        <v>1.30847732259573</v>
      </c>
      <c r="AD31" s="97">
        <v>8.62599999999998</v>
      </c>
      <c r="AE31" s="97">
        <v>3.30889999999999</v>
      </c>
      <c r="AF31" s="97">
        <v>3.0094</v>
      </c>
      <c r="AG31" s="97">
        <v>933.948540574094</v>
      </c>
      <c r="AH31" s="97">
        <v>113.6693</v>
      </c>
      <c r="AI31" s="97">
        <v>105.890490081597</v>
      </c>
      <c r="AJ31" s="97">
        <v>128.1082</v>
      </c>
      <c r="AK31" s="92">
        <v>238.12194</v>
      </c>
      <c r="AL31" s="97">
        <v>30.5</v>
      </c>
      <c r="AM31" s="97">
        <v>2.8</v>
      </c>
      <c r="AN31" s="97">
        <v>6.1</v>
      </c>
      <c r="AO31" s="97">
        <v>2.1</v>
      </c>
      <c r="AP31" s="97">
        <v>4.8</v>
      </c>
      <c r="AQ31" s="97">
        <v>10.5</v>
      </c>
      <c r="AR31" s="97">
        <v>0</v>
      </c>
      <c r="AS31" s="97">
        <v>15.193</v>
      </c>
      <c r="AT31" s="97">
        <v>41.493</v>
      </c>
      <c r="AU31" s="97">
        <v>57.6347700470879</v>
      </c>
      <c r="AV31" s="97">
        <v>0</v>
      </c>
      <c r="AW31" s="90" t="s">
        <v>298</v>
      </c>
      <c r="AX31" s="90" t="s">
        <v>299</v>
      </c>
      <c r="AY31" s="90" t="s">
        <v>202</v>
      </c>
      <c r="AZ31" s="90" t="s">
        <v>296</v>
      </c>
      <c r="BA31" s="90" t="s">
        <v>204</v>
      </c>
      <c r="BB31" s="90" t="s">
        <v>134</v>
      </c>
      <c r="BC31" s="93">
        <v>5</v>
      </c>
      <c r="BD31" s="93">
        <v>6.17283950617284</v>
      </c>
      <c r="BE31" s="96">
        <f>U31/((VLOOKUP(B31,'Cell-Characteristics'!$B$4:$E$34,3,FALSE)*VLOOKUP(B31,'Cell-Characteristics'!$B$4:$E$34,4,FALSE)*3600)/1000)</f>
        <v>1.27711683646067</v>
      </c>
      <c r="BF31" s="90">
        <f t="shared" si="2"/>
        <v>2223.4830915358</v>
      </c>
      <c r="BG31" s="90">
        <f t="shared" si="0"/>
        <v>6223.23679679165</v>
      </c>
      <c r="BH31" s="90">
        <f t="shared" si="1"/>
        <v>14283.6903097493</v>
      </c>
      <c r="BI31" s="90">
        <f t="shared" si="3"/>
        <v>16613.1242686479</v>
      </c>
      <c r="BJ31" s="90">
        <f>BF31/((VLOOKUP(B31,'Cell-Characteristics'!$B$4:$Q$34,13,FALSE)))</f>
        <v>41.3064011110699</v>
      </c>
      <c r="BK31" s="90">
        <f>BG31/((VLOOKUP(B31,'Cell-Characteristics'!$B$4:$Q$34,14,FALSE)))</f>
        <v>1683.55458535873</v>
      </c>
      <c r="BL31" s="90">
        <f>BH31/((VLOOKUP(B31,'Cell-Characteristics'!$B$4:$Q$34,15,FALSE)))</f>
        <v>3864.12619381928</v>
      </c>
      <c r="BM31" s="90">
        <f>BI31/((VLOOKUP(B31,'Cell-Characteristics'!$B$4:$Q$34,16,FALSE)))</f>
        <v>271.358762669615</v>
      </c>
      <c r="BN31" s="50">
        <f t="shared" si="4"/>
        <v>4.98143333333332</v>
      </c>
    </row>
    <row r="32" s="50" customFormat="1" ht="16.5" customHeight="1" spans="2:66">
      <c r="B32" s="90" t="s">
        <v>136</v>
      </c>
      <c r="C32" s="91" t="s">
        <v>300</v>
      </c>
      <c r="D32" s="90" t="s">
        <v>193</v>
      </c>
      <c r="E32" s="92" t="s">
        <v>194</v>
      </c>
      <c r="F32" s="93" t="s">
        <v>195</v>
      </c>
      <c r="G32" s="93" t="s">
        <v>196</v>
      </c>
      <c r="H32" s="57">
        <v>43813</v>
      </c>
      <c r="I32" s="95">
        <v>80</v>
      </c>
      <c r="J32" s="95">
        <v>100</v>
      </c>
      <c r="K32" s="96">
        <v>4.168</v>
      </c>
      <c r="L32" s="97">
        <v>72.9903</v>
      </c>
      <c r="M32" s="97">
        <v>54.1</v>
      </c>
      <c r="N32" s="97">
        <v>52.7</v>
      </c>
      <c r="O32" s="96" t="s">
        <v>290</v>
      </c>
      <c r="P32" s="96" t="s">
        <v>278</v>
      </c>
      <c r="Q32" s="98" t="s">
        <v>199</v>
      </c>
      <c r="R32" s="99">
        <v>76.1097732201829</v>
      </c>
      <c r="S32" s="100">
        <v>0.0505</v>
      </c>
      <c r="T32" s="100">
        <v>81.9729702351812</v>
      </c>
      <c r="U32" s="97">
        <v>83.6540362331465</v>
      </c>
      <c r="V32" s="97">
        <v>37.8034929370477</v>
      </c>
      <c r="W32" s="97">
        <v>26.9923999045793</v>
      </c>
      <c r="X32" s="97">
        <v>18.8581433915194</v>
      </c>
      <c r="Y32" s="97">
        <v>45.1902796796178</v>
      </c>
      <c r="Z32" s="97">
        <v>32.2667035806266</v>
      </c>
      <c r="AA32" s="97">
        <v>22.5430167397556</v>
      </c>
      <c r="AB32" s="97">
        <v>0.86808565914139</v>
      </c>
      <c r="AC32" s="97">
        <v>0.812980338823927</v>
      </c>
      <c r="AD32" s="97">
        <v>1.8008</v>
      </c>
      <c r="AE32" s="97">
        <v>4.7101</v>
      </c>
      <c r="AF32" s="97">
        <v>3.7039</v>
      </c>
      <c r="AG32" s="97">
        <v>941.372647274629</v>
      </c>
      <c r="AH32" s="97">
        <v>96.217</v>
      </c>
      <c r="AI32" s="97">
        <v>90.3077978924172</v>
      </c>
      <c r="AJ32" s="97">
        <v>102.2302</v>
      </c>
      <c r="AK32" s="92">
        <v>206.333715</v>
      </c>
      <c r="AL32" s="97">
        <v>43</v>
      </c>
      <c r="AM32" s="97">
        <v>2.5</v>
      </c>
      <c r="AN32" s="97">
        <v>6.3</v>
      </c>
      <c r="AO32" s="97">
        <v>0.399999999999999</v>
      </c>
      <c r="AP32" s="97">
        <v>1.6</v>
      </c>
      <c r="AQ32" s="97">
        <v>3.3</v>
      </c>
      <c r="AR32" s="97">
        <v>0.899999999999999</v>
      </c>
      <c r="AS32" s="97">
        <v>14.9903</v>
      </c>
      <c r="AT32" s="97">
        <v>29.9903</v>
      </c>
      <c r="AU32" s="97">
        <v>41.0880623863719</v>
      </c>
      <c r="AV32" s="97">
        <v>0</v>
      </c>
      <c r="AW32" s="90" t="s">
        <v>301</v>
      </c>
      <c r="AX32" s="90" t="s">
        <v>302</v>
      </c>
      <c r="AY32" s="90" t="s">
        <v>202</v>
      </c>
      <c r="AZ32" s="90" t="s">
        <v>203</v>
      </c>
      <c r="BA32" s="90" t="s">
        <v>204</v>
      </c>
      <c r="BB32" s="90"/>
      <c r="BC32" s="93">
        <v>5</v>
      </c>
      <c r="BD32" s="93">
        <v>6.17283950617284</v>
      </c>
      <c r="BE32" s="96">
        <f>U32/((VLOOKUP(B32,'Cell-Characteristics'!$B$4:$E$34,3,FALSE)*VLOOKUP(B32,'Cell-Characteristics'!$B$4:$E$34,4,FALSE)*3600)/1000)</f>
        <v>1.29095734927695</v>
      </c>
      <c r="BF32" s="90">
        <f t="shared" si="2"/>
        <v>20992.6104714836</v>
      </c>
      <c r="BG32" s="90">
        <f t="shared" si="0"/>
        <v>5730.74879611458</v>
      </c>
      <c r="BH32" s="90">
        <f t="shared" si="1"/>
        <v>5091.42886998013</v>
      </c>
      <c r="BI32" s="90">
        <f t="shared" si="3"/>
        <v>24568.4799212358</v>
      </c>
      <c r="BJ32" s="90">
        <f>BF32/((VLOOKUP(B32,'Cell-Characteristics'!$B$4:$Q$34,13,FALSE)))</f>
        <v>389.986859717744</v>
      </c>
      <c r="BK32" s="90">
        <f>BG32/((VLOOKUP(B32,'Cell-Characteristics'!$B$4:$Q$34,14,FALSE)))</f>
        <v>1550.32320451179</v>
      </c>
      <c r="BL32" s="90">
        <f>BH32/((VLOOKUP(B32,'Cell-Characteristics'!$B$4:$Q$34,15,FALSE)))</f>
        <v>1377.36979966791</v>
      </c>
      <c r="BM32" s="90">
        <f>BI32/((VLOOKUP(B32,'Cell-Characteristics'!$B$4:$Q$34,16,FALSE)))</f>
        <v>401.301537524853</v>
      </c>
      <c r="BN32" s="50">
        <f t="shared" si="4"/>
        <v>3.40493333333333</v>
      </c>
    </row>
    <row r="33" s="50" customFormat="1" spans="2:66">
      <c r="B33" s="90" t="s">
        <v>136</v>
      </c>
      <c r="C33" s="91" t="s">
        <v>303</v>
      </c>
      <c r="D33" s="90" t="s">
        <v>193</v>
      </c>
      <c r="E33" s="92" t="s">
        <v>194</v>
      </c>
      <c r="F33" s="93" t="s">
        <v>195</v>
      </c>
      <c r="G33" s="93" t="s">
        <v>196</v>
      </c>
      <c r="H33" s="94">
        <v>43813</v>
      </c>
      <c r="I33" s="95">
        <v>97</v>
      </c>
      <c r="J33" s="95">
        <v>100</v>
      </c>
      <c r="K33" s="96">
        <v>4.179</v>
      </c>
      <c r="L33" s="97">
        <v>72.7944</v>
      </c>
      <c r="M33" s="97">
        <v>53.6</v>
      </c>
      <c r="N33" s="97">
        <v>54.6</v>
      </c>
      <c r="O33" s="96" t="s">
        <v>290</v>
      </c>
      <c r="P33" s="96" t="s">
        <v>278</v>
      </c>
      <c r="Q33" s="98" t="s">
        <v>199</v>
      </c>
      <c r="R33" s="99">
        <v>84.4497802007246</v>
      </c>
      <c r="S33" s="100">
        <v>0.0397</v>
      </c>
      <c r="T33" s="100">
        <v>87.7982233922238</v>
      </c>
      <c r="U33" s="97">
        <v>89.9347060209669</v>
      </c>
      <c r="V33" s="97">
        <v>30.6379395310987</v>
      </c>
      <c r="W33" s="97">
        <f>(Z33/100)*U33</f>
        <v>31.9828039165935</v>
      </c>
      <c r="X33" s="97">
        <f>(AA33/100)*U33</f>
        <v>27.3139625732747</v>
      </c>
      <c r="Y33" s="97">
        <v>34.0668701623998</v>
      </c>
      <c r="Z33" s="97">
        <v>35.5622488043016</v>
      </c>
      <c r="AA33" s="97">
        <v>30.3708810332986</v>
      </c>
      <c r="AB33" s="97">
        <v>1.0475900100229</v>
      </c>
      <c r="AC33" s="97">
        <v>1.08889261872019</v>
      </c>
      <c r="AD33" s="97">
        <v>8.5209</v>
      </c>
      <c r="AE33" s="97">
        <v>3.0076</v>
      </c>
      <c r="AF33" s="97">
        <v>2.8066</v>
      </c>
      <c r="AG33" s="97">
        <v>930.086035784759</v>
      </c>
      <c r="AH33" s="97">
        <v>42.1005</v>
      </c>
      <c r="AI33" s="97">
        <v>38.9489764414274</v>
      </c>
      <c r="AJ33" s="97">
        <v>47.9132</v>
      </c>
      <c r="AK33" s="92">
        <v>81.24709</v>
      </c>
      <c r="AL33" s="97">
        <v>33.8</v>
      </c>
      <c r="AM33" s="97">
        <v>2</v>
      </c>
      <c r="AN33" s="97">
        <v>10.8</v>
      </c>
      <c r="AO33" s="97">
        <v>0.200000000000003</v>
      </c>
      <c r="AP33" s="97">
        <v>0.8</v>
      </c>
      <c r="AQ33" s="97">
        <v>7.2</v>
      </c>
      <c r="AR33" s="97">
        <v>0.700000000000003</v>
      </c>
      <c r="AS33" s="97">
        <v>17.2944</v>
      </c>
      <c r="AT33" s="97">
        <v>38.9944</v>
      </c>
      <c r="AU33" s="97">
        <v>53.5678568681107</v>
      </c>
      <c r="AV33" s="97" t="s">
        <v>159</v>
      </c>
      <c r="AW33" s="90" t="s">
        <v>304</v>
      </c>
      <c r="AX33" s="90" t="s">
        <v>305</v>
      </c>
      <c r="AY33" s="90" t="s">
        <v>202</v>
      </c>
      <c r="AZ33" s="90" t="s">
        <v>296</v>
      </c>
      <c r="BA33" s="90" t="s">
        <v>204</v>
      </c>
      <c r="BB33" s="90"/>
      <c r="BC33" s="93">
        <v>6</v>
      </c>
      <c r="BD33" s="93">
        <v>7.40740740740741</v>
      </c>
      <c r="BE33" s="96">
        <f>U33/((VLOOKUP(B33,'Cell-Characteristics'!$B$4:$E$34,3,FALSE)*VLOOKUP(B33,'Cell-Characteristics'!$B$4:$E$34,4,FALSE)*3600)/1000)</f>
        <v>1.38788126575566</v>
      </c>
      <c r="BF33" s="90">
        <f t="shared" si="2"/>
        <v>3595.62247310715</v>
      </c>
      <c r="BG33" s="90">
        <f t="shared" si="0"/>
        <v>10633.9951843973</v>
      </c>
      <c r="BH33" s="90">
        <f t="shared" si="1"/>
        <v>9732.0468086919</v>
      </c>
      <c r="BI33" s="90">
        <f t="shared" si="3"/>
        <v>18821.2232954706</v>
      </c>
      <c r="BJ33" s="90">
        <f>BF33/((VLOOKUP(B33,'Cell-Characteristics'!$B$4:$Q$34,13,FALSE)))</f>
        <v>66.7971007665967</v>
      </c>
      <c r="BK33" s="90">
        <f>BG33/((VLOOKUP(B33,'Cell-Characteristics'!$B$4:$Q$34,14,FALSE)))</f>
        <v>2876.78453158083</v>
      </c>
      <c r="BL33" s="90">
        <f>BH33/((VLOOKUP(B33,'Cell-Characteristics'!$B$4:$Q$34,15,FALSE)))</f>
        <v>2632.78299777151</v>
      </c>
      <c r="BM33" s="90">
        <f>BI33/((VLOOKUP(B33,'Cell-Characteristics'!$B$4:$Q$34,16,FALSE)))</f>
        <v>307.425850959648</v>
      </c>
      <c r="BN33" s="50">
        <f t="shared" si="4"/>
        <v>4.77836666666667</v>
      </c>
    </row>
    <row r="34" s="50" customFormat="1" ht="16.5" customHeight="1" spans="2:66">
      <c r="B34" s="90" t="s">
        <v>136</v>
      </c>
      <c r="C34" s="90" t="s">
        <v>306</v>
      </c>
      <c r="D34" s="90" t="s">
        <v>193</v>
      </c>
      <c r="E34" s="92" t="s">
        <v>194</v>
      </c>
      <c r="F34" s="93" t="s">
        <v>195</v>
      </c>
      <c r="G34" s="93" t="s">
        <v>196</v>
      </c>
      <c r="H34" s="94">
        <v>43813</v>
      </c>
      <c r="I34" s="95">
        <v>90</v>
      </c>
      <c r="J34" s="95">
        <v>100</v>
      </c>
      <c r="K34" s="96">
        <v>4.18</v>
      </c>
      <c r="L34" s="97">
        <v>72.7</v>
      </c>
      <c r="M34" s="97">
        <v>48.5</v>
      </c>
      <c r="N34" s="97">
        <v>48.8</v>
      </c>
      <c r="O34" s="96" t="s">
        <v>278</v>
      </c>
      <c r="P34" s="96" t="s">
        <v>278</v>
      </c>
      <c r="Q34" s="98" t="s">
        <v>199</v>
      </c>
      <c r="R34" s="99">
        <v>74.9732329485033</v>
      </c>
      <c r="S34" s="100">
        <v>0.0382</v>
      </c>
      <c r="T34" s="100">
        <v>78.9161518656064</v>
      </c>
      <c r="U34" s="97">
        <v>80.9048101429204</v>
      </c>
      <c r="V34" s="97">
        <v>31.1879846039528</v>
      </c>
      <c r="W34" s="97">
        <v>20.9133956501186</v>
      </c>
      <c r="X34" s="97">
        <v>28.8034298888489</v>
      </c>
      <c r="Y34" s="97">
        <v>38.5489868264426</v>
      </c>
      <c r="Z34" s="97">
        <v>25.8493847438423</v>
      </c>
      <c r="AA34" s="97">
        <v>35.601628429715</v>
      </c>
      <c r="AB34" s="97">
        <v>0.84924376275</v>
      </c>
      <c r="AC34" s="97">
        <v>1.139414514564</v>
      </c>
      <c r="AD34" s="97">
        <v>3.3091</v>
      </c>
      <c r="AE34" s="97">
        <v>2.8076</v>
      </c>
      <c r="AF34" s="97">
        <v>3.3091</v>
      </c>
      <c r="AG34" s="97">
        <v>935.271972826128</v>
      </c>
      <c r="AH34" s="97">
        <v>43.1056</v>
      </c>
      <c r="AI34" s="97">
        <v>40.0782961054606</v>
      </c>
      <c r="AJ34" s="97">
        <v>51.1145</v>
      </c>
      <c r="AK34" s="92">
        <v>102.75858</v>
      </c>
      <c r="AL34" s="97">
        <v>40.7</v>
      </c>
      <c r="AM34" s="97">
        <v>1.2</v>
      </c>
      <c r="AN34" s="97">
        <v>4</v>
      </c>
      <c r="AO34" s="97">
        <v>0.300000000000004</v>
      </c>
      <c r="AP34" s="97">
        <v>0.699999999999999</v>
      </c>
      <c r="AQ34" s="97">
        <v>7.4</v>
      </c>
      <c r="AR34" s="97">
        <v>0.600000000000001</v>
      </c>
      <c r="AS34" s="97">
        <v>17.8</v>
      </c>
      <c r="AT34" s="97">
        <v>32</v>
      </c>
      <c r="AU34" s="97">
        <v>44.0165061898212</v>
      </c>
      <c r="AV34" s="97">
        <v>0</v>
      </c>
      <c r="AW34" s="90" t="s">
        <v>307</v>
      </c>
      <c r="AX34" s="90" t="s">
        <v>202</v>
      </c>
      <c r="AY34" s="90" t="s">
        <v>202</v>
      </c>
      <c r="AZ34" s="90" t="s">
        <v>212</v>
      </c>
      <c r="BA34" s="102" t="s">
        <v>202</v>
      </c>
      <c r="BB34" s="90"/>
      <c r="BC34" s="93">
        <v>6</v>
      </c>
      <c r="BD34" s="93">
        <v>7.40740740740741</v>
      </c>
      <c r="BE34" s="96">
        <f>U34/((VLOOKUP(B34,'Cell-Characteristics'!$B$4:$E$34,3,FALSE)*VLOOKUP(B34,'Cell-Characteristics'!$B$4:$E$34,4,FALSE)*3600)/1000)</f>
        <v>1.24853102072408</v>
      </c>
      <c r="BF34" s="90">
        <f t="shared" si="2"/>
        <v>9424.91450967115</v>
      </c>
      <c r="BG34" s="90">
        <f t="shared" si="0"/>
        <v>7448.85156365529</v>
      </c>
      <c r="BH34" s="90">
        <f t="shared" si="1"/>
        <v>8704.309295231</v>
      </c>
      <c r="BI34" s="90">
        <f t="shared" si="3"/>
        <v>25750.0085328313</v>
      </c>
      <c r="BJ34" s="90">
        <f>BF34/((VLOOKUP(B34,'Cell-Characteristics'!$B$4:$Q$34,13,FALSE)))</f>
        <v>175.089840195329</v>
      </c>
      <c r="BK34" s="90">
        <f>BG34/((VLOOKUP(B34,'Cell-Characteristics'!$B$4:$Q$34,14,FALSE)))</f>
        <v>2015.1166692088</v>
      </c>
      <c r="BL34" s="90">
        <f>BH34/((VLOOKUP(B34,'Cell-Characteristics'!$B$4:$Q$34,15,FALSE)))</f>
        <v>2354.75208559019</v>
      </c>
      <c r="BM34" s="90">
        <f>BI34/((VLOOKUP(B34,'Cell-Characteristics'!$B$4:$Q$34,16,FALSE)))</f>
        <v>420.600625217008</v>
      </c>
      <c r="BN34" s="50">
        <f t="shared" si="4"/>
        <v>3.14193333333333</v>
      </c>
    </row>
    <row r="35" s="50" customFormat="1" ht="16.5" customHeight="1" spans="2:66">
      <c r="B35" s="90" t="s">
        <v>136</v>
      </c>
      <c r="C35" s="90" t="s">
        <v>308</v>
      </c>
      <c r="D35" s="90" t="s">
        <v>193</v>
      </c>
      <c r="E35" s="92" t="s">
        <v>194</v>
      </c>
      <c r="F35" s="93" t="s">
        <v>195</v>
      </c>
      <c r="G35" s="93" t="s">
        <v>196</v>
      </c>
      <c r="H35" s="94">
        <v>43813</v>
      </c>
      <c r="I35" s="95">
        <v>93</v>
      </c>
      <c r="J35" s="95">
        <v>100</v>
      </c>
      <c r="K35" s="96">
        <v>4.17</v>
      </c>
      <c r="L35" s="97">
        <v>72.7</v>
      </c>
      <c r="M35" s="97">
        <v>48.1</v>
      </c>
      <c r="N35" s="97">
        <v>51.09</v>
      </c>
      <c r="O35" s="96" t="s">
        <v>278</v>
      </c>
      <c r="P35" s="96" t="s">
        <v>278</v>
      </c>
      <c r="Q35" s="98" t="s">
        <v>199</v>
      </c>
      <c r="R35" s="99">
        <v>71.7913244271877</v>
      </c>
      <c r="S35" s="100">
        <v>0.0475</v>
      </c>
      <c r="T35" s="100">
        <v>76.4967077358622</v>
      </c>
      <c r="U35" s="97">
        <v>78.4384194185077</v>
      </c>
      <c r="V35" s="97">
        <v>23.8422321554195</v>
      </c>
      <c r="W35" s="97">
        <v>29.5627093534818</v>
      </c>
      <c r="X35" s="97">
        <v>25.0334779096063</v>
      </c>
      <c r="Y35" s="97">
        <v>30.3961149806059</v>
      </c>
      <c r="Z35" s="97">
        <v>37.6890681538981</v>
      </c>
      <c r="AA35" s="97">
        <v>31.9148168654959</v>
      </c>
      <c r="AB35" s="97">
        <v>1.0750449617763</v>
      </c>
      <c r="AC35" s="97">
        <v>0.8666667208692</v>
      </c>
      <c r="AD35" s="97">
        <v>7.818</v>
      </c>
      <c r="AE35" s="97">
        <v>4.3122</v>
      </c>
      <c r="AF35" s="97">
        <v>3.3059</v>
      </c>
      <c r="AG35" s="97">
        <v>937.068640329535</v>
      </c>
      <c r="AH35" s="97">
        <v>99.1231</v>
      </c>
      <c r="AI35" s="97">
        <v>92.6363384367598</v>
      </c>
      <c r="AJ35" s="97">
        <v>105.8287</v>
      </c>
      <c r="AK35" s="92">
        <v>204.055175</v>
      </c>
      <c r="AL35" s="97">
        <v>38.9</v>
      </c>
      <c r="AM35" s="97">
        <v>3.9</v>
      </c>
      <c r="AN35" s="97">
        <v>4.3</v>
      </c>
      <c r="AO35" s="97">
        <v>0.299999999999997</v>
      </c>
      <c r="AP35" s="97">
        <v>4.5</v>
      </c>
      <c r="AQ35" s="97">
        <v>3</v>
      </c>
      <c r="AR35" s="97">
        <v>0.210000000000001</v>
      </c>
      <c r="AS35" s="97">
        <v>17.59</v>
      </c>
      <c r="AT35" s="97">
        <v>33.8</v>
      </c>
      <c r="AU35" s="97">
        <v>46.4924346629986</v>
      </c>
      <c r="AV35" s="97">
        <v>0</v>
      </c>
      <c r="AW35" s="90" t="s">
        <v>309</v>
      </c>
      <c r="AX35" s="90" t="s">
        <v>202</v>
      </c>
      <c r="AY35" s="90" t="s">
        <v>202</v>
      </c>
      <c r="AZ35" s="90" t="s">
        <v>212</v>
      </c>
      <c r="BA35" s="102" t="s">
        <v>202</v>
      </c>
      <c r="BB35" s="90"/>
      <c r="BC35" s="93">
        <v>6</v>
      </c>
      <c r="BD35" s="93">
        <v>7.40740740740741</v>
      </c>
      <c r="BE35" s="96">
        <f>U35/((VLOOKUP(B35,'Cell-Characteristics'!$B$4:$E$34,3,FALSE)*VLOOKUP(B35,'Cell-Characteristics'!$B$4:$E$34,4,FALSE)*3600)/1000)</f>
        <v>1.2104694354708</v>
      </c>
      <c r="BF35" s="90">
        <f t="shared" si="2"/>
        <v>3049.65875612938</v>
      </c>
      <c r="BG35" s="90">
        <f t="shared" si="0"/>
        <v>6855.59792066273</v>
      </c>
      <c r="BH35" s="90">
        <f t="shared" si="1"/>
        <v>7572.36392800941</v>
      </c>
      <c r="BI35" s="90">
        <f t="shared" si="3"/>
        <v>15244.4761471825</v>
      </c>
      <c r="BJ35" s="90">
        <f>BF35/((VLOOKUP(B35,'Cell-Characteristics'!$B$4:$Q$34,13,FALSE)))</f>
        <v>56.6545472336182</v>
      </c>
      <c r="BK35" s="90">
        <f>BG35/((VLOOKUP(B35,'Cell-Characteristics'!$B$4:$Q$34,14,FALSE)))</f>
        <v>1854.62544517956</v>
      </c>
      <c r="BL35" s="90">
        <f>BH35/((VLOOKUP(B35,'Cell-Characteristics'!$B$4:$Q$34,15,FALSE)))</f>
        <v>2048.53011853537</v>
      </c>
      <c r="BM35" s="90">
        <f>BI35/((VLOOKUP(B35,'Cell-Characteristics'!$B$4:$Q$34,16,FALSE)))</f>
        <v>249.00326500613</v>
      </c>
      <c r="BN35" s="50">
        <f t="shared" si="4"/>
        <v>5.14536666666667</v>
      </c>
    </row>
    <row r="36" s="50" customFormat="1" spans="2:66">
      <c r="B36" s="90" t="s">
        <v>136</v>
      </c>
      <c r="C36" s="91" t="s">
        <v>310</v>
      </c>
      <c r="D36" s="90" t="s">
        <v>227</v>
      </c>
      <c r="E36" s="92" t="s">
        <v>228</v>
      </c>
      <c r="F36" s="93" t="s">
        <v>229</v>
      </c>
      <c r="G36" s="93" t="s">
        <v>230</v>
      </c>
      <c r="H36" s="94">
        <v>43400</v>
      </c>
      <c r="I36" s="95">
        <v>3</v>
      </c>
      <c r="J36" s="95">
        <v>100</v>
      </c>
      <c r="K36" s="96">
        <v>4.153</v>
      </c>
      <c r="L36" s="97">
        <v>70.4393</v>
      </c>
      <c r="M36" s="97">
        <v>47</v>
      </c>
      <c r="N36" s="97">
        <v>49.5</v>
      </c>
      <c r="O36" s="92" t="s">
        <v>278</v>
      </c>
      <c r="P36" s="92" t="s">
        <v>278</v>
      </c>
      <c r="Q36" s="98" t="s">
        <v>199</v>
      </c>
      <c r="R36" s="99">
        <v>70.5834433639142</v>
      </c>
      <c r="S36" s="100">
        <v>0.035</v>
      </c>
      <c r="T36" s="100">
        <v>76.282689645239</v>
      </c>
      <c r="U36" s="97">
        <v>77.5768863176809</v>
      </c>
      <c r="V36" s="97">
        <v>34.161131115163</v>
      </c>
      <c r="W36" s="97">
        <v>33.4344259385814</v>
      </c>
      <c r="X36" s="97">
        <v>9.98132926393654</v>
      </c>
      <c r="Y36" s="97">
        <v>44.0351923577747</v>
      </c>
      <c r="Z36" s="97">
        <v>43.0984375960462</v>
      </c>
      <c r="AA36" s="97">
        <v>12.8663700461791</v>
      </c>
      <c r="AB36" s="97">
        <v>0.94139250380205</v>
      </c>
      <c r="AC36" s="97">
        <v>0.352804168639926</v>
      </c>
      <c r="AD36" s="103">
        <v>5.9263</v>
      </c>
      <c r="AE36" s="103">
        <v>5.3231</v>
      </c>
      <c r="AF36" s="103">
        <v>5.9263</v>
      </c>
      <c r="AG36" s="97">
        <v>956.036928994009</v>
      </c>
      <c r="AH36" s="97">
        <v>106.4695</v>
      </c>
      <c r="AI36" s="97">
        <v>101.921985632784</v>
      </c>
      <c r="AJ36" s="97"/>
      <c r="AK36" s="92">
        <v>233.43295</v>
      </c>
      <c r="AL36" s="97">
        <v>41.956</v>
      </c>
      <c r="AM36" s="97">
        <v>0.55</v>
      </c>
      <c r="AN36" s="97">
        <v>2.65</v>
      </c>
      <c r="AO36" s="97">
        <v>0.6</v>
      </c>
      <c r="AP36" s="97">
        <v>1.21</v>
      </c>
      <c r="AQ36" s="97">
        <v>6.89</v>
      </c>
      <c r="AR36" s="97">
        <v>1.14</v>
      </c>
      <c r="AS36" s="97">
        <v>15.4433</v>
      </c>
      <c r="AT36" s="97">
        <f>L36-AL36</f>
        <v>28.4833</v>
      </c>
      <c r="AU36" s="97">
        <f>100*(AT36/L36)</f>
        <v>40.436659648804</v>
      </c>
      <c r="AV36" s="97">
        <v>0</v>
      </c>
      <c r="AW36" s="90" t="s">
        <v>311</v>
      </c>
      <c r="AX36" s="90" t="s">
        <v>134</v>
      </c>
      <c r="AY36" s="90" t="s">
        <v>134</v>
      </c>
      <c r="AZ36" s="90" t="s">
        <v>212</v>
      </c>
      <c r="BA36" s="90" t="s">
        <v>204</v>
      </c>
      <c r="BB36" s="90" t="s">
        <v>312</v>
      </c>
      <c r="BC36" s="93">
        <v>11</v>
      </c>
      <c r="BD36" s="93">
        <v>22</v>
      </c>
      <c r="BE36" s="96">
        <f>U36/((VLOOKUP(B36,'Cell-Characteristics'!$B$4:$E$34,3,FALSE)*VLOOKUP(B36,'Cell-Characteristics'!$B$4:$E$34,4,FALSE)*3600)/1000)</f>
        <v>1.19717417156915</v>
      </c>
      <c r="BF36" s="90">
        <f t="shared" si="2"/>
        <v>5764.32700254172</v>
      </c>
      <c r="BG36" s="90">
        <f t="shared" si="0"/>
        <v>6281.00654479183</v>
      </c>
      <c r="BH36" s="90">
        <f t="shared" si="1"/>
        <v>1684.2429954502</v>
      </c>
      <c r="BI36" s="90">
        <f t="shared" si="3"/>
        <v>13549.99557241</v>
      </c>
      <c r="BJ36" s="90">
        <f>BF36/((VLOOKUP(B36,'Cell-Characteristics'!$B$4:$Q$34,13,FALSE)))</f>
        <v>107.085861911321</v>
      </c>
      <c r="BK36" s="90">
        <f>BG36/((VLOOKUP(B36,'Cell-Characteristics'!$B$4:$Q$34,14,FALSE)))</f>
        <v>1699.18287130004</v>
      </c>
      <c r="BL36" s="90">
        <f>BH36/((VLOOKUP(B36,'Cell-Characteristics'!$B$4:$Q$34,15,FALSE)))</f>
        <v>455.633476667696</v>
      </c>
      <c r="BM36" s="90">
        <f>BI36/((VLOOKUP(B36,'Cell-Characteristics'!$B$4:$Q$34,16,FALSE)))</f>
        <v>221.325620229482</v>
      </c>
      <c r="BN36" s="50">
        <f t="shared" si="4"/>
        <v>5.72523333333333</v>
      </c>
    </row>
    <row r="37" s="50" customFormat="1" spans="2:66">
      <c r="B37" s="90" t="s">
        <v>136</v>
      </c>
      <c r="C37" s="91" t="s">
        <v>313</v>
      </c>
      <c r="D37" s="90" t="s">
        <v>227</v>
      </c>
      <c r="E37" s="92" t="s">
        <v>228</v>
      </c>
      <c r="F37" s="93" t="s">
        <v>229</v>
      </c>
      <c r="G37" s="93" t="s">
        <v>230</v>
      </c>
      <c r="H37" s="94">
        <v>43400</v>
      </c>
      <c r="I37" s="95">
        <v>11</v>
      </c>
      <c r="J37" s="95">
        <v>100</v>
      </c>
      <c r="K37" s="96">
        <v>4.152</v>
      </c>
      <c r="L37" s="97">
        <v>70.4892</v>
      </c>
      <c r="M37" s="97">
        <v>47.9</v>
      </c>
      <c r="N37" s="97">
        <v>47.6</v>
      </c>
      <c r="O37" s="92" t="s">
        <v>290</v>
      </c>
      <c r="P37" s="92" t="s">
        <v>278</v>
      </c>
      <c r="Q37" s="98" t="s">
        <v>199</v>
      </c>
      <c r="R37" s="99">
        <v>79.1382613482925</v>
      </c>
      <c r="S37" s="100">
        <v>0.038</v>
      </c>
      <c r="T37" s="100">
        <v>83.9842052230798</v>
      </c>
      <c r="U37" s="97">
        <v>85.5503740278113</v>
      </c>
      <c r="V37" s="97">
        <v>29.725868856804</v>
      </c>
      <c r="W37" s="97">
        <v>38.0215228583639</v>
      </c>
      <c r="X37" s="97">
        <v>17.8029823126434</v>
      </c>
      <c r="Y37" s="97">
        <v>34.7466264111721</v>
      </c>
      <c r="Z37" s="97">
        <v>44.4434326447288</v>
      </c>
      <c r="AA37" s="97">
        <v>20.8099409440991</v>
      </c>
      <c r="AB37" s="97">
        <v>0.955502843324532</v>
      </c>
      <c r="AC37" s="97">
        <v>0.610665961406928</v>
      </c>
      <c r="AD37" s="103">
        <v>7.9329</v>
      </c>
      <c r="AE37" s="103">
        <v>4.9227</v>
      </c>
      <c r="AF37" s="103">
        <v>4.2232</v>
      </c>
      <c r="AG37" s="97">
        <v>505.118382333013</v>
      </c>
      <c r="AH37" s="97">
        <v>413.1214</v>
      </c>
      <c r="AI37" s="97">
        <v>88.3005278996766</v>
      </c>
      <c r="AJ37" s="97"/>
      <c r="AK37" s="92">
        <v>195.013585</v>
      </c>
      <c r="AL37" s="97">
        <v>38.056</v>
      </c>
      <c r="AM37" s="97">
        <v>4.475</v>
      </c>
      <c r="AN37" s="97">
        <v>6.815</v>
      </c>
      <c r="AO37" s="97">
        <v>2.22</v>
      </c>
      <c r="AP37" s="97">
        <v>0.4</v>
      </c>
      <c r="AQ37" s="97">
        <v>3.86</v>
      </c>
      <c r="AR37" s="97">
        <v>0.447</v>
      </c>
      <c r="AS37" s="97">
        <v>14.2162</v>
      </c>
      <c r="AT37" s="97">
        <f>L37-AL37</f>
        <v>32.4332</v>
      </c>
      <c r="AU37" s="97">
        <f>100*(AT37/L37)</f>
        <v>46.0115875907231</v>
      </c>
      <c r="AV37" s="97">
        <v>0</v>
      </c>
      <c r="AW37" s="90" t="s">
        <v>314</v>
      </c>
      <c r="AX37" s="90" t="s">
        <v>134</v>
      </c>
      <c r="AY37" s="90" t="s">
        <v>134</v>
      </c>
      <c r="AZ37" s="90" t="s">
        <v>203</v>
      </c>
      <c r="BA37" s="90" t="s">
        <v>204</v>
      </c>
      <c r="BB37" s="90" t="s">
        <v>315</v>
      </c>
      <c r="BC37" s="93">
        <v>9</v>
      </c>
      <c r="BD37" s="93">
        <v>18</v>
      </c>
      <c r="BE37" s="96">
        <f>U37/((VLOOKUP(B37,'Cell-Characteristics'!$B$4:$E$34,3,FALSE)*VLOOKUP(B37,'Cell-Characteristics'!$B$4:$E$34,4,FALSE)*3600)/1000)</f>
        <v>1.32022182141684</v>
      </c>
      <c r="BF37" s="90">
        <f t="shared" si="2"/>
        <v>3747.16293622811</v>
      </c>
      <c r="BG37" s="90">
        <f t="shared" si="0"/>
        <v>7723.7131773953</v>
      </c>
      <c r="BH37" s="90">
        <f t="shared" si="1"/>
        <v>4215.51958530105</v>
      </c>
      <c r="BI37" s="90">
        <f t="shared" si="3"/>
        <v>15027.4680939781</v>
      </c>
      <c r="BJ37" s="90">
        <f>BF37/((VLOOKUP(B37,'Cell-Characteristics'!$B$4:$Q$34,13,FALSE)))</f>
        <v>69.6123194557157</v>
      </c>
      <c r="BK37" s="90">
        <f>BG37/((VLOOKUP(B37,'Cell-Characteristics'!$B$4:$Q$34,14,FALSE)))</f>
        <v>2089.47420135182</v>
      </c>
      <c r="BL37" s="90">
        <f>BH37/((VLOOKUP(B37,'Cell-Characteristics'!$B$4:$Q$34,15,FALSE)))</f>
        <v>1140.4125472394</v>
      </c>
      <c r="BM37" s="90">
        <f>BI37/((VLOOKUP(B37,'Cell-Characteristics'!$B$4:$Q$34,16,FALSE)))</f>
        <v>245.45865558441</v>
      </c>
      <c r="BN37" s="50">
        <f t="shared" si="4"/>
        <v>5.69293333333333</v>
      </c>
    </row>
    <row r="38" s="50" customFormat="1" spans="2:66">
      <c r="B38" s="90" t="s">
        <v>136</v>
      </c>
      <c r="C38" s="91" t="s">
        <v>316</v>
      </c>
      <c r="D38" s="90" t="s">
        <v>227</v>
      </c>
      <c r="E38" s="92" t="s">
        <v>228</v>
      </c>
      <c r="F38" s="93" t="s">
        <v>229</v>
      </c>
      <c r="G38" s="93" t="s">
        <v>230</v>
      </c>
      <c r="H38" s="94">
        <v>43400</v>
      </c>
      <c r="I38" s="95">
        <v>14</v>
      </c>
      <c r="J38" s="95">
        <v>100</v>
      </c>
      <c r="K38" s="96">
        <v>4.15</v>
      </c>
      <c r="L38" s="97">
        <v>70.5057</v>
      </c>
      <c r="M38" s="97">
        <v>49.1</v>
      </c>
      <c r="N38" s="97">
        <v>48.2</v>
      </c>
      <c r="O38" s="92" t="s">
        <v>290</v>
      </c>
      <c r="P38" s="92" t="s">
        <v>278</v>
      </c>
      <c r="Q38" s="98" t="s">
        <v>199</v>
      </c>
      <c r="R38" s="99">
        <v>71.7699114343453</v>
      </c>
      <c r="S38" s="100">
        <v>0.035</v>
      </c>
      <c r="T38" s="100">
        <v>78.425396830709</v>
      </c>
      <c r="U38" s="97">
        <v>79.7885400179657</v>
      </c>
      <c r="V38" s="97">
        <v>29.8002534207019</v>
      </c>
      <c r="W38" s="97">
        <v>41.7230030805739</v>
      </c>
      <c r="X38" s="97">
        <v>8.26528351668991</v>
      </c>
      <c r="Y38" s="97">
        <v>37.349039616456</v>
      </c>
      <c r="Z38" s="97">
        <v>52.2919746008377</v>
      </c>
      <c r="AA38" s="97">
        <v>10.3589857827062</v>
      </c>
      <c r="AB38" s="97">
        <v>1.0669441709814</v>
      </c>
      <c r="AC38" s="97">
        <v>0.296199016275384</v>
      </c>
      <c r="AD38" s="103">
        <v>6.0162</v>
      </c>
      <c r="AE38" s="103">
        <v>4.4093</v>
      </c>
      <c r="AF38" s="103">
        <v>6.0162</v>
      </c>
      <c r="AG38" s="97">
        <v>955.822060777175</v>
      </c>
      <c r="AH38" s="97">
        <v>103.9203</v>
      </c>
      <c r="AI38" s="97">
        <v>99.3758652971285</v>
      </c>
      <c r="AJ38" s="97"/>
      <c r="AK38" s="92">
        <v>257.0263</v>
      </c>
      <c r="AL38" s="97">
        <v>41.9577</v>
      </c>
      <c r="AM38" s="97">
        <v>2.3</v>
      </c>
      <c r="AN38" s="97">
        <v>7.64</v>
      </c>
      <c r="AO38" s="97">
        <v>2.24</v>
      </c>
      <c r="AP38" s="97">
        <v>0.4492</v>
      </c>
      <c r="AQ38" s="97">
        <v>1.2327</v>
      </c>
      <c r="AR38" s="97">
        <v>0.4167</v>
      </c>
      <c r="AS38" s="97">
        <v>14.2694</v>
      </c>
      <c r="AT38" s="97">
        <f>L38-AL38</f>
        <v>28.548</v>
      </c>
      <c r="AU38" s="97">
        <f>100*(AT38/L38)</f>
        <v>40.4903433339432</v>
      </c>
      <c r="AV38" s="97">
        <v>0</v>
      </c>
      <c r="AW38" s="90" t="s">
        <v>317</v>
      </c>
      <c r="AX38" s="90" t="s">
        <v>134</v>
      </c>
      <c r="AY38" s="90" t="s">
        <v>134</v>
      </c>
      <c r="AZ38" s="90" t="s">
        <v>203</v>
      </c>
      <c r="BA38" s="90" t="s">
        <v>204</v>
      </c>
      <c r="BB38" s="90" t="s">
        <v>318</v>
      </c>
      <c r="BC38" s="93">
        <v>8</v>
      </c>
      <c r="BD38" s="93">
        <v>16</v>
      </c>
      <c r="BE38" s="96">
        <f>U38/((VLOOKUP(B38,'Cell-Characteristics'!$B$4:$E$34,3,FALSE)*VLOOKUP(B38,'Cell-Characteristics'!$B$4:$E$34,4,FALSE)*3600)/1000)</f>
        <v>1.23130462990688</v>
      </c>
      <c r="BF38" s="90">
        <f t="shared" si="2"/>
        <v>4953.33489922242</v>
      </c>
      <c r="BG38" s="90">
        <f t="shared" si="0"/>
        <v>9462.50041516202</v>
      </c>
      <c r="BH38" s="90">
        <f t="shared" si="1"/>
        <v>1373.83789047736</v>
      </c>
      <c r="BI38" s="90">
        <f t="shared" si="3"/>
        <v>14558.4471224932</v>
      </c>
      <c r="BJ38" s="90">
        <f>BF38/((VLOOKUP(B38,'Cell-Characteristics'!$B$4:$Q$34,13,FALSE)))</f>
        <v>92.0197859671682</v>
      </c>
      <c r="BK38" s="90">
        <f>BG38/((VLOOKUP(B38,'Cell-Characteristics'!$B$4:$Q$34,14,FALSE)))</f>
        <v>2559.86337706414</v>
      </c>
      <c r="BL38" s="90">
        <f>BH38/((VLOOKUP(B38,'Cell-Characteristics'!$B$4:$Q$34,15,FALSE)))</f>
        <v>371.660464735192</v>
      </c>
      <c r="BM38" s="90">
        <f>BI38/((VLOOKUP(B38,'Cell-Characteristics'!$B$4:$Q$34,16,FALSE)))</f>
        <v>237.79766729406</v>
      </c>
      <c r="BN38" s="50">
        <f t="shared" si="4"/>
        <v>5.48056666666667</v>
      </c>
    </row>
    <row r="39" s="50" customFormat="1" ht="16.5" customHeight="1" spans="2:66">
      <c r="B39" s="90" t="s">
        <v>136</v>
      </c>
      <c r="C39" s="90" t="s">
        <v>319</v>
      </c>
      <c r="D39" s="90" t="s">
        <v>244</v>
      </c>
      <c r="E39" s="92" t="s">
        <v>228</v>
      </c>
      <c r="F39" s="93" t="s">
        <v>245</v>
      </c>
      <c r="G39" s="93" t="s">
        <v>246</v>
      </c>
      <c r="H39" s="94">
        <v>43512</v>
      </c>
      <c r="I39" s="95">
        <v>28</v>
      </c>
      <c r="J39" s="95">
        <v>100</v>
      </c>
      <c r="K39" s="96">
        <v>4.153</v>
      </c>
      <c r="L39" s="97">
        <v>72.9381</v>
      </c>
      <c r="M39" s="97">
        <v>51.4</v>
      </c>
      <c r="N39" s="97">
        <v>47.6</v>
      </c>
      <c r="O39" s="92" t="s">
        <v>278</v>
      </c>
      <c r="P39" s="92" t="s">
        <v>278</v>
      </c>
      <c r="Q39" s="98" t="s">
        <v>199</v>
      </c>
      <c r="R39" s="99">
        <v>78.6752610451313</v>
      </c>
      <c r="S39" s="100">
        <v>0.042</v>
      </c>
      <c r="T39" s="100">
        <v>81.0119297334835</v>
      </c>
      <c r="U39" s="97">
        <v>84.0067531767738</v>
      </c>
      <c r="V39" s="97">
        <v>23.7592557121761</v>
      </c>
      <c r="W39" s="97">
        <v>20.7640530165681</v>
      </c>
      <c r="X39" s="97">
        <v>39.4834444480296</v>
      </c>
      <c r="Y39" s="97">
        <v>28.282554453902</v>
      </c>
      <c r="Z39" s="97">
        <v>24.7171236018071</v>
      </c>
      <c r="AA39" s="97">
        <v>47.000321944291</v>
      </c>
      <c r="AB39" s="97">
        <v>1.31711802959714</v>
      </c>
      <c r="AC39" s="97">
        <v>1.67770541369311</v>
      </c>
      <c r="AD39" s="103">
        <v>2.5041</v>
      </c>
      <c r="AE39" s="103">
        <v>1.7028</v>
      </c>
      <c r="AF39" s="103">
        <v>2.5041</v>
      </c>
      <c r="AG39" s="97">
        <v>971.170165833922</v>
      </c>
      <c r="AH39" s="97">
        <v>99.0601</v>
      </c>
      <c r="AI39" s="97">
        <v>96.3476744477894</v>
      </c>
      <c r="AJ39" s="97"/>
      <c r="AK39" s="92">
        <v>188.18111</v>
      </c>
      <c r="AL39" s="97">
        <v>33.4</v>
      </c>
      <c r="AM39" s="97">
        <v>1.44</v>
      </c>
      <c r="AN39" s="97">
        <v>2.94</v>
      </c>
      <c r="AO39" s="97">
        <v>2.54</v>
      </c>
      <c r="AP39" s="97">
        <v>2.34</v>
      </c>
      <c r="AQ39" s="97">
        <v>7.64</v>
      </c>
      <c r="AR39" s="97">
        <v>3.14</v>
      </c>
      <c r="AS39" s="97">
        <v>19.4981</v>
      </c>
      <c r="AT39" s="97">
        <f>L39-AL39</f>
        <v>39.5381</v>
      </c>
      <c r="AU39" s="97">
        <f>100*(AT39/L39)</f>
        <v>54.2077460202555</v>
      </c>
      <c r="AV39" s="97">
        <v>0</v>
      </c>
      <c r="AW39" s="90" t="s">
        <v>320</v>
      </c>
      <c r="AX39" s="90" t="s">
        <v>248</v>
      </c>
      <c r="AY39" s="90" t="s">
        <v>321</v>
      </c>
      <c r="AZ39" s="90" t="s">
        <v>212</v>
      </c>
      <c r="BA39" s="102" t="s">
        <v>322</v>
      </c>
      <c r="BB39" s="90" t="s">
        <v>323</v>
      </c>
      <c r="BC39" s="93">
        <v>11</v>
      </c>
      <c r="BD39" s="93">
        <v>22</v>
      </c>
      <c r="BE39" s="96">
        <f>U39/((VLOOKUP(B39,'Cell-Characteristics'!$B$4:$E$34,3,FALSE)*VLOOKUP(B39,'Cell-Characteristics'!$B$4:$E$34,4,FALSE)*3600)/1000)</f>
        <v>1.29640051198725</v>
      </c>
      <c r="BF39" s="90">
        <f t="shared" si="2"/>
        <v>9488.14173242924</v>
      </c>
      <c r="BG39" s="90">
        <f t="shared" si="0"/>
        <v>12194.0644917595</v>
      </c>
      <c r="BH39" s="90">
        <f t="shared" si="1"/>
        <v>15767.5190479732</v>
      </c>
      <c r="BI39" s="90">
        <f t="shared" si="3"/>
        <v>37553.3094218926</v>
      </c>
      <c r="BJ39" s="90">
        <f>BF39/((VLOOKUP(B39,'Cell-Characteristics'!$B$4:$Q$34,13,FALSE)))</f>
        <v>176.264433802236</v>
      </c>
      <c r="BK39" s="90">
        <f>BG39/((VLOOKUP(B39,'Cell-Characteristics'!$B$4:$Q$34,14,FALSE)))</f>
        <v>3298.82565288945</v>
      </c>
      <c r="BL39" s="90">
        <f>BH39/((VLOOKUP(B39,'Cell-Characteristics'!$B$4:$Q$34,15,FALSE)))</f>
        <v>4265.54217037534</v>
      </c>
      <c r="BM39" s="90">
        <f>BI39/((VLOOKUP(B39,'Cell-Characteristics'!$B$4:$Q$34,16,FALSE)))</f>
        <v>613.395735449067</v>
      </c>
      <c r="BN39" s="50">
        <f t="shared" si="4"/>
        <v>2.237</v>
      </c>
    </row>
    <row r="40" s="50" customFormat="1" spans="2:66">
      <c r="B40" s="90" t="s">
        <v>136</v>
      </c>
      <c r="C40" s="91" t="s">
        <v>324</v>
      </c>
      <c r="D40" s="90" t="s">
        <v>193</v>
      </c>
      <c r="E40" s="92" t="s">
        <v>228</v>
      </c>
      <c r="F40" s="93" t="s">
        <v>195</v>
      </c>
      <c r="G40" s="93" t="s">
        <v>196</v>
      </c>
      <c r="H40" s="94">
        <v>43811</v>
      </c>
      <c r="I40" s="95">
        <v>753</v>
      </c>
      <c r="J40" s="95">
        <v>100</v>
      </c>
      <c r="K40" s="96">
        <v>4.123</v>
      </c>
      <c r="L40" s="97">
        <v>72.5702</v>
      </c>
      <c r="M40" s="97">
        <v>47.8</v>
      </c>
      <c r="N40" s="97">
        <v>48.2</v>
      </c>
      <c r="O40" s="92" t="s">
        <v>290</v>
      </c>
      <c r="P40" s="92" t="s">
        <v>278</v>
      </c>
      <c r="Q40" s="98" t="s">
        <v>199</v>
      </c>
      <c r="R40" s="99">
        <v>79.6632303294324</v>
      </c>
      <c r="S40" s="100">
        <v>0.0521</v>
      </c>
      <c r="T40" s="100">
        <v>83.5213731827802</v>
      </c>
      <c r="U40" s="97">
        <v>86.307613139705</v>
      </c>
      <c r="V40" s="97">
        <v>22.4661500543016</v>
      </c>
      <c r="W40" s="97">
        <v>19.8177205400513</v>
      </c>
      <c r="X40" s="97">
        <v>44.0237425453521</v>
      </c>
      <c r="Y40" s="97">
        <v>26.0303225138853</v>
      </c>
      <c r="Z40" s="97">
        <v>22.9617293528586</v>
      </c>
      <c r="AA40" s="97">
        <v>51.0079481332561</v>
      </c>
      <c r="AB40" s="97">
        <v>0.858840516718032</v>
      </c>
      <c r="AC40" s="97">
        <v>1.92739944020672</v>
      </c>
      <c r="AD40" s="97">
        <v>1.8035</v>
      </c>
      <c r="AE40" s="97">
        <v>1.6022</v>
      </c>
      <c r="AF40" s="97">
        <v>1.9023</v>
      </c>
      <c r="AG40" s="97">
        <v>932.259702999605</v>
      </c>
      <c r="AH40" s="97">
        <v>118.5902</v>
      </c>
      <c r="AI40" s="97">
        <v>110.425801591229</v>
      </c>
      <c r="AJ40" s="97">
        <v>135.8518</v>
      </c>
      <c r="AK40" s="92">
        <v>271.478045</v>
      </c>
      <c r="AL40" s="97">
        <v>32.8</v>
      </c>
      <c r="AM40" s="97">
        <v>0.399999999999999</v>
      </c>
      <c r="AN40" s="97">
        <v>3.1</v>
      </c>
      <c r="AO40" s="97">
        <v>1.1</v>
      </c>
      <c r="AP40" s="97">
        <v>3.3</v>
      </c>
      <c r="AQ40" s="97">
        <v>8.9</v>
      </c>
      <c r="AR40" s="97">
        <v>0.899999999999999</v>
      </c>
      <c r="AS40" s="97">
        <v>22.0702</v>
      </c>
      <c r="AT40" s="97">
        <v>39.7702</v>
      </c>
      <c r="AU40" s="97">
        <v>54.8023844498155</v>
      </c>
      <c r="AV40" s="97">
        <v>0</v>
      </c>
      <c r="AW40" s="90" t="s">
        <v>325</v>
      </c>
      <c r="AX40" s="90" t="s">
        <v>326</v>
      </c>
      <c r="AY40" s="90" t="s">
        <v>202</v>
      </c>
      <c r="AZ40" s="90" t="s">
        <v>203</v>
      </c>
      <c r="BA40" s="90" t="s">
        <v>204</v>
      </c>
      <c r="BB40" s="90"/>
      <c r="BC40" s="93">
        <v>2</v>
      </c>
      <c r="BD40" s="93">
        <v>2.46913580246914</v>
      </c>
      <c r="BE40" s="96">
        <f>U40/((VLOOKUP(B40,'Cell-Characteristics'!$B$4:$E$34,3,FALSE)*VLOOKUP(B40,'Cell-Characteristics'!$B$4:$E$34,4,FALSE)*3600)/1000)</f>
        <v>1.33190761018063</v>
      </c>
      <c r="BF40" s="90">
        <f t="shared" si="2"/>
        <v>12456.9725834775</v>
      </c>
      <c r="BG40" s="90">
        <f t="shared" si="0"/>
        <v>12369.0678692119</v>
      </c>
      <c r="BH40" s="90">
        <f t="shared" si="1"/>
        <v>23142.3763577522</v>
      </c>
      <c r="BI40" s="90">
        <f t="shared" si="3"/>
        <v>48779.7361377383</v>
      </c>
      <c r="BJ40" s="90">
        <f>BF40/((VLOOKUP(B40,'Cell-Characteristics'!$B$4:$Q$34,13,FALSE)))</f>
        <v>231.417413571294</v>
      </c>
      <c r="BK40" s="90">
        <f>BG40/((VLOOKUP(B40,'Cell-Characteristics'!$B$4:$Q$34,14,FALSE)))</f>
        <v>3346.16881982712</v>
      </c>
      <c r="BL40" s="90">
        <f>BH40/((VLOOKUP(B40,'Cell-Characteristics'!$B$4:$Q$34,15,FALSE)))</f>
        <v>6260.64138412307</v>
      </c>
      <c r="BM40" s="90">
        <f>BI40/((VLOOKUP(B40,'Cell-Characteristics'!$B$4:$Q$34,16,FALSE)))</f>
        <v>796.768183253007</v>
      </c>
      <c r="BN40" s="50">
        <f t="shared" si="4"/>
        <v>1.76933333333333</v>
      </c>
    </row>
    <row r="41" s="50" customFormat="1" spans="2:66">
      <c r="B41" s="90" t="s">
        <v>136</v>
      </c>
      <c r="C41" s="105" t="s">
        <v>327</v>
      </c>
      <c r="D41" s="90" t="s">
        <v>193</v>
      </c>
      <c r="E41" s="92" t="s">
        <v>228</v>
      </c>
      <c r="F41" s="93" t="s">
        <v>195</v>
      </c>
      <c r="G41" s="93" t="s">
        <v>196</v>
      </c>
      <c r="H41" s="94">
        <v>43813</v>
      </c>
      <c r="I41" s="95">
        <v>278</v>
      </c>
      <c r="J41" s="95">
        <v>100</v>
      </c>
      <c r="K41" s="96">
        <v>4.085</v>
      </c>
      <c r="L41" s="97">
        <v>72.747</v>
      </c>
      <c r="M41" s="97">
        <v>55</v>
      </c>
      <c r="N41" s="97">
        <v>51.9</v>
      </c>
      <c r="O41" s="92" t="s">
        <v>278</v>
      </c>
      <c r="P41" s="92" t="s">
        <v>278</v>
      </c>
      <c r="Q41" s="98" t="s">
        <v>199</v>
      </c>
      <c r="R41" s="99">
        <v>74.7591988296115</v>
      </c>
      <c r="S41" s="100">
        <v>0.0538</v>
      </c>
      <c r="T41" s="100">
        <v>78.5259665781682</v>
      </c>
      <c r="U41" s="97">
        <v>81.1957401578381</v>
      </c>
      <c r="V41" s="97">
        <v>24.608104113022</v>
      </c>
      <c r="W41" s="97">
        <v>16.6681513594519</v>
      </c>
      <c r="X41" s="97">
        <v>39.9194846853643</v>
      </c>
      <c r="Y41" s="97">
        <v>30.3071368832722</v>
      </c>
      <c r="Z41" s="97">
        <v>20.528356939724</v>
      </c>
      <c r="AA41" s="97">
        <v>49.1645061770038</v>
      </c>
      <c r="AB41" s="97">
        <v>0.84739109214492</v>
      </c>
      <c r="AC41" s="97">
        <v>1.82238248752506</v>
      </c>
      <c r="AD41" s="97">
        <v>1.5011</v>
      </c>
      <c r="AE41" s="97">
        <v>1.4029</v>
      </c>
      <c r="AF41" s="97">
        <v>3.4091</v>
      </c>
      <c r="AG41" s="97">
        <v>941.213770751922</v>
      </c>
      <c r="AH41" s="97">
        <v>116.2447</v>
      </c>
      <c r="AI41" s="97">
        <v>109.149199405799</v>
      </c>
      <c r="AJ41" s="97">
        <v>125.9595</v>
      </c>
      <c r="AK41" s="92">
        <v>242.28872</v>
      </c>
      <c r="AL41" s="97">
        <v>33.6</v>
      </c>
      <c r="AM41" s="97">
        <v>0.5</v>
      </c>
      <c r="AN41" s="97">
        <v>1.5</v>
      </c>
      <c r="AO41" s="97">
        <v>1.5</v>
      </c>
      <c r="AP41" s="97">
        <v>4.3</v>
      </c>
      <c r="AQ41" s="97">
        <v>8.2</v>
      </c>
      <c r="AR41" s="97">
        <v>1.1</v>
      </c>
      <c r="AS41" s="97">
        <v>22.047</v>
      </c>
      <c r="AT41" s="97">
        <v>39.147</v>
      </c>
      <c r="AU41" s="97">
        <v>53.8125283516846</v>
      </c>
      <c r="AV41" s="97">
        <v>0</v>
      </c>
      <c r="AW41" s="90" t="s">
        <v>328</v>
      </c>
      <c r="AX41" s="90" t="s">
        <v>329</v>
      </c>
      <c r="AY41" s="90" t="s">
        <v>202</v>
      </c>
      <c r="AZ41" s="90" t="s">
        <v>212</v>
      </c>
      <c r="BA41" s="90" t="s">
        <v>204</v>
      </c>
      <c r="BB41" s="90"/>
      <c r="BC41" s="93">
        <v>6</v>
      </c>
      <c r="BD41" s="93">
        <v>7.40740740740741</v>
      </c>
      <c r="BE41" s="96">
        <f>U41/((VLOOKUP(B41,'Cell-Characteristics'!$B$4:$E$34,3,FALSE)*VLOOKUP(B41,'Cell-Characteristics'!$B$4:$E$34,4,FALSE)*3600)/1000)</f>
        <v>1.25302068144812</v>
      </c>
      <c r="BF41" s="90">
        <f t="shared" si="2"/>
        <v>16393.3809293332</v>
      </c>
      <c r="BG41" s="90">
        <f t="shared" si="0"/>
        <v>11881.2113190191</v>
      </c>
      <c r="BH41" s="90">
        <f t="shared" si="1"/>
        <v>11709.6842818821</v>
      </c>
      <c r="BI41" s="90">
        <f t="shared" si="3"/>
        <v>38584.4071016639</v>
      </c>
      <c r="BJ41" s="90">
        <f>BF41/((VLOOKUP(B41,'Cell-Characteristics'!$B$4:$Q$34,13,FALSE)))</f>
        <v>304.545409322576</v>
      </c>
      <c r="BK41" s="90">
        <f>BG41/((VLOOKUP(B41,'Cell-Characteristics'!$B$4:$Q$34,14,FALSE)))</f>
        <v>3214.19037213286</v>
      </c>
      <c r="BL41" s="90">
        <f>BH41/((VLOOKUP(B41,'Cell-Characteristics'!$B$4:$Q$34,15,FALSE)))</f>
        <v>3167.78764967277</v>
      </c>
      <c r="BM41" s="90">
        <f>BI41/((VLOOKUP(B41,'Cell-Characteristics'!$B$4:$Q$34,16,FALSE)))</f>
        <v>630.237684383517</v>
      </c>
      <c r="BN41" s="50">
        <f t="shared" si="4"/>
        <v>2.10436666666667</v>
      </c>
    </row>
    <row r="42" s="50" customFormat="1" spans="2:66">
      <c r="B42" s="90" t="s">
        <v>136</v>
      </c>
      <c r="C42" s="105" t="s">
        <v>330</v>
      </c>
      <c r="D42" s="90" t="s">
        <v>193</v>
      </c>
      <c r="E42" s="92" t="s">
        <v>228</v>
      </c>
      <c r="F42" s="93" t="s">
        <v>195</v>
      </c>
      <c r="G42" s="93" t="s">
        <v>196</v>
      </c>
      <c r="H42" s="94">
        <v>43813</v>
      </c>
      <c r="I42" s="95">
        <v>631</v>
      </c>
      <c r="J42" s="95">
        <v>100</v>
      </c>
      <c r="K42" s="96">
        <v>4.096</v>
      </c>
      <c r="L42" s="97">
        <v>72.719</v>
      </c>
      <c r="M42" s="97">
        <v>51.9</v>
      </c>
      <c r="N42" s="97">
        <v>53.1</v>
      </c>
      <c r="O42" s="92" t="s">
        <v>290</v>
      </c>
      <c r="P42" s="92" t="s">
        <v>278</v>
      </c>
      <c r="Q42" s="98" t="s">
        <v>199</v>
      </c>
      <c r="R42" s="99">
        <v>64.5206331927365</v>
      </c>
      <c r="S42" s="100">
        <v>0.0473</v>
      </c>
      <c r="T42" s="100">
        <v>69.2069910515833</v>
      </c>
      <c r="U42" s="97">
        <v>70.8499489705666</v>
      </c>
      <c r="V42" s="97">
        <v>27.4780326936446</v>
      </c>
      <c r="W42" s="97">
        <f>(Z42/100)*U42</f>
        <v>16.4485502070205</v>
      </c>
      <c r="X42" s="97">
        <f>(AA42/100)*U42</f>
        <v>26.9233660699015</v>
      </c>
      <c r="Y42" s="97">
        <v>38.7834191737525</v>
      </c>
      <c r="Z42" s="97">
        <v>23.216036773511</v>
      </c>
      <c r="AA42" s="97">
        <v>38.0005440527365</v>
      </c>
      <c r="AB42" s="97">
        <v>0.57715023767139</v>
      </c>
      <c r="AC42" s="97">
        <v>1.06580768131197</v>
      </c>
      <c r="AD42" s="97">
        <v>8.92520000000002</v>
      </c>
      <c r="AE42" s="97">
        <v>3.60900000000001</v>
      </c>
      <c r="AF42" s="97">
        <v>5.11090000000002</v>
      </c>
      <c r="AG42" s="97">
        <v>940.410472294748</v>
      </c>
      <c r="AH42" s="97">
        <v>113.906</v>
      </c>
      <c r="AI42" s="97">
        <v>106.873098478296</v>
      </c>
      <c r="AJ42" s="97">
        <v>125.8295</v>
      </c>
      <c r="AK42" s="92">
        <v>244.020705</v>
      </c>
      <c r="AL42" s="97">
        <v>43.1</v>
      </c>
      <c r="AM42" s="97">
        <v>1.1</v>
      </c>
      <c r="AN42" s="97">
        <v>2.6</v>
      </c>
      <c r="AO42" s="97">
        <v>0.700000000000003</v>
      </c>
      <c r="AP42" s="97">
        <v>1.6</v>
      </c>
      <c r="AQ42" s="97">
        <v>6.7</v>
      </c>
      <c r="AR42" s="97">
        <v>0.799999999999997</v>
      </c>
      <c r="AS42" s="97">
        <v>16.119</v>
      </c>
      <c r="AT42" s="97">
        <v>29.619</v>
      </c>
      <c r="AU42" s="97">
        <v>40.7307581237366</v>
      </c>
      <c r="AV42" s="97" t="s">
        <v>159</v>
      </c>
      <c r="AW42" s="90" t="s">
        <v>331</v>
      </c>
      <c r="AX42" s="90" t="s">
        <v>332</v>
      </c>
      <c r="AY42" s="90" t="s">
        <v>202</v>
      </c>
      <c r="AZ42" s="90" t="s">
        <v>296</v>
      </c>
      <c r="BA42" s="90" t="s">
        <v>204</v>
      </c>
      <c r="BB42" s="90"/>
      <c r="BC42" s="93">
        <v>6</v>
      </c>
      <c r="BD42" s="93">
        <v>7.40740740740741</v>
      </c>
      <c r="BE42" s="96">
        <f>U42/((VLOOKUP(B42,'Cell-Characteristics'!$B$4:$E$34,3,FALSE)*VLOOKUP(B42,'Cell-Characteristics'!$B$4:$E$34,4,FALSE)*3600)/1000)</f>
        <v>1.09336341003961</v>
      </c>
      <c r="BF42" s="90">
        <f t="shared" ref="BF42" si="7">(1000*V42)/AD42</f>
        <v>3078.70217963122</v>
      </c>
      <c r="BG42" s="90">
        <f t="shared" ref="BG42" si="8">(1000*W42)/AE42</f>
        <v>4557.64760515946</v>
      </c>
      <c r="BH42" s="90">
        <f t="shared" ref="BH42" si="9">(1000*X42)/AF42</f>
        <v>5267.83268502639</v>
      </c>
      <c r="BI42" s="90">
        <f t="shared" ref="BI42" si="10">(1000*U42)/AVERAGE(AD42:AF42)</f>
        <v>12045.82841195</v>
      </c>
      <c r="BJ42" s="90">
        <f>BF42/((VLOOKUP(B42,'Cell-Characteristics'!$B$4:$Q$34,13,FALSE)))</f>
        <v>57.1940967833191</v>
      </c>
      <c r="BK42" s="90">
        <f>BG42/((VLOOKUP(B42,'Cell-Characteristics'!$B$4:$Q$34,14,FALSE)))</f>
        <v>1232.96746928724</v>
      </c>
      <c r="BL42" s="90">
        <f>BH42/((VLOOKUP(B42,'Cell-Characteristics'!$B$4:$Q$34,15,FALSE)))</f>
        <v>1425.09182301258</v>
      </c>
      <c r="BM42" s="90">
        <f>BI42/((VLOOKUP(B42,'Cell-Characteristics'!$B$4:$Q$34,16,FALSE)))</f>
        <v>196.756554657572</v>
      </c>
      <c r="BN42" s="50">
        <f t="shared" ref="BN42" si="11">AVERAGE(AD42:AF42)</f>
        <v>5.88170000000002</v>
      </c>
    </row>
    <row r="43" s="50" customFormat="1" spans="2:66">
      <c r="B43" s="90" t="s">
        <v>136</v>
      </c>
      <c r="C43" s="91" t="s">
        <v>333</v>
      </c>
      <c r="D43" s="90" t="s">
        <v>193</v>
      </c>
      <c r="E43" s="92" t="s">
        <v>228</v>
      </c>
      <c r="F43" s="93" t="s">
        <v>195</v>
      </c>
      <c r="G43" s="93" t="s">
        <v>196</v>
      </c>
      <c r="H43" s="94">
        <v>43813</v>
      </c>
      <c r="I43" s="95">
        <v>556</v>
      </c>
      <c r="J43" s="95">
        <v>100</v>
      </c>
      <c r="K43" s="96">
        <v>4.156</v>
      </c>
      <c r="L43" s="97">
        <v>72.8086</v>
      </c>
      <c r="M43" s="97">
        <v>52.3</v>
      </c>
      <c r="N43" s="97">
        <v>54.3</v>
      </c>
      <c r="O43" s="96" t="s">
        <v>290</v>
      </c>
      <c r="P43" s="96" t="s">
        <v>278</v>
      </c>
      <c r="Q43" s="98" t="s">
        <v>199</v>
      </c>
      <c r="R43" s="99">
        <v>78.4261492045103</v>
      </c>
      <c r="S43" s="100">
        <v>0.0488</v>
      </c>
      <c r="T43" s="100">
        <v>81.6747388680119</v>
      </c>
      <c r="U43" s="97">
        <v>84.6503004199243</v>
      </c>
      <c r="V43" s="97">
        <v>24.8492951243378</v>
      </c>
      <c r="W43" s="97">
        <f>(Z43/100)*U43</f>
        <v>38.3763767706419</v>
      </c>
      <c r="X43" s="97">
        <f>(AA43/100)*U43</f>
        <v>21.4246285249446</v>
      </c>
      <c r="Y43" s="97">
        <v>29.3552355999542</v>
      </c>
      <c r="Z43" s="97">
        <v>45.3351926458245</v>
      </c>
      <c r="AA43" s="97">
        <v>25.3095717542213</v>
      </c>
      <c r="AB43" s="97">
        <v>1.96170057027655</v>
      </c>
      <c r="AC43" s="97">
        <v>1.01386098163589</v>
      </c>
      <c r="AD43" s="97">
        <v>6.9152</v>
      </c>
      <c r="AE43" s="97">
        <v>2.2017</v>
      </c>
      <c r="AF43" s="97">
        <v>1.4987</v>
      </c>
      <c r="AG43" s="97">
        <v>940.278717322799</v>
      </c>
      <c r="AH43" s="97">
        <v>98.1402</v>
      </c>
      <c r="AI43" s="97">
        <v>92.1650041288017</v>
      </c>
      <c r="AJ43" s="97">
        <v>110.6579</v>
      </c>
      <c r="AK43" s="92">
        <v>203.64681</v>
      </c>
      <c r="AL43" s="97">
        <v>29.6</v>
      </c>
      <c r="AM43" s="97">
        <v>6.3</v>
      </c>
      <c r="AN43" s="97">
        <v>9.1</v>
      </c>
      <c r="AO43" s="97">
        <v>0.500000000000007</v>
      </c>
      <c r="AP43" s="97">
        <v>1.8</v>
      </c>
      <c r="AQ43" s="97">
        <v>3.6</v>
      </c>
      <c r="AR43" s="97">
        <v>1.40000000000001</v>
      </c>
      <c r="AS43" s="97">
        <v>20.5086</v>
      </c>
      <c r="AT43" s="97">
        <v>43.2086</v>
      </c>
      <c r="AU43" s="97">
        <v>59.3454619371887</v>
      </c>
      <c r="AV43" s="97" t="s">
        <v>159</v>
      </c>
      <c r="AW43" s="90" t="s">
        <v>334</v>
      </c>
      <c r="AX43" s="90" t="s">
        <v>335</v>
      </c>
      <c r="AY43" s="90" t="s">
        <v>202</v>
      </c>
      <c r="AZ43" s="90" t="s">
        <v>296</v>
      </c>
      <c r="BA43" s="90" t="s">
        <v>204</v>
      </c>
      <c r="BB43" s="90"/>
      <c r="BC43" s="93">
        <v>5</v>
      </c>
      <c r="BD43" s="93">
        <v>6.17283950617284</v>
      </c>
      <c r="BE43" s="96">
        <f>U43/((VLOOKUP(B43,'Cell-Characteristics'!$B$4:$E$34,3,FALSE)*VLOOKUP(B43,'Cell-Characteristics'!$B$4:$E$34,4,FALSE)*3600)/1000)</f>
        <v>1.30633179660377</v>
      </c>
      <c r="BF43" s="90">
        <f t="shared" si="2"/>
        <v>3593.43115518536</v>
      </c>
      <c r="BG43" s="90">
        <f t="shared" si="0"/>
        <v>17430.3387249134</v>
      </c>
      <c r="BH43" s="90">
        <f t="shared" si="1"/>
        <v>14295.4750950455</v>
      </c>
      <c r="BI43" s="90">
        <f t="shared" si="3"/>
        <v>23922.425605691</v>
      </c>
      <c r="BJ43" s="90">
        <f>BF43/((VLOOKUP(B43,'Cell-Characteristics'!$B$4:$Q$34,13,FALSE)))</f>
        <v>66.7563919087764</v>
      </c>
      <c r="BK43" s="90">
        <f>BG43/((VLOOKUP(B43,'Cell-Characteristics'!$B$4:$Q$34,14,FALSE)))</f>
        <v>4715.38005749877</v>
      </c>
      <c r="BL43" s="90">
        <f>BH43/((VLOOKUP(B43,'Cell-Characteristics'!$B$4:$Q$34,15,FALSE)))</f>
        <v>3867.31429833315</v>
      </c>
      <c r="BM43" s="90">
        <f>BI43/((VLOOKUP(B43,'Cell-Characteristics'!$B$4:$Q$34,16,FALSE)))</f>
        <v>390.748886689967</v>
      </c>
      <c r="BN43" s="50">
        <f t="shared" si="4"/>
        <v>3.53853333333333</v>
      </c>
    </row>
    <row r="44" s="50" customFormat="1" spans="2:66">
      <c r="B44" s="90" t="s">
        <v>136</v>
      </c>
      <c r="C44" s="91" t="s">
        <v>336</v>
      </c>
      <c r="D44" s="90" t="s">
        <v>227</v>
      </c>
      <c r="E44" s="92" t="s">
        <v>265</v>
      </c>
      <c r="F44" s="93" t="s">
        <v>229</v>
      </c>
      <c r="G44" s="93" t="s">
        <v>230</v>
      </c>
      <c r="H44" s="94">
        <v>43402</v>
      </c>
      <c r="I44" s="95">
        <v>64</v>
      </c>
      <c r="J44" s="95">
        <v>100</v>
      </c>
      <c r="K44" s="96">
        <v>4.134</v>
      </c>
      <c r="L44" s="97">
        <v>70.4409</v>
      </c>
      <c r="M44" s="97">
        <v>49.7</v>
      </c>
      <c r="N44" s="97">
        <v>49.2</v>
      </c>
      <c r="O44" s="92" t="s">
        <v>278</v>
      </c>
      <c r="P44" s="92" t="s">
        <v>278</v>
      </c>
      <c r="Q44" s="98" t="s">
        <v>199</v>
      </c>
      <c r="R44" s="99">
        <v>92.2859521896946</v>
      </c>
      <c r="S44" s="100">
        <v>0.027</v>
      </c>
      <c r="T44" s="100">
        <v>94.3483439923396</v>
      </c>
      <c r="U44" s="97">
        <v>97.3381375787472</v>
      </c>
      <c r="V44" s="97">
        <v>24.2283929941019</v>
      </c>
      <c r="W44" s="97">
        <v>37.6960933778165</v>
      </c>
      <c r="X44" s="97">
        <v>35.4136512068288</v>
      </c>
      <c r="Y44" s="97">
        <v>24.8909559981061</v>
      </c>
      <c r="Z44" s="97">
        <v>38.7269515479687</v>
      </c>
      <c r="AA44" s="97">
        <v>36.3820924539252</v>
      </c>
      <c r="AB44" s="97">
        <v>1.62982415336941</v>
      </c>
      <c r="AC44" s="97">
        <v>1.35996943303822</v>
      </c>
      <c r="AD44" s="103">
        <v>4.8219</v>
      </c>
      <c r="AE44" s="103">
        <v>4.8219</v>
      </c>
      <c r="AF44" s="103">
        <v>2.1121</v>
      </c>
      <c r="AG44" s="97" t="s">
        <v>134</v>
      </c>
      <c r="AH44" s="97" t="s">
        <v>134</v>
      </c>
      <c r="AI44" s="97" t="s">
        <v>134</v>
      </c>
      <c r="AJ44" s="97" t="s">
        <v>134</v>
      </c>
      <c r="AK44" s="97" t="s">
        <v>134</v>
      </c>
      <c r="AL44" s="97">
        <v>30.64</v>
      </c>
      <c r="AM44" s="97">
        <v>3.98</v>
      </c>
      <c r="AN44" s="97">
        <v>6.27</v>
      </c>
      <c r="AO44" s="97">
        <v>2.06</v>
      </c>
      <c r="AP44" s="97">
        <v>1.12</v>
      </c>
      <c r="AQ44" s="97">
        <v>8.23</v>
      </c>
      <c r="AR44" s="97">
        <v>1.51</v>
      </c>
      <c r="AS44" s="97">
        <v>16.6309</v>
      </c>
      <c r="AT44" s="97">
        <f t="shared" ref="AT44:AT48" si="12">L44-AL44</f>
        <v>39.8009</v>
      </c>
      <c r="AU44" s="97">
        <f t="shared" ref="AU44:AU48" si="13">100*(AT44/L44)</f>
        <v>56.5025432667669</v>
      </c>
      <c r="AV44" s="97">
        <v>0</v>
      </c>
      <c r="AW44" s="90" t="s">
        <v>337</v>
      </c>
      <c r="AX44" s="90" t="s">
        <v>134</v>
      </c>
      <c r="AY44" s="90" t="s">
        <v>134</v>
      </c>
      <c r="AZ44" s="90" t="s">
        <v>212</v>
      </c>
      <c r="BA44" s="90" t="s">
        <v>204</v>
      </c>
      <c r="BB44" s="90" t="s">
        <v>338</v>
      </c>
      <c r="BC44" s="93">
        <v>16</v>
      </c>
      <c r="BD44" s="93">
        <v>32</v>
      </c>
      <c r="BE44" s="96">
        <f>U44/((VLOOKUP(B44,'Cell-Characteristics'!$B$4:$E$34,3,FALSE)*VLOOKUP(B44,'Cell-Characteristics'!$B$4:$E$34,4,FALSE)*3600)/1000)</f>
        <v>1.50213175275844</v>
      </c>
      <c r="BF44" s="90">
        <f t="shared" si="2"/>
        <v>5024.65687677096</v>
      </c>
      <c r="BG44" s="90">
        <f t="shared" si="0"/>
        <v>7817.68460105281</v>
      </c>
      <c r="BH44" s="90">
        <f t="shared" si="1"/>
        <v>16767.0333823345</v>
      </c>
      <c r="BI44" s="90">
        <f t="shared" si="3"/>
        <v>24839.8176861186</v>
      </c>
      <c r="BJ44" s="90">
        <f>BF44/((VLOOKUP(B44,'Cell-Characteristics'!$B$4:$Q$34,13,FALSE)))</f>
        <v>93.3447585850711</v>
      </c>
      <c r="BK44" s="90">
        <f>BG44/((VLOOKUP(B44,'Cell-Characteristics'!$B$4:$Q$34,14,FALSE)))</f>
        <v>2114.89602384665</v>
      </c>
      <c r="BL44" s="90">
        <f>BH44/((VLOOKUP(B44,'Cell-Characteristics'!$B$4:$Q$34,15,FALSE)))</f>
        <v>4535.93794602916</v>
      </c>
      <c r="BM44" s="90">
        <f>BI44/((VLOOKUP(B44,'Cell-Characteristics'!$B$4:$Q$34,16,FALSE)))</f>
        <v>405.733568427258</v>
      </c>
      <c r="BN44" s="50">
        <f t="shared" si="4"/>
        <v>3.91863333333333</v>
      </c>
    </row>
    <row r="45" s="50" customFormat="1" spans="2:66">
      <c r="B45" s="90" t="s">
        <v>136</v>
      </c>
      <c r="C45" s="91" t="s">
        <v>339</v>
      </c>
      <c r="D45" s="90" t="s">
        <v>227</v>
      </c>
      <c r="E45" s="92" t="s">
        <v>265</v>
      </c>
      <c r="F45" s="93" t="s">
        <v>229</v>
      </c>
      <c r="G45" s="93" t="s">
        <v>230</v>
      </c>
      <c r="H45" s="94">
        <v>43402</v>
      </c>
      <c r="I45" s="95">
        <v>2</v>
      </c>
      <c r="J45" s="95">
        <v>100</v>
      </c>
      <c r="K45" s="96">
        <v>4.137</v>
      </c>
      <c r="L45" s="97">
        <v>70.621</v>
      </c>
      <c r="M45" s="97">
        <v>48.3</v>
      </c>
      <c r="N45" s="97">
        <v>45.7</v>
      </c>
      <c r="O45" s="92" t="s">
        <v>290</v>
      </c>
      <c r="P45" s="92" t="s">
        <v>278</v>
      </c>
      <c r="Q45" s="98" t="s">
        <v>199</v>
      </c>
      <c r="R45" s="99">
        <v>92.5819543477139</v>
      </c>
      <c r="S45" s="100">
        <v>0.026</v>
      </c>
      <c r="T45" s="100">
        <v>94.4034279570603</v>
      </c>
      <c r="U45" s="97">
        <v>98.9685916632264</v>
      </c>
      <c r="V45" s="97">
        <v>25.1748457690905</v>
      </c>
      <c r="W45" s="97">
        <v>37.4330170878658</v>
      </c>
      <c r="X45" s="97">
        <v>36.3607288062701</v>
      </c>
      <c r="Y45" s="97">
        <v>25.4372072452605</v>
      </c>
      <c r="Z45" s="97">
        <v>37.8231279831122</v>
      </c>
      <c r="AA45" s="97">
        <v>36.7396647716274</v>
      </c>
      <c r="AB45" s="97">
        <v>2.12608201602921</v>
      </c>
      <c r="AC45" s="97">
        <v>2.43908169013692</v>
      </c>
      <c r="AD45" s="103">
        <v>2.6116</v>
      </c>
      <c r="AE45" s="103">
        <v>2.6116</v>
      </c>
      <c r="AF45" s="103">
        <v>2.3101</v>
      </c>
      <c r="AG45" s="97" t="s">
        <v>134</v>
      </c>
      <c r="AH45" s="97" t="s">
        <v>134</v>
      </c>
      <c r="AI45" s="97" t="s">
        <v>134</v>
      </c>
      <c r="AJ45" s="97" t="s">
        <v>134</v>
      </c>
      <c r="AK45" s="92" t="s">
        <v>134</v>
      </c>
      <c r="AL45" s="97">
        <v>28.62</v>
      </c>
      <c r="AM45" s="97">
        <v>3.7</v>
      </c>
      <c r="AN45" s="97">
        <v>6.3</v>
      </c>
      <c r="AO45" s="97">
        <v>0.91</v>
      </c>
      <c r="AP45" s="97">
        <v>0</v>
      </c>
      <c r="AQ45" s="97">
        <v>7.08</v>
      </c>
      <c r="AR45" s="97">
        <v>0.03</v>
      </c>
      <c r="AS45" s="97">
        <v>23.981</v>
      </c>
      <c r="AT45" s="97">
        <f t="shared" si="12"/>
        <v>42.001</v>
      </c>
      <c r="AU45" s="97">
        <f t="shared" si="13"/>
        <v>59.4738109061044</v>
      </c>
      <c r="AV45" s="97">
        <v>0</v>
      </c>
      <c r="AW45" s="90" t="s">
        <v>340</v>
      </c>
      <c r="AX45" s="90" t="s">
        <v>134</v>
      </c>
      <c r="AY45" s="90" t="s">
        <v>134</v>
      </c>
      <c r="AZ45" s="90" t="s">
        <v>212</v>
      </c>
      <c r="BA45" s="90" t="s">
        <v>204</v>
      </c>
      <c r="BB45" s="90" t="s">
        <v>341</v>
      </c>
      <c r="BC45" s="93">
        <v>13</v>
      </c>
      <c r="BD45" s="93">
        <v>26</v>
      </c>
      <c r="BE45" s="96">
        <f>U45/((VLOOKUP(B45,'Cell-Characteristics'!$B$4:$E$34,3,FALSE)*VLOOKUP(B45,'Cell-Characteristics'!$B$4:$E$34,4,FALSE)*3600)/1000)</f>
        <v>1.52729308122263</v>
      </c>
      <c r="BF45" s="90">
        <f t="shared" si="2"/>
        <v>9639.6254285076</v>
      </c>
      <c r="BG45" s="90">
        <f t="shared" si="0"/>
        <v>14333.3654035326</v>
      </c>
      <c r="BH45" s="90">
        <f t="shared" si="1"/>
        <v>15739.893860123</v>
      </c>
      <c r="BI45" s="90">
        <f t="shared" si="3"/>
        <v>39412.4454076805</v>
      </c>
      <c r="BJ45" s="90">
        <f>BF45/((VLOOKUP(B45,'Cell-Characteristics'!$B$4:$Q$34,13,FALSE)))</f>
        <v>179.078597910711</v>
      </c>
      <c r="BK45" s="90">
        <f>BG45/((VLOOKUP(B45,'Cell-Characteristics'!$B$4:$Q$34,14,FALSE)))</f>
        <v>3877.56465593277</v>
      </c>
      <c r="BL45" s="90">
        <f>BH45/((VLOOKUP(B45,'Cell-Characteristics'!$B$4:$Q$34,15,FALSE)))</f>
        <v>4258.06880672308</v>
      </c>
      <c r="BM45" s="90">
        <f>BI45/((VLOOKUP(B45,'Cell-Characteristics'!$B$4:$Q$34,16,FALSE)))</f>
        <v>643.762861618707</v>
      </c>
      <c r="BN45" s="50">
        <f t="shared" si="4"/>
        <v>2.5111</v>
      </c>
    </row>
    <row r="46" s="50" customFormat="1" spans="2:66">
      <c r="B46" s="90" t="s">
        <v>136</v>
      </c>
      <c r="C46" s="91" t="s">
        <v>342</v>
      </c>
      <c r="D46" s="90" t="s">
        <v>244</v>
      </c>
      <c r="E46" s="92" t="s">
        <v>265</v>
      </c>
      <c r="F46" s="93" t="s">
        <v>245</v>
      </c>
      <c r="G46" s="93" t="s">
        <v>246</v>
      </c>
      <c r="H46" s="94">
        <v>43511</v>
      </c>
      <c r="I46" s="95">
        <v>17</v>
      </c>
      <c r="J46" s="95">
        <v>100</v>
      </c>
      <c r="K46" s="96">
        <v>4.112</v>
      </c>
      <c r="L46" s="97">
        <v>70.5562</v>
      </c>
      <c r="M46" s="97">
        <v>50.6</v>
      </c>
      <c r="N46" s="97">
        <v>48.5</v>
      </c>
      <c r="O46" s="96" t="s">
        <v>278</v>
      </c>
      <c r="P46" s="96" t="s">
        <v>278</v>
      </c>
      <c r="Q46" s="98" t="s">
        <v>199</v>
      </c>
      <c r="R46" s="99">
        <v>83.0462891066419</v>
      </c>
      <c r="S46" s="100">
        <v>0.024</v>
      </c>
      <c r="T46" s="100">
        <v>86.185904670619</v>
      </c>
      <c r="U46" s="97">
        <v>88.7318241813837</v>
      </c>
      <c r="V46" s="97">
        <v>33.0420502840387</v>
      </c>
      <c r="W46" s="97">
        <v>46.9709087235745</v>
      </c>
      <c r="X46" s="97">
        <v>8.71886517377054</v>
      </c>
      <c r="Y46" s="97">
        <v>37.2381054811798</v>
      </c>
      <c r="Z46" s="97">
        <v>52.9358087212966</v>
      </c>
      <c r="AA46" s="97">
        <v>9.82608579752358</v>
      </c>
      <c r="AB46" s="97">
        <v>2.14613546882108</v>
      </c>
      <c r="AC46" s="97">
        <v>0.399784041943692</v>
      </c>
      <c r="AD46" s="103">
        <v>1.8078</v>
      </c>
      <c r="AE46" s="103">
        <v>2.4094</v>
      </c>
      <c r="AF46" s="103">
        <v>9.4311</v>
      </c>
      <c r="AG46" s="97" t="s">
        <v>134</v>
      </c>
      <c r="AH46" s="97" t="s">
        <v>134</v>
      </c>
      <c r="AI46" s="97" t="s">
        <v>134</v>
      </c>
      <c r="AJ46" s="97" t="s">
        <v>134</v>
      </c>
      <c r="AK46" s="92" t="s">
        <v>134</v>
      </c>
      <c r="AL46" s="97">
        <v>37</v>
      </c>
      <c r="AM46" s="97">
        <v>2</v>
      </c>
      <c r="AN46" s="97">
        <v>8</v>
      </c>
      <c r="AO46" s="97">
        <v>0.6</v>
      </c>
      <c r="AP46" s="97">
        <v>0.3</v>
      </c>
      <c r="AQ46" s="97">
        <v>1.5</v>
      </c>
      <c r="AR46" s="97">
        <v>0.6</v>
      </c>
      <c r="AS46" s="97">
        <v>20.5562</v>
      </c>
      <c r="AT46" s="97">
        <f t="shared" si="12"/>
        <v>33.5562</v>
      </c>
      <c r="AU46" s="97">
        <f t="shared" si="13"/>
        <v>47.5595341018932</v>
      </c>
      <c r="AV46" s="97">
        <v>0</v>
      </c>
      <c r="AW46" s="90" t="s">
        <v>343</v>
      </c>
      <c r="AX46" s="90" t="s">
        <v>248</v>
      </c>
      <c r="AY46" s="90" t="s">
        <v>344</v>
      </c>
      <c r="AZ46" s="90" t="s">
        <v>212</v>
      </c>
      <c r="BA46" s="90" t="s">
        <v>204</v>
      </c>
      <c r="BB46" s="90" t="s">
        <v>345</v>
      </c>
      <c r="BC46" s="93">
        <v>8</v>
      </c>
      <c r="BD46" s="93">
        <v>16</v>
      </c>
      <c r="BE46" s="96">
        <f>U46/((VLOOKUP(B46,'Cell-Characteristics'!$B$4:$E$34,3,FALSE)*VLOOKUP(B46,'Cell-Characteristics'!$B$4:$E$34,4,FALSE)*3600)/1000)</f>
        <v>1.36931827440407</v>
      </c>
      <c r="BF46" s="90">
        <f t="shared" si="2"/>
        <v>18277.4921363197</v>
      </c>
      <c r="BG46" s="90">
        <f t="shared" si="0"/>
        <v>19494.8571111374</v>
      </c>
      <c r="BH46" s="90">
        <f t="shared" si="1"/>
        <v>924.480195711056</v>
      </c>
      <c r="BI46" s="90">
        <f t="shared" si="3"/>
        <v>19503.9288808241</v>
      </c>
      <c r="BJ46" s="90">
        <f>BF46/((VLOOKUP(B46,'Cell-Characteristics'!$B$4:$Q$34,13,FALSE)))</f>
        <v>339.547183588326</v>
      </c>
      <c r="BK46" s="90">
        <f>BG46/((VLOOKUP(B46,'Cell-Characteristics'!$B$4:$Q$34,14,FALSE)))</f>
        <v>5273.88835618294</v>
      </c>
      <c r="BL46" s="90">
        <f>BH46/((VLOOKUP(B46,'Cell-Characteristics'!$B$4:$Q$34,15,FALSE)))</f>
        <v>250.097003116623</v>
      </c>
      <c r="BM46" s="90">
        <f>BI46/((VLOOKUP(B46,'Cell-Characteristics'!$B$4:$Q$34,16,FALSE)))</f>
        <v>318.577163615436</v>
      </c>
      <c r="BN46" s="50">
        <f t="shared" si="4"/>
        <v>4.54943333333333</v>
      </c>
    </row>
    <row r="47" s="50" customFormat="1" spans="2:66">
      <c r="B47" s="90" t="s">
        <v>136</v>
      </c>
      <c r="C47" s="91" t="s">
        <v>346</v>
      </c>
      <c r="D47" s="90" t="s">
        <v>244</v>
      </c>
      <c r="E47" s="92" t="s">
        <v>265</v>
      </c>
      <c r="F47" s="93" t="s">
        <v>245</v>
      </c>
      <c r="G47" s="93" t="s">
        <v>246</v>
      </c>
      <c r="H47" s="94">
        <v>43511</v>
      </c>
      <c r="I47" s="95">
        <v>18</v>
      </c>
      <c r="J47" s="95">
        <v>100</v>
      </c>
      <c r="K47" s="96">
        <v>4.138</v>
      </c>
      <c r="L47" s="97">
        <v>70.617</v>
      </c>
      <c r="M47" s="97">
        <v>48</v>
      </c>
      <c r="N47" s="97">
        <v>45.8</v>
      </c>
      <c r="O47" s="96" t="s">
        <v>278</v>
      </c>
      <c r="P47" s="96" t="s">
        <v>278</v>
      </c>
      <c r="Q47" s="98" t="s">
        <v>199</v>
      </c>
      <c r="R47" s="99">
        <v>89.6507575863999</v>
      </c>
      <c r="S47" s="100">
        <v>0.029</v>
      </c>
      <c r="T47" s="100">
        <v>92.7432140941469</v>
      </c>
      <c r="U47" s="97">
        <v>96.0794425278401</v>
      </c>
      <c r="V47" s="97">
        <v>28.6191806687018</v>
      </c>
      <c r="W47" s="97">
        <v>31.1254563762907</v>
      </c>
      <c r="X47" s="97">
        <v>36.3348054828477</v>
      </c>
      <c r="Y47" s="97">
        <v>29.7869970055343</v>
      </c>
      <c r="Z47" s="97">
        <v>32.3955422277473</v>
      </c>
      <c r="AA47" s="97">
        <v>37.8174607667184</v>
      </c>
      <c r="AB47" s="97">
        <v>1.43390157531879</v>
      </c>
      <c r="AC47" s="97">
        <v>1.9023268583745</v>
      </c>
      <c r="AD47" s="103">
        <v>1.7027</v>
      </c>
      <c r="AE47" s="103">
        <v>2.6043</v>
      </c>
      <c r="AF47" s="103">
        <v>7.0171</v>
      </c>
      <c r="AG47" s="97" t="s">
        <v>134</v>
      </c>
      <c r="AH47" s="97" t="s">
        <v>134</v>
      </c>
      <c r="AI47" s="97" t="s">
        <v>134</v>
      </c>
      <c r="AJ47" s="97" t="s">
        <v>134</v>
      </c>
      <c r="AK47" s="92" t="s">
        <v>134</v>
      </c>
      <c r="AL47" s="97">
        <v>31.4</v>
      </c>
      <c r="AM47" s="97">
        <v>2.9</v>
      </c>
      <c r="AN47" s="97">
        <v>5.9</v>
      </c>
      <c r="AO47" s="97">
        <v>0.8</v>
      </c>
      <c r="AP47" s="97">
        <v>0.8</v>
      </c>
      <c r="AQ47" s="97">
        <v>6.7</v>
      </c>
      <c r="AR47" s="97">
        <v>2</v>
      </c>
      <c r="AS47" s="97">
        <v>20.117</v>
      </c>
      <c r="AT47" s="97">
        <f t="shared" si="12"/>
        <v>39.217</v>
      </c>
      <c r="AU47" s="97">
        <f t="shared" si="13"/>
        <v>55.5347862412734</v>
      </c>
      <c r="AV47" s="97">
        <v>0</v>
      </c>
      <c r="AW47" s="90" t="s">
        <v>347</v>
      </c>
      <c r="AX47" s="90" t="s">
        <v>248</v>
      </c>
      <c r="AY47" s="90" t="s">
        <v>348</v>
      </c>
      <c r="AZ47" s="90" t="s">
        <v>212</v>
      </c>
      <c r="BA47" s="90" t="s">
        <v>204</v>
      </c>
      <c r="BB47" s="90" t="s">
        <v>349</v>
      </c>
      <c r="BC47" s="93">
        <v>7</v>
      </c>
      <c r="BD47" s="93">
        <v>14</v>
      </c>
      <c r="BE47" s="96">
        <f>U47/((VLOOKUP(B47,'Cell-Characteristics'!$B$4:$E$34,3,FALSE)*VLOOKUP(B47,'Cell-Characteristics'!$B$4:$E$34,4,FALSE)*3600)/1000)</f>
        <v>1.48270744641729</v>
      </c>
      <c r="BF47" s="90">
        <f t="shared" si="2"/>
        <v>16808.1169135501</v>
      </c>
      <c r="BG47" s="90">
        <f t="shared" si="0"/>
        <v>11951.5633284532</v>
      </c>
      <c r="BH47" s="90">
        <f t="shared" si="1"/>
        <v>5178.03729216453</v>
      </c>
      <c r="BI47" s="90">
        <f t="shared" si="3"/>
        <v>25453.5307515406</v>
      </c>
      <c r="BJ47" s="90">
        <f>BF47/((VLOOKUP(B47,'Cell-Characteristics'!$B$4:$Q$34,13,FALSE)))</f>
        <v>312.250100662247</v>
      </c>
      <c r="BK47" s="90">
        <f>BG47/((VLOOKUP(B47,'Cell-Characteristics'!$B$4:$Q$34,14,FALSE)))</f>
        <v>3233.22250154389</v>
      </c>
      <c r="BL47" s="90">
        <f>BH47/((VLOOKUP(B47,'Cell-Characteristics'!$B$4:$Q$34,15,FALSE)))</f>
        <v>1400.79973027482</v>
      </c>
      <c r="BM47" s="90">
        <f>BI47/((VLOOKUP(B47,'Cell-Characteristics'!$B$4:$Q$34,16,FALSE)))</f>
        <v>415.757957300419</v>
      </c>
      <c r="BN47" s="50">
        <f t="shared" si="4"/>
        <v>3.7747</v>
      </c>
    </row>
    <row r="48" s="50" customFormat="1" spans="2:66">
      <c r="B48" s="90" t="s">
        <v>136</v>
      </c>
      <c r="C48" s="91" t="s">
        <v>350</v>
      </c>
      <c r="D48" s="90" t="s">
        <v>244</v>
      </c>
      <c r="E48" s="92" t="s">
        <v>265</v>
      </c>
      <c r="F48" s="93" t="s">
        <v>245</v>
      </c>
      <c r="G48" s="93" t="s">
        <v>246</v>
      </c>
      <c r="H48" s="94">
        <v>43511</v>
      </c>
      <c r="I48" s="95">
        <v>19</v>
      </c>
      <c r="J48" s="95">
        <v>100</v>
      </c>
      <c r="K48" s="96">
        <v>4.157</v>
      </c>
      <c r="L48" s="97">
        <v>72.9619</v>
      </c>
      <c r="M48" s="97">
        <v>48.1</v>
      </c>
      <c r="N48" s="97">
        <v>45.1</v>
      </c>
      <c r="O48" s="96" t="s">
        <v>278</v>
      </c>
      <c r="P48" s="96" t="s">
        <v>278</v>
      </c>
      <c r="Q48" s="98" t="s">
        <v>209</v>
      </c>
      <c r="R48" s="99">
        <v>83.9462793456096</v>
      </c>
      <c r="S48" s="100">
        <v>0.027</v>
      </c>
      <c r="T48" s="100">
        <v>85.8435929520376</v>
      </c>
      <c r="U48" s="97">
        <v>94.0337712552941</v>
      </c>
      <c r="V48" s="97">
        <v>20.5015639552483</v>
      </c>
      <c r="W48" s="97">
        <v>73.5308757995802</v>
      </c>
      <c r="X48" s="97">
        <v>0.00133150046564433</v>
      </c>
      <c r="Y48" s="97">
        <v>21.8023415221625</v>
      </c>
      <c r="Z48" s="97">
        <v>78.1962424966981</v>
      </c>
      <c r="AA48" s="97">
        <v>0.00141598113940301</v>
      </c>
      <c r="AB48" s="97">
        <v>8.19017830325656</v>
      </c>
      <c r="AC48" s="97">
        <v>0</v>
      </c>
      <c r="AD48" s="103">
        <v>1.7051</v>
      </c>
      <c r="AE48" s="103">
        <v>1.7051</v>
      </c>
      <c r="AF48" s="103">
        <v>0.4055</v>
      </c>
      <c r="AG48" s="97" t="s">
        <v>134</v>
      </c>
      <c r="AH48" s="97" t="s">
        <v>134</v>
      </c>
      <c r="AI48" s="97" t="s">
        <v>134</v>
      </c>
      <c r="AJ48" s="97" t="s">
        <v>134</v>
      </c>
      <c r="AK48" s="92" t="s">
        <v>134</v>
      </c>
      <c r="AL48" s="97">
        <v>29.6</v>
      </c>
      <c r="AM48" s="97">
        <v>3.4</v>
      </c>
      <c r="AN48" s="97">
        <v>11.3</v>
      </c>
      <c r="AO48" s="97">
        <v>3.3</v>
      </c>
      <c r="AP48" s="97">
        <v>0</v>
      </c>
      <c r="AQ48" s="97">
        <v>0</v>
      </c>
      <c r="AR48" s="97">
        <v>0</v>
      </c>
      <c r="AS48" s="97">
        <v>25.3619</v>
      </c>
      <c r="AT48" s="97">
        <f t="shared" si="12"/>
        <v>43.3619</v>
      </c>
      <c r="AU48" s="97">
        <f t="shared" si="13"/>
        <v>59.4308810488762</v>
      </c>
      <c r="AV48" s="97">
        <v>0</v>
      </c>
      <c r="AW48" s="90" t="s">
        <v>351</v>
      </c>
      <c r="AX48" s="90" t="s">
        <v>248</v>
      </c>
      <c r="AY48" s="90" t="s">
        <v>352</v>
      </c>
      <c r="AZ48" s="90" t="s">
        <v>212</v>
      </c>
      <c r="BA48" s="90" t="s">
        <v>204</v>
      </c>
      <c r="BB48" s="90" t="s">
        <v>353</v>
      </c>
      <c r="BC48" s="93">
        <v>8</v>
      </c>
      <c r="BD48" s="93">
        <v>16</v>
      </c>
      <c r="BE48" s="96">
        <f>U48/((VLOOKUP(B48,'Cell-Characteristics'!$B$4:$E$34,3,FALSE)*VLOOKUP(B48,'Cell-Characteristics'!$B$4:$E$34,4,FALSE)*3600)/1000)</f>
        <v>1.45113844529775</v>
      </c>
      <c r="BF48" s="90">
        <f t="shared" si="2"/>
        <v>12023.6724856303</v>
      </c>
      <c r="BG48" s="90">
        <f t="shared" si="0"/>
        <v>43124.0841003931</v>
      </c>
      <c r="BH48" s="90">
        <f t="shared" si="1"/>
        <v>3.28360164153966</v>
      </c>
      <c r="BI48" s="90">
        <f t="shared" si="3"/>
        <v>73931.7330413508</v>
      </c>
      <c r="BJ48" s="90">
        <f>BF48/((VLOOKUP(B48,'Cell-Characteristics'!$B$4:$Q$34,13,FALSE)))</f>
        <v>223.367850383126</v>
      </c>
      <c r="BK48" s="90">
        <f>BG48/((VLOOKUP(B48,'Cell-Characteristics'!$B$4:$Q$34,14,FALSE)))</f>
        <v>11666.2360596726</v>
      </c>
      <c r="BL48" s="90">
        <f>BH48/((VLOOKUP(B48,'Cell-Characteristics'!$B$4:$Q$34,15,FALSE)))</f>
        <v>0.888303431255507</v>
      </c>
      <c r="BM48" s="90">
        <f>BI48/((VLOOKUP(B48,'Cell-Characteristics'!$B$4:$Q$34,16,FALSE)))</f>
        <v>1207.60088684716</v>
      </c>
      <c r="BN48" s="50">
        <f t="shared" si="4"/>
        <v>1.2719</v>
      </c>
    </row>
    <row r="49" s="50" customFormat="1" spans="2:66">
      <c r="B49" s="90" t="s">
        <v>136</v>
      </c>
      <c r="C49" s="91" t="s">
        <v>354</v>
      </c>
      <c r="D49" s="90" t="s">
        <v>193</v>
      </c>
      <c r="E49" s="92" t="s">
        <v>265</v>
      </c>
      <c r="F49" s="93" t="s">
        <v>195</v>
      </c>
      <c r="G49" s="93" t="s">
        <v>196</v>
      </c>
      <c r="H49" s="94">
        <v>43812</v>
      </c>
      <c r="I49" s="95">
        <v>464</v>
      </c>
      <c r="J49" s="95">
        <v>100</v>
      </c>
      <c r="K49" s="96">
        <v>4.107</v>
      </c>
      <c r="L49" s="97">
        <v>72.896</v>
      </c>
      <c r="M49" s="97">
        <v>47.6</v>
      </c>
      <c r="N49" s="97">
        <v>48.6</v>
      </c>
      <c r="O49" s="96" t="s">
        <v>278</v>
      </c>
      <c r="P49" s="96" t="s">
        <v>278</v>
      </c>
      <c r="Q49" s="98" t="s">
        <v>199</v>
      </c>
      <c r="R49" s="99">
        <v>85.0413948360158</v>
      </c>
      <c r="S49" s="100">
        <v>0.0268</v>
      </c>
      <c r="T49" s="100">
        <v>88.2106179348053</v>
      </c>
      <c r="U49" s="97">
        <v>91.3818813491045</v>
      </c>
      <c r="V49" s="97">
        <v>27.0751566569801</v>
      </c>
      <c r="W49" s="97">
        <v>7.44810785643174</v>
      </c>
      <c r="X49" s="97">
        <v>56.8586168356926</v>
      </c>
      <c r="Y49" s="97">
        <v>29.6285831034112</v>
      </c>
      <c r="Z49" s="97">
        <v>8.15053022160693</v>
      </c>
      <c r="AA49" s="97">
        <v>62.2208866749818</v>
      </c>
      <c r="AB49" s="97">
        <v>0.37525128425004</v>
      </c>
      <c r="AC49" s="97">
        <v>2.79601213004916</v>
      </c>
      <c r="AD49" s="97">
        <v>3.1098</v>
      </c>
      <c r="AE49" s="97">
        <v>2.3086</v>
      </c>
      <c r="AF49" s="97">
        <v>2.2079</v>
      </c>
      <c r="AG49" s="97" t="s">
        <v>134</v>
      </c>
      <c r="AH49" s="97" t="s">
        <v>134</v>
      </c>
      <c r="AI49" s="97" t="s">
        <v>134</v>
      </c>
      <c r="AJ49" s="97">
        <v>13.3387</v>
      </c>
      <c r="AK49" s="92" t="s">
        <v>134</v>
      </c>
      <c r="AL49" s="97">
        <v>34.6</v>
      </c>
      <c r="AM49" s="97">
        <v>2.6</v>
      </c>
      <c r="AN49" s="97">
        <v>1.9</v>
      </c>
      <c r="AO49" s="97">
        <v>0.399999999999999</v>
      </c>
      <c r="AP49" s="97">
        <v>1.4</v>
      </c>
      <c r="AQ49" s="97">
        <v>9.6</v>
      </c>
      <c r="AR49" s="97">
        <v>0</v>
      </c>
      <c r="AS49" s="97">
        <v>22.396</v>
      </c>
      <c r="AT49" s="97">
        <v>38.296</v>
      </c>
      <c r="AU49" s="97">
        <v>52.535118525022</v>
      </c>
      <c r="AV49" s="97">
        <v>0</v>
      </c>
      <c r="AW49" s="90" t="s">
        <v>355</v>
      </c>
      <c r="AX49" s="90" t="s">
        <v>356</v>
      </c>
      <c r="AY49" s="90" t="s">
        <v>202</v>
      </c>
      <c r="AZ49" s="90" t="s">
        <v>212</v>
      </c>
      <c r="BA49" s="90" t="s">
        <v>204</v>
      </c>
      <c r="BB49" s="90"/>
      <c r="BC49" s="93">
        <v>5</v>
      </c>
      <c r="BD49" s="93">
        <v>6.17283950617284</v>
      </c>
      <c r="BE49" s="96">
        <f>U49/((VLOOKUP(B49,'Cell-Characteristics'!$B$4:$E$34,3,FALSE)*VLOOKUP(B49,'Cell-Characteristics'!$B$4:$E$34,4,FALSE)*3600)/1000)</f>
        <v>1.41021421835038</v>
      </c>
      <c r="BF49" s="90">
        <f t="shared" si="2"/>
        <v>8706.39805035054</v>
      </c>
      <c r="BG49" s="90">
        <f t="shared" si="0"/>
        <v>3226.24441498386</v>
      </c>
      <c r="BH49" s="90">
        <f t="shared" si="1"/>
        <v>25752.351481359</v>
      </c>
      <c r="BI49" s="90">
        <f t="shared" si="3"/>
        <v>35947.3983514042</v>
      </c>
      <c r="BJ49" s="90">
        <f>BF49/((VLOOKUP(B49,'Cell-Characteristics'!$B$4:$Q$34,13,FALSE)))</f>
        <v>161.741715720452</v>
      </c>
      <c r="BK49" s="90">
        <f>BG49/((VLOOKUP(B49,'Cell-Characteristics'!$B$4:$Q$34,14,FALSE)))</f>
        <v>872.786743569565</v>
      </c>
      <c r="BL49" s="90">
        <f>BH49/((VLOOKUP(B49,'Cell-Characteristics'!$B$4:$Q$34,15,FALSE)))</f>
        <v>6966.71054563814</v>
      </c>
      <c r="BM49" s="90">
        <f>BI49/((VLOOKUP(B49,'Cell-Characteristics'!$B$4:$Q$34,16,FALSE)))</f>
        <v>587.164784906695</v>
      </c>
      <c r="BN49" s="50">
        <f t="shared" si="4"/>
        <v>2.5421</v>
      </c>
    </row>
    <row r="50" s="50" customFormat="1" spans="2:66">
      <c r="B50" s="90" t="s">
        <v>136</v>
      </c>
      <c r="C50" s="105" t="s">
        <v>357</v>
      </c>
      <c r="D50" s="90" t="s">
        <v>193</v>
      </c>
      <c r="E50" s="92" t="s">
        <v>265</v>
      </c>
      <c r="F50" s="93" t="s">
        <v>195</v>
      </c>
      <c r="G50" s="93" t="s">
        <v>196</v>
      </c>
      <c r="H50" s="94">
        <v>43812</v>
      </c>
      <c r="I50" s="95">
        <v>544</v>
      </c>
      <c r="J50" s="95">
        <v>100</v>
      </c>
      <c r="K50" s="96">
        <v>4.023</v>
      </c>
      <c r="L50" s="97">
        <v>72.9603</v>
      </c>
      <c r="M50" s="97">
        <v>48.5</v>
      </c>
      <c r="N50" s="97">
        <v>45.9</v>
      </c>
      <c r="O50" s="96" t="s">
        <v>278</v>
      </c>
      <c r="P50" s="96" t="s">
        <v>278</v>
      </c>
      <c r="Q50" s="98" t="s">
        <v>199</v>
      </c>
      <c r="R50" s="99">
        <v>78.2612399064291</v>
      </c>
      <c r="S50" s="100">
        <v>0.0244</v>
      </c>
      <c r="T50" s="100">
        <v>81.887304588596</v>
      </c>
      <c r="U50" s="97">
        <v>84.1638233910112</v>
      </c>
      <c r="V50" s="97">
        <v>33.2316087736362</v>
      </c>
      <c r="W50" s="97">
        <v>50.6743378908491</v>
      </c>
      <c r="X50" s="97">
        <v>0.257876726525903</v>
      </c>
      <c r="Y50" s="97">
        <v>39.4844333761403</v>
      </c>
      <c r="Z50" s="97">
        <v>60.2091680833278</v>
      </c>
      <c r="AA50" s="97">
        <v>0.306398540531898</v>
      </c>
      <c r="AB50" s="97">
        <v>2.14986317086649</v>
      </c>
      <c r="AC50" s="97">
        <v>0.126655631548677</v>
      </c>
      <c r="AD50" s="97">
        <v>11.5224</v>
      </c>
      <c r="AE50" s="97">
        <v>2.1005</v>
      </c>
      <c r="AF50" s="97">
        <v>11.5224</v>
      </c>
      <c r="AG50" s="97" t="s">
        <v>134</v>
      </c>
      <c r="AH50" s="97" t="s">
        <v>134</v>
      </c>
      <c r="AI50" s="97" t="s">
        <v>134</v>
      </c>
      <c r="AJ50" s="97">
        <v>17.7335</v>
      </c>
      <c r="AK50" s="92" t="s">
        <v>134</v>
      </c>
      <c r="AL50" s="97">
        <v>39</v>
      </c>
      <c r="AM50" s="97">
        <v>0.699999999999999</v>
      </c>
      <c r="AN50" s="97">
        <v>7.7</v>
      </c>
      <c r="AO50" s="97">
        <v>0.100000000000001</v>
      </c>
      <c r="AP50" s="97">
        <v>0.0999999999999996</v>
      </c>
      <c r="AQ50" s="97">
        <v>0.0999999999999996</v>
      </c>
      <c r="AR50" s="97">
        <v>0.100000000000001</v>
      </c>
      <c r="AS50" s="97">
        <v>25.1603</v>
      </c>
      <c r="AT50" s="97">
        <v>33.9603</v>
      </c>
      <c r="AU50" s="97">
        <v>46.5462724248667</v>
      </c>
      <c r="AV50" s="97">
        <v>0</v>
      </c>
      <c r="AW50" s="90" t="s">
        <v>358</v>
      </c>
      <c r="AX50" s="90" t="s">
        <v>359</v>
      </c>
      <c r="AY50" s="90" t="s">
        <v>202</v>
      </c>
      <c r="AZ50" s="90" t="s">
        <v>212</v>
      </c>
      <c r="BA50" s="90" t="s">
        <v>204</v>
      </c>
      <c r="BB50" s="90"/>
      <c r="BC50" s="93">
        <v>7</v>
      </c>
      <c r="BD50" s="93">
        <v>8.64197530864197</v>
      </c>
      <c r="BE50" s="96">
        <f>U50/((VLOOKUP(B50,'Cell-Characteristics'!$B$4:$E$34,3,FALSE)*VLOOKUP(B50,'Cell-Characteristics'!$B$4:$E$34,4,FALSE)*3600)/1000)</f>
        <v>1.29882443504647</v>
      </c>
      <c r="BF50" s="90">
        <f t="shared" si="2"/>
        <v>2884.0874100566</v>
      </c>
      <c r="BG50" s="90">
        <f t="shared" si="0"/>
        <v>24124.8930687213</v>
      </c>
      <c r="BH50" s="90">
        <f t="shared" si="1"/>
        <v>22.3804699130305</v>
      </c>
      <c r="BI50" s="90">
        <f t="shared" si="3"/>
        <v>10041.2987784212</v>
      </c>
      <c r="BJ50" s="90">
        <f>BF50/((VLOOKUP(B50,'Cell-Characteristics'!$B$4:$Q$34,13,FALSE)))</f>
        <v>53.5786720630731</v>
      </c>
      <c r="BK50" s="90">
        <f>BG50/((VLOOKUP(B50,'Cell-Characteristics'!$B$4:$Q$34,14,FALSE)))</f>
        <v>6526.43884097001</v>
      </c>
      <c r="BL50" s="90">
        <f>BH50/((VLOOKUP(B50,'Cell-Characteristics'!$B$4:$Q$34,15,FALSE)))</f>
        <v>6.05452499637981</v>
      </c>
      <c r="BM50" s="90">
        <f>BI50/((VLOOKUP(B50,'Cell-Characteristics'!$B$4:$Q$34,16,FALSE)))</f>
        <v>164.014568725673</v>
      </c>
      <c r="BN50" s="50">
        <f t="shared" si="4"/>
        <v>8.38176666666667</v>
      </c>
    </row>
    <row r="51" s="50" customFormat="1" spans="2:66">
      <c r="B51" s="90" t="s">
        <v>136</v>
      </c>
      <c r="C51" s="91" t="s">
        <v>360</v>
      </c>
      <c r="D51" s="90" t="s">
        <v>193</v>
      </c>
      <c r="E51" s="92" t="s">
        <v>265</v>
      </c>
      <c r="F51" s="93" t="s">
        <v>195</v>
      </c>
      <c r="G51" s="93" t="s">
        <v>196</v>
      </c>
      <c r="H51" s="94">
        <v>43812</v>
      </c>
      <c r="I51" s="95">
        <v>22</v>
      </c>
      <c r="J51" s="95">
        <v>100</v>
      </c>
      <c r="K51" s="96">
        <v>4.15</v>
      </c>
      <c r="L51" s="97">
        <v>72.6</v>
      </c>
      <c r="M51" s="97">
        <v>47.7</v>
      </c>
      <c r="N51" s="97">
        <v>46.2</v>
      </c>
      <c r="O51" s="96" t="s">
        <v>278</v>
      </c>
      <c r="P51" s="96" t="s">
        <v>278</v>
      </c>
      <c r="Q51" s="98" t="s">
        <v>199</v>
      </c>
      <c r="R51" s="99">
        <v>89.9105499013012</v>
      </c>
      <c r="S51" s="100">
        <v>0.0292</v>
      </c>
      <c r="T51" s="100">
        <v>93.5691255477729</v>
      </c>
      <c r="U51" s="97">
        <v>97.3389299776929</v>
      </c>
      <c r="V51" s="97">
        <v>29.6154483376576</v>
      </c>
      <c r="W51" s="97">
        <v>17.7438229259161</v>
      </c>
      <c r="X51" s="97">
        <v>49.9796587141192</v>
      </c>
      <c r="Y51" s="97">
        <v>30.4250810487074</v>
      </c>
      <c r="Z51" s="97">
        <v>18.2289069029036</v>
      </c>
      <c r="AA51" s="97">
        <v>51.346012048389</v>
      </c>
      <c r="AB51" s="97">
        <v>0.827248582791</v>
      </c>
      <c r="AC51" s="97">
        <v>2.942555847129</v>
      </c>
      <c r="AD51" s="97">
        <v>2.0063</v>
      </c>
      <c r="AE51" s="97">
        <v>1.9062</v>
      </c>
      <c r="AF51" s="97">
        <v>2.0063</v>
      </c>
      <c r="AG51" s="97" t="s">
        <v>134</v>
      </c>
      <c r="AH51" s="97" t="s">
        <v>134</v>
      </c>
      <c r="AI51" s="97" t="s">
        <v>134</v>
      </c>
      <c r="AJ51" s="97">
        <v>12.4321</v>
      </c>
      <c r="AK51" s="92" t="s">
        <v>134</v>
      </c>
      <c r="AL51" s="97">
        <v>34.5</v>
      </c>
      <c r="AM51" s="97">
        <v>0.699999999999999</v>
      </c>
      <c r="AN51" s="97">
        <v>2.9</v>
      </c>
      <c r="AO51" s="97">
        <v>0.699999999999996</v>
      </c>
      <c r="AP51" s="97">
        <v>4.1</v>
      </c>
      <c r="AQ51" s="97">
        <v>9.4</v>
      </c>
      <c r="AR51" s="97">
        <v>0.199999999999996</v>
      </c>
      <c r="AS51" s="97">
        <v>20.1</v>
      </c>
      <c r="AT51" s="97">
        <v>38.1</v>
      </c>
      <c r="AU51" s="97">
        <v>52.4793388429752</v>
      </c>
      <c r="AV51" s="97">
        <v>0</v>
      </c>
      <c r="AW51" s="90" t="s">
        <v>361</v>
      </c>
      <c r="AX51" s="90" t="s">
        <v>362</v>
      </c>
      <c r="AY51" s="90" t="s">
        <v>202</v>
      </c>
      <c r="AZ51" s="90" t="s">
        <v>212</v>
      </c>
      <c r="BA51" s="90" t="s">
        <v>204</v>
      </c>
      <c r="BB51" s="90"/>
      <c r="BC51" s="93">
        <v>3</v>
      </c>
      <c r="BD51" s="93">
        <v>3.7037037037037</v>
      </c>
      <c r="BE51" s="96">
        <f>U51/((VLOOKUP(B51,'Cell-Characteristics'!$B$4:$E$34,3,FALSE)*VLOOKUP(B51,'Cell-Characteristics'!$B$4:$E$34,4,FALSE)*3600)/1000)</f>
        <v>1.50214398113724</v>
      </c>
      <c r="BF51" s="90">
        <f t="shared" si="2"/>
        <v>14761.226305965</v>
      </c>
      <c r="BG51" s="90">
        <f t="shared" si="0"/>
        <v>9308.47913435951</v>
      </c>
      <c r="BH51" s="90">
        <f t="shared" si="1"/>
        <v>24911.3585775404</v>
      </c>
      <c r="BI51" s="90">
        <f t="shared" si="3"/>
        <v>49337.1612375952</v>
      </c>
      <c r="BJ51" s="90">
        <f>BF51/((VLOOKUP(B51,'Cell-Characteristics'!$B$4:$Q$34,13,FALSE)))</f>
        <v>274.224318145956</v>
      </c>
      <c r="BK51" s="90">
        <f>BG51/((VLOOKUP(B51,'Cell-Characteristics'!$B$4:$Q$34,14,FALSE)))</f>
        <v>2518.19643717338</v>
      </c>
      <c r="BL51" s="90">
        <f>BH51/((VLOOKUP(B51,'Cell-Characteristics'!$B$4:$Q$34,15,FALSE)))</f>
        <v>6739.19912261017</v>
      </c>
      <c r="BM51" s="90">
        <f>BI51/((VLOOKUP(B51,'Cell-Characteristics'!$B$4:$Q$34,16,FALSE)))</f>
        <v>805.873164527578</v>
      </c>
      <c r="BN51" s="50">
        <f t="shared" si="4"/>
        <v>1.97293333333333</v>
      </c>
    </row>
    <row r="52" s="50" customFormat="1" spans="2:66">
      <c r="B52" s="90" t="s">
        <v>136</v>
      </c>
      <c r="C52" s="91" t="s">
        <v>363</v>
      </c>
      <c r="D52" s="90" t="s">
        <v>193</v>
      </c>
      <c r="E52" s="92" t="s">
        <v>265</v>
      </c>
      <c r="F52" s="93" t="s">
        <v>195</v>
      </c>
      <c r="G52" s="93" t="s">
        <v>196</v>
      </c>
      <c r="H52" s="94">
        <v>43812</v>
      </c>
      <c r="I52" s="95">
        <v>51</v>
      </c>
      <c r="J52" s="95">
        <v>100</v>
      </c>
      <c r="K52" s="96">
        <v>4.17</v>
      </c>
      <c r="L52" s="97">
        <v>72.51</v>
      </c>
      <c r="M52" s="97">
        <v>49.4</v>
      </c>
      <c r="N52" s="97">
        <v>50.1</v>
      </c>
      <c r="O52" s="96" t="s">
        <v>278</v>
      </c>
      <c r="P52" s="96" t="s">
        <v>278</v>
      </c>
      <c r="Q52" s="98" t="s">
        <v>199</v>
      </c>
      <c r="R52" s="99">
        <v>92.4571534967966</v>
      </c>
      <c r="S52" s="100">
        <v>0.031</v>
      </c>
      <c r="T52" s="100">
        <v>96.1157084258666</v>
      </c>
      <c r="U52" s="97">
        <v>99.2084709327368</v>
      </c>
      <c r="V52" s="97">
        <v>26.232764844114</v>
      </c>
      <c r="W52" s="97">
        <v>8.56906997954631</v>
      </c>
      <c r="X52" s="97">
        <v>64.4066361090764</v>
      </c>
      <c r="Y52" s="97">
        <v>26.4420614464462</v>
      </c>
      <c r="Z52" s="97">
        <v>8.63743781048307</v>
      </c>
      <c r="AA52" s="97">
        <v>64.9205007430707</v>
      </c>
      <c r="AB52" s="97">
        <v>0.4343518782924</v>
      </c>
      <c r="AC52" s="97">
        <v>2.6584106285778</v>
      </c>
      <c r="AD52" s="97">
        <v>2.3072</v>
      </c>
      <c r="AE52" s="97">
        <v>2.1065</v>
      </c>
      <c r="AF52" s="97">
        <v>2.3072</v>
      </c>
      <c r="AG52" s="97" t="s">
        <v>134</v>
      </c>
      <c r="AH52" s="97" t="s">
        <v>134</v>
      </c>
      <c r="AI52" s="97" t="s">
        <v>134</v>
      </c>
      <c r="AJ52" s="97">
        <v>18.429</v>
      </c>
      <c r="AK52" s="92" t="s">
        <v>134</v>
      </c>
      <c r="AL52" s="97">
        <v>30.4</v>
      </c>
      <c r="AM52" s="97">
        <v>0.5</v>
      </c>
      <c r="AN52" s="97">
        <v>2.2</v>
      </c>
      <c r="AO52" s="97">
        <v>0.5</v>
      </c>
      <c r="AP52" s="97">
        <v>2.4</v>
      </c>
      <c r="AQ52" s="97">
        <v>11.6</v>
      </c>
      <c r="AR52" s="97">
        <v>1.1</v>
      </c>
      <c r="AS52" s="97">
        <v>23.81</v>
      </c>
      <c r="AT52" s="97">
        <v>42.11</v>
      </c>
      <c r="AU52" s="97">
        <v>58.0747483105779</v>
      </c>
      <c r="AV52" s="97">
        <v>0</v>
      </c>
      <c r="AW52" s="90" t="s">
        <v>364</v>
      </c>
      <c r="AX52" s="90" t="s">
        <v>365</v>
      </c>
      <c r="AY52" s="90" t="s">
        <v>202</v>
      </c>
      <c r="AZ52" s="90" t="s">
        <v>212</v>
      </c>
      <c r="BA52" s="90" t="s">
        <v>204</v>
      </c>
      <c r="BB52" s="90"/>
      <c r="BC52" s="93">
        <v>6</v>
      </c>
      <c r="BD52" s="93">
        <v>7.40740740740741</v>
      </c>
      <c r="BE52" s="96">
        <f>U52/((VLOOKUP(B52,'Cell-Characteristics'!$B$4:$E$34,3,FALSE)*VLOOKUP(B52,'Cell-Characteristics'!$B$4:$E$34,4,FALSE)*3600)/1000)</f>
        <v>1.53099492180149</v>
      </c>
      <c r="BF52" s="90">
        <f t="shared" si="2"/>
        <v>11369.957023281</v>
      </c>
      <c r="BG52" s="90">
        <f t="shared" si="0"/>
        <v>4067.91833826077</v>
      </c>
      <c r="BH52" s="90">
        <f t="shared" si="1"/>
        <v>27915.4976200921</v>
      </c>
      <c r="BI52" s="90">
        <f t="shared" si="3"/>
        <v>44283.5651175007</v>
      </c>
      <c r="BJ52" s="90">
        <f>BF52/((VLOOKUP(B52,'Cell-Characteristics'!$B$4:$Q$34,13,FALSE)))</f>
        <v>211.223556053613</v>
      </c>
      <c r="BK52" s="90">
        <f>BG52/((VLOOKUP(B52,'Cell-Characteristics'!$B$4:$Q$34,14,FALSE)))</f>
        <v>1100.48240085843</v>
      </c>
      <c r="BL52" s="90">
        <f>BH52/((VLOOKUP(B52,'Cell-Characteristics'!$B$4:$Q$34,15,FALSE)))</f>
        <v>7551.90033024388</v>
      </c>
      <c r="BM52" s="90">
        <f>BI52/((VLOOKUP(B52,'Cell-Characteristics'!$B$4:$Q$34,16,FALSE)))</f>
        <v>723.327728280598</v>
      </c>
      <c r="BN52" s="50">
        <f t="shared" si="4"/>
        <v>2.2403</v>
      </c>
    </row>
    <row r="53" s="50" customFormat="1" spans="2:66">
      <c r="B53" s="90" t="s">
        <v>136</v>
      </c>
      <c r="C53" s="91" t="s">
        <v>366</v>
      </c>
      <c r="D53" s="90" t="s">
        <v>193</v>
      </c>
      <c r="E53" s="92" t="s">
        <v>265</v>
      </c>
      <c r="F53" s="93" t="s">
        <v>195</v>
      </c>
      <c r="G53" s="93" t="s">
        <v>196</v>
      </c>
      <c r="H53" s="94">
        <v>43813</v>
      </c>
      <c r="I53" s="95" t="s">
        <v>367</v>
      </c>
      <c r="J53" s="95">
        <v>100</v>
      </c>
      <c r="K53" s="96">
        <v>4.175</v>
      </c>
      <c r="L53" s="97">
        <v>72.9</v>
      </c>
      <c r="M53" s="97">
        <v>49.3</v>
      </c>
      <c r="N53" s="97">
        <v>49.3</v>
      </c>
      <c r="O53" s="96" t="s">
        <v>290</v>
      </c>
      <c r="P53" s="96" t="s">
        <v>278</v>
      </c>
      <c r="Q53" s="98" t="s">
        <v>199</v>
      </c>
      <c r="R53" s="99">
        <v>91.3602597333349</v>
      </c>
      <c r="S53" s="100">
        <v>0.0306</v>
      </c>
      <c r="T53" s="100">
        <v>94.4988388824657</v>
      </c>
      <c r="U53" s="97">
        <v>98.5190193212458</v>
      </c>
      <c r="V53" s="97">
        <v>30.6442885665306</v>
      </c>
      <c r="W53" s="97">
        <v>30.6015776818221</v>
      </c>
      <c r="X53" s="97">
        <v>37.273153072893</v>
      </c>
      <c r="Y53" s="97">
        <v>31.1049468190576</v>
      </c>
      <c r="Z53" s="97">
        <v>31.0615938857837</v>
      </c>
      <c r="AA53" s="97">
        <v>37.8334592951586</v>
      </c>
      <c r="AB53" s="97">
        <v>1.701721461099</v>
      </c>
      <c r="AC53" s="97">
        <v>2.318458977681</v>
      </c>
      <c r="AD53" s="97">
        <v>2.7073</v>
      </c>
      <c r="AE53" s="97">
        <v>2.2047</v>
      </c>
      <c r="AF53" s="97">
        <v>2.7073</v>
      </c>
      <c r="AG53" s="97" t="s">
        <v>134</v>
      </c>
      <c r="AH53" s="97" t="s">
        <v>134</v>
      </c>
      <c r="AI53" s="97" t="s">
        <v>134</v>
      </c>
      <c r="AJ53" s="97">
        <v>25.0709</v>
      </c>
      <c r="AK53" s="92" t="s">
        <v>134</v>
      </c>
      <c r="AL53" s="97">
        <v>34.5</v>
      </c>
      <c r="AM53" s="97">
        <v>1.1</v>
      </c>
      <c r="AN53" s="97">
        <v>0.899999999999999</v>
      </c>
      <c r="AO53" s="97">
        <v>1.6</v>
      </c>
      <c r="AP53" s="97">
        <v>1</v>
      </c>
      <c r="AQ53" s="97">
        <v>7.1</v>
      </c>
      <c r="AR53" s="97">
        <v>1.40000000000001</v>
      </c>
      <c r="AS53" s="97">
        <v>25.3</v>
      </c>
      <c r="AT53" s="97">
        <v>38.4</v>
      </c>
      <c r="AU53" s="97">
        <v>52.6748971193416</v>
      </c>
      <c r="AV53" s="97">
        <v>0</v>
      </c>
      <c r="AW53" s="90" t="s">
        <v>368</v>
      </c>
      <c r="AX53" s="90" t="s">
        <v>369</v>
      </c>
      <c r="AY53" s="90" t="s">
        <v>202</v>
      </c>
      <c r="AZ53" s="90" t="s">
        <v>203</v>
      </c>
      <c r="BA53" s="90" t="s">
        <v>204</v>
      </c>
      <c r="BB53" s="90"/>
      <c r="BC53" s="93">
        <v>9</v>
      </c>
      <c r="BD53" s="93">
        <v>11.1111111111111</v>
      </c>
      <c r="BE53" s="96">
        <f>U53/((VLOOKUP(B53,'Cell-Characteristics'!$B$4:$E$34,3,FALSE)*VLOOKUP(B53,'Cell-Characteristics'!$B$4:$E$34,4,FALSE)*3600)/1000)</f>
        <v>1.52035523643898</v>
      </c>
      <c r="BF53" s="90">
        <f t="shared" si="2"/>
        <v>11319.1329245117</v>
      </c>
      <c r="BG53" s="90">
        <f t="shared" si="0"/>
        <v>13880.154978828</v>
      </c>
      <c r="BH53" s="90">
        <f t="shared" si="1"/>
        <v>13767.647867947</v>
      </c>
      <c r="BI53" s="90">
        <f t="shared" si="3"/>
        <v>38790.5789198138</v>
      </c>
      <c r="BJ53" s="90">
        <f>BF53/((VLOOKUP(B53,'Cell-Characteristics'!$B$4:$Q$34,13,FALSE)))</f>
        <v>210.279379496631</v>
      </c>
      <c r="BK53" s="90">
        <f>BG53/((VLOOKUP(B53,'Cell-Characteristics'!$B$4:$Q$34,14,FALSE)))</f>
        <v>3754.95892622035</v>
      </c>
      <c r="BL53" s="90">
        <f>BH53/((VLOOKUP(B53,'Cell-Characteristics'!$B$4:$Q$34,15,FALSE)))</f>
        <v>3724.52269687635</v>
      </c>
      <c r="BM53" s="90">
        <f>BI53/((VLOOKUP(B53,'Cell-Characteristics'!$B$4:$Q$34,16,FALSE)))</f>
        <v>633.605294747818</v>
      </c>
      <c r="BN53" s="50">
        <f t="shared" si="4"/>
        <v>2.53976666666667</v>
      </c>
    </row>
    <row r="54" s="50" customFormat="1" spans="2:66">
      <c r="B54" s="90" t="s">
        <v>136</v>
      </c>
      <c r="C54" s="91" t="s">
        <v>370</v>
      </c>
      <c r="D54" s="90" t="s">
        <v>193</v>
      </c>
      <c r="E54" s="92" t="s">
        <v>265</v>
      </c>
      <c r="F54" s="93" t="s">
        <v>195</v>
      </c>
      <c r="G54" s="93" t="s">
        <v>196</v>
      </c>
      <c r="H54" s="94">
        <v>43813</v>
      </c>
      <c r="I54" s="95">
        <v>533</v>
      </c>
      <c r="J54" s="95">
        <v>100</v>
      </c>
      <c r="K54" s="96">
        <v>4.146</v>
      </c>
      <c r="L54" s="97">
        <v>72.7</v>
      </c>
      <c r="M54" s="97">
        <v>47.9</v>
      </c>
      <c r="N54" s="97">
        <v>50.7</v>
      </c>
      <c r="O54" s="96" t="s">
        <v>290</v>
      </c>
      <c r="P54" s="96" t="s">
        <v>278</v>
      </c>
      <c r="Q54" s="98" t="s">
        <v>199</v>
      </c>
      <c r="R54" s="99">
        <v>92.6274875043179</v>
      </c>
      <c r="S54" s="100">
        <v>0.0296</v>
      </c>
      <c r="T54" s="100">
        <v>95.6802888973671</v>
      </c>
      <c r="U54" s="97">
        <v>98.8747267474102</v>
      </c>
      <c r="V54" s="97">
        <v>33.2124843934487</v>
      </c>
      <c r="W54" s="97">
        <f>(Z54/100)*U54</f>
        <v>42.3193197562696</v>
      </c>
      <c r="X54" s="97">
        <f>(AA54/100)*U54</f>
        <v>23.3429225976919</v>
      </c>
      <c r="Y54" s="97">
        <v>33.5904689560304</v>
      </c>
      <c r="Z54" s="97">
        <v>42.8009473688665</v>
      </c>
      <c r="AA54" s="97">
        <v>23.6085836751031</v>
      </c>
      <c r="AB54" s="97">
        <v>2.110780714713</v>
      </c>
      <c r="AC54" s="97">
        <v>1.08365713533</v>
      </c>
      <c r="AD54" s="97">
        <v>2.7067</v>
      </c>
      <c r="AE54" s="97">
        <v>1.803</v>
      </c>
      <c r="AF54" s="97">
        <v>2.7067</v>
      </c>
      <c r="AG54" s="97" t="s">
        <v>134</v>
      </c>
      <c r="AH54" s="97" t="s">
        <v>134</v>
      </c>
      <c r="AI54" s="97" t="s">
        <v>134</v>
      </c>
      <c r="AJ54" s="97">
        <v>7.8053</v>
      </c>
      <c r="AK54" s="92" t="s">
        <v>134</v>
      </c>
      <c r="AL54" s="97">
        <v>35.5</v>
      </c>
      <c r="AM54" s="97">
        <v>2.3</v>
      </c>
      <c r="AN54" s="97">
        <v>4.1</v>
      </c>
      <c r="AO54" s="97">
        <v>0.300000000000004</v>
      </c>
      <c r="AP54" s="97">
        <v>2.4</v>
      </c>
      <c r="AQ54" s="97">
        <v>5.9</v>
      </c>
      <c r="AR54" s="97">
        <v>1.3</v>
      </c>
      <c r="AS54" s="97">
        <v>20.9</v>
      </c>
      <c r="AT54" s="97">
        <v>37.2</v>
      </c>
      <c r="AU54" s="97">
        <v>51.1691884456671</v>
      </c>
      <c r="AV54" s="97">
        <v>0</v>
      </c>
      <c r="AW54" s="90" t="s">
        <v>371</v>
      </c>
      <c r="AX54" s="90" t="s">
        <v>372</v>
      </c>
      <c r="AY54" s="90" t="s">
        <v>202</v>
      </c>
      <c r="AZ54" s="90" t="s">
        <v>296</v>
      </c>
      <c r="BA54" s="90" t="s">
        <v>204</v>
      </c>
      <c r="BB54" s="90"/>
      <c r="BC54" s="93">
        <v>10</v>
      </c>
      <c r="BD54" s="93">
        <v>12.3456790123457</v>
      </c>
      <c r="BE54" s="96">
        <f>U54/((VLOOKUP(B54,'Cell-Characteristics'!$B$4:$E$34,3,FALSE)*VLOOKUP(B54,'Cell-Characteristics'!$B$4:$E$34,4,FALSE)*3600)/1000)</f>
        <v>1.52584454857114</v>
      </c>
      <c r="BF54" s="90">
        <f t="shared" si="2"/>
        <v>12270.4711986732</v>
      </c>
      <c r="BG54" s="90">
        <f t="shared" si="0"/>
        <v>23471.613841525</v>
      </c>
      <c r="BH54" s="90">
        <f t="shared" si="1"/>
        <v>8624.12627838027</v>
      </c>
      <c r="BI54" s="90">
        <f t="shared" si="3"/>
        <v>41104.1766313162</v>
      </c>
      <c r="BJ54" s="90">
        <f>BF54/((VLOOKUP(B54,'Cell-Characteristics'!$B$4:$Q$34,13,FALSE)))</f>
        <v>227.952713957512</v>
      </c>
      <c r="BK54" s="90">
        <f>BG54/((VLOOKUP(B54,'Cell-Characteristics'!$B$4:$Q$34,14,FALSE)))</f>
        <v>6349.70906603474</v>
      </c>
      <c r="BL54" s="90">
        <f>BH54/((VLOOKUP(B54,'Cell-Characteristics'!$B$4:$Q$34,15,FALSE)))</f>
        <v>2333.06040164904</v>
      </c>
      <c r="BM54" s="90">
        <f>BI54/((VLOOKUP(B54,'Cell-Characteristics'!$B$4:$Q$34,16,FALSE)))</f>
        <v>671.395598495401</v>
      </c>
      <c r="BN54" s="50">
        <f t="shared" si="4"/>
        <v>2.40546666666667</v>
      </c>
    </row>
    <row r="55" s="50" customFormat="1" spans="2:66">
      <c r="B55" s="90" t="s">
        <v>136</v>
      </c>
      <c r="C55" s="91" t="s">
        <v>373</v>
      </c>
      <c r="D55" s="90" t="s">
        <v>193</v>
      </c>
      <c r="E55" s="92" t="s">
        <v>265</v>
      </c>
      <c r="F55" s="93" t="s">
        <v>195</v>
      </c>
      <c r="G55" s="93" t="s">
        <v>196</v>
      </c>
      <c r="H55" s="94">
        <v>43813</v>
      </c>
      <c r="I55" s="95">
        <v>554</v>
      </c>
      <c r="J55" s="95">
        <v>100</v>
      </c>
      <c r="K55" s="96">
        <v>4.0153</v>
      </c>
      <c r="L55" s="97">
        <v>72.809</v>
      </c>
      <c r="M55" s="97">
        <v>48.5</v>
      </c>
      <c r="N55" s="97">
        <v>48.3</v>
      </c>
      <c r="O55" s="96" t="s">
        <v>290</v>
      </c>
      <c r="P55" s="96" t="s">
        <v>278</v>
      </c>
      <c r="Q55" s="98" t="s">
        <v>199</v>
      </c>
      <c r="R55" s="99">
        <v>93.6720258253386</v>
      </c>
      <c r="S55" s="100">
        <v>0.032</v>
      </c>
      <c r="T55" s="100">
        <v>97.3963258525394</v>
      </c>
      <c r="U55" s="97">
        <v>105.869867293366</v>
      </c>
      <c r="V55" s="97">
        <v>34.3582192564171</v>
      </c>
      <c r="W55" s="97">
        <f>(Z55/100)*U55</f>
        <v>61.4817446980165</v>
      </c>
      <c r="X55" s="97">
        <f>(AA55/100)*U55</f>
        <v>10.0299033389324</v>
      </c>
      <c r="Y55" s="97">
        <v>32.4532561859271</v>
      </c>
      <c r="Z55" s="97">
        <v>58.0729401763112</v>
      </c>
      <c r="AA55" s="97">
        <v>9.47380363776171</v>
      </c>
      <c r="AB55" s="97">
        <v>7.97078180675754</v>
      </c>
      <c r="AC55" s="97">
        <v>0.50275963406925</v>
      </c>
      <c r="AD55" s="97">
        <v>2.9038</v>
      </c>
      <c r="AE55" s="97">
        <v>1.3018</v>
      </c>
      <c r="AF55" s="97">
        <v>2.9038</v>
      </c>
      <c r="AG55" s="97" t="s">
        <v>134</v>
      </c>
      <c r="AH55" s="97" t="s">
        <v>134</v>
      </c>
      <c r="AI55" s="97" t="s">
        <v>134</v>
      </c>
      <c r="AJ55" s="97">
        <v>7.3123</v>
      </c>
      <c r="AK55" s="92" t="s">
        <v>134</v>
      </c>
      <c r="AL55" s="97">
        <v>34.3</v>
      </c>
      <c r="AM55" s="97">
        <v>0.899999999999999</v>
      </c>
      <c r="AN55" s="97">
        <v>2.6</v>
      </c>
      <c r="AO55" s="97">
        <v>0.899999999999999</v>
      </c>
      <c r="AP55" s="97">
        <v>2.4</v>
      </c>
      <c r="AQ55" s="97">
        <v>8.5</v>
      </c>
      <c r="AR55" s="97">
        <v>0.700000000000003</v>
      </c>
      <c r="AS55" s="97">
        <v>22.509</v>
      </c>
      <c r="AT55" s="97">
        <v>38.509</v>
      </c>
      <c r="AU55" s="97">
        <v>52.8904393687593</v>
      </c>
      <c r="AV55" s="97">
        <v>0</v>
      </c>
      <c r="AW55" s="90" t="s">
        <v>374</v>
      </c>
      <c r="AX55" s="90" t="s">
        <v>375</v>
      </c>
      <c r="AY55" s="90" t="s">
        <v>202</v>
      </c>
      <c r="AZ55" s="90" t="s">
        <v>296</v>
      </c>
      <c r="BA55" s="90" t="s">
        <v>204</v>
      </c>
      <c r="BB55" s="90"/>
      <c r="BC55" s="93">
        <v>3</v>
      </c>
      <c r="BD55" s="93">
        <v>3.7037037037037</v>
      </c>
      <c r="BE55" s="96">
        <f>U55/((VLOOKUP(B55,'Cell-Characteristics'!$B$4:$E$34,3,FALSE)*VLOOKUP(B55,'Cell-Characteristics'!$B$4:$E$34,4,FALSE)*3600)/1000)</f>
        <v>1.63379424835441</v>
      </c>
      <c r="BF55" s="90">
        <f t="shared" si="2"/>
        <v>11832.1576060394</v>
      </c>
      <c r="BG55" s="90">
        <f t="shared" si="0"/>
        <v>47228.2567967556</v>
      </c>
      <c r="BH55" s="90">
        <f t="shared" si="1"/>
        <v>3454.06134683257</v>
      </c>
      <c r="BI55" s="90">
        <f t="shared" si="3"/>
        <v>44674.6000900354</v>
      </c>
      <c r="BJ55" s="90">
        <f>BF55/((VLOOKUP(B55,'Cell-Characteristics'!$B$4:$Q$34,13,FALSE)))</f>
        <v>219.8100133727</v>
      </c>
      <c r="BK55" s="90">
        <f>BG55/((VLOOKUP(B55,'Cell-Characteristics'!$B$4:$Q$34,14,FALSE)))</f>
        <v>12776.5262491167</v>
      </c>
      <c r="BL55" s="90">
        <f>BH55/((VLOOKUP(B55,'Cell-Characteristics'!$B$4:$Q$34,15,FALSE)))</f>
        <v>934.41741146155</v>
      </c>
      <c r="BM55" s="90">
        <f>BI55/((VLOOKUP(B55,'Cell-Characteristics'!$B$4:$Q$34,16,FALSE)))</f>
        <v>729.714893306976</v>
      </c>
      <c r="BN55" s="50">
        <f t="shared" si="4"/>
        <v>2.3698</v>
      </c>
    </row>
    <row r="56" s="50" customFormat="1" ht="16.5" customHeight="1" spans="2:66">
      <c r="B56" s="53" t="s">
        <v>137</v>
      </c>
      <c r="C56" s="53" t="s">
        <v>376</v>
      </c>
      <c r="D56" s="53" t="s">
        <v>227</v>
      </c>
      <c r="E56" s="55" t="s">
        <v>228</v>
      </c>
      <c r="F56" s="56" t="s">
        <v>229</v>
      </c>
      <c r="G56" s="93" t="s">
        <v>230</v>
      </c>
      <c r="H56" s="57">
        <v>43401</v>
      </c>
      <c r="I56" s="58">
        <v>8292</v>
      </c>
      <c r="J56" s="58">
        <v>100</v>
      </c>
      <c r="K56" s="59">
        <v>4.145</v>
      </c>
      <c r="L56" s="60">
        <v>45.35</v>
      </c>
      <c r="M56" s="60">
        <v>46.9</v>
      </c>
      <c r="N56" s="60">
        <v>52.6</v>
      </c>
      <c r="O56" s="59" t="s">
        <v>198</v>
      </c>
      <c r="P56" s="59" t="s">
        <v>198</v>
      </c>
      <c r="Q56" s="61" t="s">
        <v>377</v>
      </c>
      <c r="R56" s="62">
        <v>56.5600548942832</v>
      </c>
      <c r="S56" s="63">
        <v>0.035</v>
      </c>
      <c r="T56" s="63">
        <v>59.1954732644585</v>
      </c>
      <c r="U56" s="60">
        <v>59.6712777091206</v>
      </c>
      <c r="V56" s="60">
        <v>2.95428323881468</v>
      </c>
      <c r="W56" s="60">
        <v>6.11839251053277</v>
      </c>
      <c r="X56" s="60">
        <v>50.5986019597732</v>
      </c>
      <c r="Y56" s="60">
        <v>4.95093008267044</v>
      </c>
      <c r="Z56" s="60">
        <v>10.2534967331487</v>
      </c>
      <c r="AA56" s="60">
        <v>84.7955731841809</v>
      </c>
      <c r="AB56" s="60">
        <v>0.0804206008680902</v>
      </c>
      <c r="AC56" s="60">
        <v>0.395383843794094</v>
      </c>
      <c r="AD56" s="103">
        <v>7.1246</v>
      </c>
      <c r="AE56" s="103">
        <v>0.301</v>
      </c>
      <c r="AF56" s="103">
        <v>2.3112</v>
      </c>
      <c r="AG56" s="60">
        <v>969.921338888251</v>
      </c>
      <c r="AH56" s="60">
        <v>110.1435</v>
      </c>
      <c r="AI56" s="60">
        <v>106.912712520775</v>
      </c>
      <c r="AJ56" s="60" t="s">
        <v>134</v>
      </c>
      <c r="AK56" s="55">
        <v>322.922645</v>
      </c>
      <c r="AL56" s="60">
        <v>7.97</v>
      </c>
      <c r="AM56" s="60">
        <v>1.38</v>
      </c>
      <c r="AN56" s="60">
        <v>6.3948</v>
      </c>
      <c r="AO56" s="60">
        <v>0.7029</v>
      </c>
      <c r="AP56" s="60">
        <v>12.74</v>
      </c>
      <c r="AQ56" s="60">
        <v>11.2</v>
      </c>
      <c r="AR56" s="60">
        <v>1.97</v>
      </c>
      <c r="AS56" s="60">
        <v>2.99230000000001</v>
      </c>
      <c r="AT56" s="60">
        <f t="shared" ref="AT56:AT62" si="14">L56-AL56</f>
        <v>37.38</v>
      </c>
      <c r="AU56" s="60">
        <f t="shared" ref="AU56:AU62" si="15">100*(AT56/L56)</f>
        <v>82.425578831312</v>
      </c>
      <c r="AV56" s="97">
        <v>0</v>
      </c>
      <c r="AW56" s="53" t="s">
        <v>378</v>
      </c>
      <c r="AX56" s="53" t="s">
        <v>202</v>
      </c>
      <c r="AY56" s="53" t="s">
        <v>202</v>
      </c>
      <c r="AZ56" s="53" t="s">
        <v>212</v>
      </c>
      <c r="BA56" s="106" t="s">
        <v>322</v>
      </c>
      <c r="BB56" s="53" t="s">
        <v>379</v>
      </c>
      <c r="BC56" s="56">
        <v>9</v>
      </c>
      <c r="BD56" s="56">
        <v>18</v>
      </c>
      <c r="BE56" s="96">
        <f>U56/((VLOOKUP(B56,'Cell-Characteristics'!$B$4:$E$34,3,FALSE)*VLOOKUP(B56,'Cell-Characteristics'!$B$4:$E$34,4,FALSE)*3600)/1000)</f>
        <v>1.53475508511113</v>
      </c>
      <c r="BF56" s="90">
        <f t="shared" si="2"/>
        <v>414.659523175291</v>
      </c>
      <c r="BG56" s="90">
        <f t="shared" si="0"/>
        <v>20326.8854170524</v>
      </c>
      <c r="BH56" s="90">
        <f t="shared" si="1"/>
        <v>21892.783817832</v>
      </c>
      <c r="BI56" s="90">
        <f t="shared" si="3"/>
        <v>18385.2839872814</v>
      </c>
      <c r="BJ56" s="90">
        <f>BF56/((VLOOKUP(B56,'Cell-Characteristics'!$B$4:$Q$34,13,FALSE)))</f>
        <v>11.1019060938009</v>
      </c>
      <c r="BK56" s="90">
        <f>BG56/((VLOOKUP(B56,'Cell-Characteristics'!$B$4:$Q$34,14,FALSE)))</f>
        <v>7732.12743001738</v>
      </c>
      <c r="BL56" s="90">
        <f>BH56/((VLOOKUP(B56,'Cell-Characteristics'!$B$4:$Q$34,15,FALSE)))</f>
        <v>8327.77825053761</v>
      </c>
      <c r="BM56" s="90">
        <f>BI56/((VLOOKUP(B56,'Cell-Characteristics'!$B$4:$Q$34,16,FALSE)))</f>
        <v>431.497664475027</v>
      </c>
      <c r="BN56" s="50">
        <f t="shared" si="4"/>
        <v>3.2456</v>
      </c>
    </row>
    <row r="57" s="50" customFormat="1" ht="16.5" customHeight="1" spans="2:66">
      <c r="B57" s="53" t="s">
        <v>137</v>
      </c>
      <c r="C57" s="53" t="s">
        <v>380</v>
      </c>
      <c r="D57" s="53" t="s">
        <v>227</v>
      </c>
      <c r="E57" s="55" t="s">
        <v>228</v>
      </c>
      <c r="F57" s="56" t="s">
        <v>229</v>
      </c>
      <c r="G57" s="93" t="s">
        <v>230</v>
      </c>
      <c r="H57" s="57">
        <v>43401</v>
      </c>
      <c r="I57" s="58">
        <v>8290</v>
      </c>
      <c r="J57" s="58">
        <v>100</v>
      </c>
      <c r="K57" s="59">
        <v>4.155</v>
      </c>
      <c r="L57" s="60">
        <v>45.535</v>
      </c>
      <c r="M57" s="60">
        <v>47.7</v>
      </c>
      <c r="N57" s="60">
        <v>47.6</v>
      </c>
      <c r="O57" s="59" t="s">
        <v>197</v>
      </c>
      <c r="P57" s="59" t="s">
        <v>198</v>
      </c>
      <c r="Q57" s="61" t="s">
        <v>381</v>
      </c>
      <c r="R57" s="62">
        <v>62.5066941168968</v>
      </c>
      <c r="S57" s="63">
        <v>0.037</v>
      </c>
      <c r="T57" s="63">
        <v>72.1772834478089</v>
      </c>
      <c r="U57" s="60">
        <v>74.1704533540916</v>
      </c>
      <c r="V57" s="60">
        <v>18.0132798425133</v>
      </c>
      <c r="W57" s="60">
        <v>55.1374208411118</v>
      </c>
      <c r="X57" s="60">
        <v>1.01975267046658</v>
      </c>
      <c r="Y57" s="60">
        <v>24.2863283530403</v>
      </c>
      <c r="Z57" s="60">
        <v>74.3387944224695</v>
      </c>
      <c r="AA57" s="60">
        <v>1.37487722449026</v>
      </c>
      <c r="AB57" s="60">
        <v>1.9931699062827</v>
      </c>
      <c r="AC57" s="60">
        <v>0</v>
      </c>
      <c r="AD57" s="103">
        <v>1.6067</v>
      </c>
      <c r="AE57" s="103">
        <v>1.6067</v>
      </c>
      <c r="AF57" s="103">
        <v>0</v>
      </c>
      <c r="AG57" s="60">
        <v>962.830763144315</v>
      </c>
      <c r="AH57" s="60">
        <v>96.4929</v>
      </c>
      <c r="AI57" s="60">
        <v>92.9224097643547</v>
      </c>
      <c r="AJ57" s="60" t="s">
        <v>134</v>
      </c>
      <c r="AK57" s="55">
        <v>215.73179</v>
      </c>
      <c r="AL57" s="60">
        <v>17.22</v>
      </c>
      <c r="AM57" s="60">
        <v>9.2</v>
      </c>
      <c r="AN57" s="60">
        <v>9.03</v>
      </c>
      <c r="AO57" s="60">
        <v>1.13</v>
      </c>
      <c r="AP57" s="60">
        <v>0</v>
      </c>
      <c r="AQ57" s="60">
        <v>0</v>
      </c>
      <c r="AR57" s="60">
        <v>0</v>
      </c>
      <c r="AS57" s="60">
        <v>8.955</v>
      </c>
      <c r="AT57" s="60">
        <f t="shared" si="14"/>
        <v>28.315</v>
      </c>
      <c r="AU57" s="60">
        <f t="shared" si="15"/>
        <v>62.1829362029208</v>
      </c>
      <c r="AV57" s="97">
        <v>0</v>
      </c>
      <c r="AW57" s="53" t="s">
        <v>382</v>
      </c>
      <c r="AX57" s="53" t="s">
        <v>202</v>
      </c>
      <c r="AY57" s="53" t="s">
        <v>202</v>
      </c>
      <c r="AZ57" s="53" t="s">
        <v>203</v>
      </c>
      <c r="BA57" s="106" t="s">
        <v>322</v>
      </c>
      <c r="BB57" s="53" t="s">
        <v>383</v>
      </c>
      <c r="BC57" s="56">
        <v>6</v>
      </c>
      <c r="BD57" s="56">
        <v>12</v>
      </c>
      <c r="BE57" s="96">
        <f>U57/((VLOOKUP(B57,'Cell-Characteristics'!$B$4:$E$34,3,FALSE)*VLOOKUP(B57,'Cell-Characteristics'!$B$4:$E$34,4,FALSE)*3600)/1000)</f>
        <v>1.90767626939536</v>
      </c>
      <c r="BF57" s="90">
        <f t="shared" si="2"/>
        <v>11211.3523635484</v>
      </c>
      <c r="BG57" s="90">
        <f t="shared" si="0"/>
        <v>34317.1848142851</v>
      </c>
      <c r="BH57" s="90" t="e">
        <f t="shared" si="1"/>
        <v>#DIV/0!</v>
      </c>
      <c r="BI57" s="90">
        <f t="shared" si="3"/>
        <v>69244.8372634204</v>
      </c>
      <c r="BJ57" s="90">
        <f>BF57/((VLOOKUP(B57,'Cell-Characteristics'!$B$4:$Q$34,13,FALSE)))</f>
        <v>300.167665682697</v>
      </c>
      <c r="BK57" s="90">
        <f>BG57/((VLOOKUP(B57,'Cell-Characteristics'!$B$4:$Q$34,14,FALSE)))</f>
        <v>13053.8860518646</v>
      </c>
      <c r="BL57" s="90" t="e">
        <f>BH57/((VLOOKUP(B57,'Cell-Characteristics'!$B$4:$Q$34,15,FALSE)))</f>
        <v>#DIV/0!</v>
      </c>
      <c r="BM57" s="90">
        <f>BI57/((VLOOKUP(B57,'Cell-Characteristics'!$B$4:$Q$34,16,FALSE)))</f>
        <v>1625.15768463456</v>
      </c>
      <c r="BN57" s="50">
        <f t="shared" si="4"/>
        <v>1.07113333333333</v>
      </c>
    </row>
    <row r="58" s="50" customFormat="1" ht="16.5" customHeight="1" spans="2:66">
      <c r="B58" s="53" t="s">
        <v>137</v>
      </c>
      <c r="C58" s="107" t="s">
        <v>384</v>
      </c>
      <c r="D58" s="53" t="s">
        <v>227</v>
      </c>
      <c r="E58" s="55" t="s">
        <v>228</v>
      </c>
      <c r="F58" s="56" t="s">
        <v>229</v>
      </c>
      <c r="G58" s="93" t="s">
        <v>230</v>
      </c>
      <c r="H58" s="57">
        <v>43401</v>
      </c>
      <c r="I58" s="58">
        <v>8280</v>
      </c>
      <c r="J58" s="58">
        <v>100</v>
      </c>
      <c r="K58" s="59">
        <v>4.153</v>
      </c>
      <c r="L58" s="60">
        <v>45.4902</v>
      </c>
      <c r="M58" s="60">
        <v>46.1</v>
      </c>
      <c r="N58" s="60">
        <v>50.6</v>
      </c>
      <c r="O58" s="59" t="s">
        <v>197</v>
      </c>
      <c r="P58" s="59" t="s">
        <v>198</v>
      </c>
      <c r="Q58" s="61" t="s">
        <v>381</v>
      </c>
      <c r="R58" s="62">
        <v>53.8193698501339</v>
      </c>
      <c r="S58" s="63">
        <v>0.037</v>
      </c>
      <c r="T58" s="63">
        <v>55.3647005539462</v>
      </c>
      <c r="U58" s="60">
        <v>59.4918834914907</v>
      </c>
      <c r="V58" s="60">
        <v>5.29726688874475</v>
      </c>
      <c r="W58" s="60">
        <v>53.3326937768721</v>
      </c>
      <c r="X58" s="60">
        <v>0.861922825873835</v>
      </c>
      <c r="Y58" s="60">
        <v>8.90418419766863</v>
      </c>
      <c r="Z58" s="60">
        <v>89.6470083763619</v>
      </c>
      <c r="AA58" s="60">
        <v>1.44880742596949</v>
      </c>
      <c r="AB58" s="60">
        <v>4.12718293754449</v>
      </c>
      <c r="AC58" s="60">
        <v>0</v>
      </c>
      <c r="AD58" s="103">
        <v>1.4035</v>
      </c>
      <c r="AE58" s="103">
        <v>1.4035</v>
      </c>
      <c r="AF58" s="103">
        <v>0</v>
      </c>
      <c r="AG58" s="60">
        <v>954.460455631399</v>
      </c>
      <c r="AH58" s="60">
        <v>109.6566</v>
      </c>
      <c r="AI58" s="60">
        <v>105.136513546382</v>
      </c>
      <c r="AJ58" s="60" t="s">
        <v>134</v>
      </c>
      <c r="AK58" s="55">
        <v>324.991945</v>
      </c>
      <c r="AL58" s="60">
        <v>6.59</v>
      </c>
      <c r="AM58" s="60">
        <v>8.71</v>
      </c>
      <c r="AN58" s="60">
        <v>7.8</v>
      </c>
      <c r="AO58" s="60">
        <v>4.65</v>
      </c>
      <c r="AP58" s="60">
        <v>0.1</v>
      </c>
      <c r="AQ58" s="60">
        <v>0.2</v>
      </c>
      <c r="AR58" s="60">
        <v>0.15</v>
      </c>
      <c r="AS58" s="60">
        <v>17.2902</v>
      </c>
      <c r="AT58" s="60">
        <f t="shared" si="14"/>
        <v>38.9002</v>
      </c>
      <c r="AU58" s="60">
        <f t="shared" si="15"/>
        <v>85.5133633178135</v>
      </c>
      <c r="AV58" s="97">
        <v>0</v>
      </c>
      <c r="AW58" s="53" t="s">
        <v>385</v>
      </c>
      <c r="AX58" s="53" t="s">
        <v>202</v>
      </c>
      <c r="AY58" s="53" t="s">
        <v>202</v>
      </c>
      <c r="AZ58" s="53" t="s">
        <v>203</v>
      </c>
      <c r="BA58" s="90" t="s">
        <v>204</v>
      </c>
      <c r="BB58" s="53" t="s">
        <v>386</v>
      </c>
      <c r="BC58" s="56">
        <v>14</v>
      </c>
      <c r="BD58" s="56">
        <v>28</v>
      </c>
      <c r="BE58" s="96">
        <f>U58/((VLOOKUP(B58,'Cell-Characteristics'!$B$4:$E$34,3,FALSE)*VLOOKUP(B58,'Cell-Characteristics'!$B$4:$E$34,4,FALSE)*3600)/1000)</f>
        <v>1.53014103630377</v>
      </c>
      <c r="BF58" s="90">
        <f t="shared" si="2"/>
        <v>3774.32624776968</v>
      </c>
      <c r="BG58" s="90">
        <f t="shared" si="0"/>
        <v>37999.7818146577</v>
      </c>
      <c r="BH58" s="90" t="e">
        <f t="shared" si="1"/>
        <v>#DIV/0!</v>
      </c>
      <c r="BI58" s="90">
        <f t="shared" si="3"/>
        <v>63582.3478712049</v>
      </c>
      <c r="BJ58" s="90">
        <f>BF58/((VLOOKUP(B58,'Cell-Characteristics'!$B$4:$Q$34,13,FALSE)))</f>
        <v>101.052099923419</v>
      </c>
      <c r="BK58" s="90">
        <f>BG58/((VLOOKUP(B58,'Cell-Characteristics'!$B$4:$Q$34,14,FALSE)))</f>
        <v>14454.7061330559</v>
      </c>
      <c r="BL58" s="90" t="e">
        <f>BH58/((VLOOKUP(B58,'Cell-Characteristics'!$B$4:$Q$34,15,FALSE)))</f>
        <v>#DIV/0!</v>
      </c>
      <c r="BM58" s="90">
        <f>BI58/((VLOOKUP(B58,'Cell-Characteristics'!$B$4:$Q$34,16,FALSE)))</f>
        <v>1492.26058336891</v>
      </c>
      <c r="BN58" s="50">
        <f t="shared" si="4"/>
        <v>0.935666666666667</v>
      </c>
    </row>
    <row r="59" s="50" customFormat="1" ht="16.5" customHeight="1" spans="2:66">
      <c r="B59" s="53" t="s">
        <v>137</v>
      </c>
      <c r="C59" s="53" t="s">
        <v>387</v>
      </c>
      <c r="D59" s="53" t="s">
        <v>227</v>
      </c>
      <c r="E59" s="55" t="s">
        <v>228</v>
      </c>
      <c r="F59" s="56" t="s">
        <v>229</v>
      </c>
      <c r="G59" s="93" t="s">
        <v>230</v>
      </c>
      <c r="H59" s="57">
        <v>43766</v>
      </c>
      <c r="I59" s="58">
        <v>8291</v>
      </c>
      <c r="J59" s="58">
        <v>100</v>
      </c>
      <c r="K59" s="59">
        <v>4.155</v>
      </c>
      <c r="L59" s="60">
        <v>45.5522</v>
      </c>
      <c r="M59" s="60">
        <v>47.4</v>
      </c>
      <c r="N59" s="60">
        <v>47.7</v>
      </c>
      <c r="O59" s="59" t="s">
        <v>198</v>
      </c>
      <c r="P59" s="59" t="s">
        <v>198</v>
      </c>
      <c r="Q59" s="61" t="s">
        <v>377</v>
      </c>
      <c r="R59" s="62">
        <v>59.8225038653125</v>
      </c>
      <c r="S59" s="63">
        <v>0.033</v>
      </c>
      <c r="T59" s="63">
        <v>61.7126779598436</v>
      </c>
      <c r="U59" s="60">
        <v>63.3405430123576</v>
      </c>
      <c r="V59" s="60">
        <v>10.0176347542344</v>
      </c>
      <c r="W59" s="60">
        <v>21.6913403284354</v>
      </c>
      <c r="X59" s="60">
        <v>31.6315679296878</v>
      </c>
      <c r="Y59" s="60">
        <v>15.8155176413312</v>
      </c>
      <c r="Z59" s="60">
        <v>34.2455863130247</v>
      </c>
      <c r="AA59" s="60">
        <v>49.9388960456442</v>
      </c>
      <c r="AB59" s="60">
        <v>0.591377222624196</v>
      </c>
      <c r="AC59" s="60">
        <v>1.03648782988985</v>
      </c>
      <c r="AD59" s="103">
        <v>1.1018</v>
      </c>
      <c r="AE59" s="103">
        <v>1.1018</v>
      </c>
      <c r="AF59" s="103">
        <v>0.5007</v>
      </c>
      <c r="AG59" s="60">
        <v>911.023475245336</v>
      </c>
      <c r="AH59" s="60">
        <v>100.6167</v>
      </c>
      <c r="AI59" s="60">
        <v>100.280437428763</v>
      </c>
      <c r="AJ59" s="60" t="s">
        <v>134</v>
      </c>
      <c r="AK59" s="55">
        <v>240.73824</v>
      </c>
      <c r="AL59" s="60">
        <v>13.07</v>
      </c>
      <c r="AM59" s="60">
        <v>4.06</v>
      </c>
      <c r="AN59" s="60">
        <v>4.38</v>
      </c>
      <c r="AO59" s="60">
        <v>2.57</v>
      </c>
      <c r="AP59" s="60">
        <v>2.95</v>
      </c>
      <c r="AQ59" s="60">
        <v>4.7</v>
      </c>
      <c r="AR59" s="60">
        <v>3.13</v>
      </c>
      <c r="AS59" s="60">
        <v>10.6922</v>
      </c>
      <c r="AT59" s="60">
        <f t="shared" si="14"/>
        <v>32.4822</v>
      </c>
      <c r="AU59" s="60">
        <f t="shared" si="15"/>
        <v>71.3076426605082</v>
      </c>
      <c r="AV59" s="97">
        <v>0</v>
      </c>
      <c r="AW59" s="53" t="s">
        <v>388</v>
      </c>
      <c r="AX59" s="53" t="s">
        <v>202</v>
      </c>
      <c r="AY59" s="53" t="s">
        <v>202</v>
      </c>
      <c r="AZ59" s="53" t="s">
        <v>212</v>
      </c>
      <c r="BA59" s="106" t="s">
        <v>322</v>
      </c>
      <c r="BB59" s="53" t="s">
        <v>389</v>
      </c>
      <c r="BC59" s="56">
        <v>12</v>
      </c>
      <c r="BD59" s="56">
        <v>24</v>
      </c>
      <c r="BE59" s="96">
        <f>U59/((VLOOKUP(B59,'Cell-Characteristics'!$B$4:$E$34,3,FALSE)*VLOOKUP(B59,'Cell-Characteristics'!$B$4:$E$34,4,FALSE)*3600)/1000)</f>
        <v>1.62912919270467</v>
      </c>
      <c r="BF59" s="90">
        <f t="shared" si="2"/>
        <v>9092.06276477979</v>
      </c>
      <c r="BG59" s="90">
        <f t="shared" si="0"/>
        <v>19687.1849050966</v>
      </c>
      <c r="BH59" s="90">
        <f t="shared" si="1"/>
        <v>63174.6912915675</v>
      </c>
      <c r="BI59" s="90">
        <f t="shared" si="3"/>
        <v>70266.4752568402</v>
      </c>
      <c r="BJ59" s="90">
        <f>BF59/((VLOOKUP(B59,'Cell-Characteristics'!$B$4:$Q$34,13,FALSE)))</f>
        <v>243.426766713515</v>
      </c>
      <c r="BK59" s="90">
        <f>BG59/((VLOOKUP(B59,'Cell-Characteristics'!$B$4:$Q$34,14,FALSE)))</f>
        <v>7488.79227197394</v>
      </c>
      <c r="BL59" s="90">
        <f>BH59/((VLOOKUP(B59,'Cell-Characteristics'!$B$4:$Q$34,15,FALSE)))</f>
        <v>24030.9694966167</v>
      </c>
      <c r="BM59" s="90">
        <f>BI59/((VLOOKUP(B59,'Cell-Characteristics'!$B$4:$Q$34,16,FALSE)))</f>
        <v>1649.13525323805</v>
      </c>
      <c r="BN59" s="50">
        <f t="shared" si="4"/>
        <v>0.901433333333333</v>
      </c>
    </row>
    <row r="60" s="50" customFormat="1" ht="16.5" customHeight="1" spans="2:66">
      <c r="B60" s="53" t="s">
        <v>139</v>
      </c>
      <c r="C60" s="107" t="s">
        <v>390</v>
      </c>
      <c r="D60" s="53" t="s">
        <v>391</v>
      </c>
      <c r="E60" s="55" t="s">
        <v>228</v>
      </c>
      <c r="F60" s="56" t="s">
        <v>392</v>
      </c>
      <c r="G60" s="93" t="s">
        <v>393</v>
      </c>
      <c r="H60" s="57">
        <v>43139</v>
      </c>
      <c r="I60" s="58" t="s">
        <v>134</v>
      </c>
      <c r="J60" s="58">
        <v>100</v>
      </c>
      <c r="K60" s="59" t="s">
        <v>134</v>
      </c>
      <c r="L60" s="60">
        <v>47.5</v>
      </c>
      <c r="M60" s="60">
        <v>37</v>
      </c>
      <c r="N60" s="60">
        <v>37</v>
      </c>
      <c r="O60" s="59" t="s">
        <v>197</v>
      </c>
      <c r="P60" s="59" t="s">
        <v>197</v>
      </c>
      <c r="Q60" s="61" t="s">
        <v>381</v>
      </c>
      <c r="R60" s="62">
        <v>66.9041130409205</v>
      </c>
      <c r="S60" s="63">
        <v>0.08</v>
      </c>
      <c r="T60" s="63">
        <v>68.3932294760771</v>
      </c>
      <c r="U60" s="60">
        <v>71.881309264573</v>
      </c>
      <c r="V60" s="60">
        <v>11.2502051676698</v>
      </c>
      <c r="W60" s="60">
        <v>60.1641415944385</v>
      </c>
      <c r="X60" s="60">
        <v>0.466962502464737</v>
      </c>
      <c r="Y60" s="60">
        <v>15.6510854946469</v>
      </c>
      <c r="Z60" s="60">
        <v>83.6992845706145</v>
      </c>
      <c r="AA60" s="60">
        <v>0.649629934738656</v>
      </c>
      <c r="AB60" s="60">
        <v>3.488079788496</v>
      </c>
      <c r="AC60" s="60">
        <v>0</v>
      </c>
      <c r="AD60" s="97">
        <v>4.70650005340576</v>
      </c>
      <c r="AE60" s="97">
        <v>4.30550003051758</v>
      </c>
      <c r="AF60" s="97">
        <v>0</v>
      </c>
      <c r="AG60" s="60">
        <v>907.743751700817</v>
      </c>
      <c r="AH60" s="60">
        <v>95.6772999763489</v>
      </c>
      <c r="AI60" s="60">
        <v>86.960802220944</v>
      </c>
      <c r="AJ60" s="60" t="s">
        <v>134</v>
      </c>
      <c r="AK60" s="55">
        <v>266.08414</v>
      </c>
      <c r="AL60" s="60">
        <v>12.8</v>
      </c>
      <c r="AM60" s="60">
        <v>7.5</v>
      </c>
      <c r="AN60" s="60">
        <v>13.1</v>
      </c>
      <c r="AO60" s="60">
        <v>3.3</v>
      </c>
      <c r="AP60" s="60">
        <v>0.1</v>
      </c>
      <c r="AQ60" s="60">
        <v>0</v>
      </c>
      <c r="AR60" s="60">
        <v>0</v>
      </c>
      <c r="AS60" s="60">
        <v>10.7</v>
      </c>
      <c r="AT60" s="60">
        <f t="shared" si="14"/>
        <v>34.7</v>
      </c>
      <c r="AU60" s="60">
        <f t="shared" si="15"/>
        <v>73.0526315789474</v>
      </c>
      <c r="AV60" s="97">
        <v>0</v>
      </c>
      <c r="AW60" s="53" t="s">
        <v>394</v>
      </c>
      <c r="AX60" s="53" t="s">
        <v>395</v>
      </c>
      <c r="AY60" s="53" t="s">
        <v>396</v>
      </c>
      <c r="AZ60" s="53" t="s">
        <v>212</v>
      </c>
      <c r="BA60" s="53" t="s">
        <v>204</v>
      </c>
      <c r="BB60" s="53" t="s">
        <v>397</v>
      </c>
      <c r="BC60" s="56">
        <v>4</v>
      </c>
      <c r="BD60" s="56">
        <v>8</v>
      </c>
      <c r="BE60" s="96">
        <f>U60/((VLOOKUP(B60,'Cell-Characteristics'!$B$4:$E$34,3,FALSE)*VLOOKUP(B60,'Cell-Characteristics'!$B$4:$E$34,4,FALSE)*3600)/1000)</f>
        <v>1.59899980390082</v>
      </c>
      <c r="BF60" s="90">
        <f t="shared" si="2"/>
        <v>2390.35483693002</v>
      </c>
      <c r="BG60" s="90">
        <f t="shared" si="0"/>
        <v>13973.7872878858</v>
      </c>
      <c r="BH60" s="90" t="e">
        <f t="shared" si="1"/>
        <v>#DIV/0!</v>
      </c>
      <c r="BI60" s="90">
        <f t="shared" si="3"/>
        <v>23928.5314897422</v>
      </c>
      <c r="BJ60" s="90">
        <f>BF60/((VLOOKUP(B60,'Cell-Characteristics'!$B$4:$Q$34,13,FALSE)))</f>
        <v>65.064914718548</v>
      </c>
      <c r="BK60" s="90">
        <f>BG60/((VLOOKUP(B60,'Cell-Characteristics'!$B$4:$Q$34,14,FALSE)))</f>
        <v>5494.13670200747</v>
      </c>
      <c r="BL60" s="90" t="e">
        <f>BH60/((VLOOKUP(B60,'Cell-Characteristics'!$B$4:$Q$34,15,FALSE)))</f>
        <v>#DIV/0!</v>
      </c>
      <c r="BM60" s="90">
        <f>BI60/((VLOOKUP(B60,'Cell-Characteristics'!$B$4:$Q$34,16,FALSE)))</f>
        <v>572.113470709776</v>
      </c>
      <c r="BN60" s="50">
        <f t="shared" si="4"/>
        <v>3.00400002797445</v>
      </c>
    </row>
    <row r="61" s="50" customFormat="1" ht="16.5" customHeight="1" spans="2:66">
      <c r="B61" s="53" t="s">
        <v>139</v>
      </c>
      <c r="C61" s="107" t="s">
        <v>398</v>
      </c>
      <c r="D61" s="53" t="s">
        <v>391</v>
      </c>
      <c r="E61" s="55" t="s">
        <v>228</v>
      </c>
      <c r="F61" s="56" t="s">
        <v>392</v>
      </c>
      <c r="G61" s="93" t="s">
        <v>393</v>
      </c>
      <c r="H61" s="57">
        <v>43139</v>
      </c>
      <c r="I61" s="58" t="s">
        <v>134</v>
      </c>
      <c r="J61" s="58">
        <v>100</v>
      </c>
      <c r="K61" s="59" t="s">
        <v>134</v>
      </c>
      <c r="L61" s="60">
        <v>47.5</v>
      </c>
      <c r="M61" s="60">
        <v>37</v>
      </c>
      <c r="N61" s="60">
        <v>37</v>
      </c>
      <c r="O61" s="59" t="s">
        <v>197</v>
      </c>
      <c r="P61" s="59" t="s">
        <v>197</v>
      </c>
      <c r="Q61" s="61" t="s">
        <v>381</v>
      </c>
      <c r="R61" s="62">
        <v>68.7054828729075</v>
      </c>
      <c r="S61" s="63">
        <v>0.03</v>
      </c>
      <c r="T61" s="63">
        <v>69.3791096649956</v>
      </c>
      <c r="U61" s="60">
        <v>75.8600168789276</v>
      </c>
      <c r="V61" s="60">
        <v>12.3030847043684</v>
      </c>
      <c r="W61" s="60">
        <v>63.0675903112202</v>
      </c>
      <c r="X61" s="60">
        <v>0.489341863339029</v>
      </c>
      <c r="Y61" s="60">
        <v>16.2181412693383</v>
      </c>
      <c r="Z61" s="60">
        <v>83.1367997345372</v>
      </c>
      <c r="AA61" s="60">
        <v>0.645058996124424</v>
      </c>
      <c r="AB61" s="60">
        <v>6.480907213932</v>
      </c>
      <c r="AC61" s="60">
        <v>0</v>
      </c>
      <c r="AD61" s="97">
        <v>4.10230016708374</v>
      </c>
      <c r="AE61" s="97">
        <v>1.40000009536743</v>
      </c>
      <c r="AF61" s="97">
        <v>0</v>
      </c>
      <c r="AG61" s="60">
        <v>906.19272403091</v>
      </c>
      <c r="AH61" s="60">
        <v>72.5886998176575</v>
      </c>
      <c r="AI61" s="60">
        <v>65.9005774080832</v>
      </c>
      <c r="AJ61" s="60" t="s">
        <v>134</v>
      </c>
      <c r="AK61" s="55">
        <v>237.99151</v>
      </c>
      <c r="AL61" s="60">
        <v>16.2</v>
      </c>
      <c r="AM61" s="60">
        <v>5.1</v>
      </c>
      <c r="AN61" s="60">
        <v>13.9</v>
      </c>
      <c r="AO61" s="60">
        <v>1.4</v>
      </c>
      <c r="AP61" s="60">
        <v>0</v>
      </c>
      <c r="AQ61" s="60">
        <v>0</v>
      </c>
      <c r="AR61" s="60">
        <v>0</v>
      </c>
      <c r="AS61" s="60">
        <v>10.9</v>
      </c>
      <c r="AT61" s="60">
        <f t="shared" si="14"/>
        <v>31.3</v>
      </c>
      <c r="AU61" s="60">
        <f t="shared" si="15"/>
        <v>65.8947368421053</v>
      </c>
      <c r="AV61" s="97">
        <v>0</v>
      </c>
      <c r="AW61" s="53" t="s">
        <v>399</v>
      </c>
      <c r="AX61" s="53" t="s">
        <v>395</v>
      </c>
      <c r="AY61" s="53" t="s">
        <v>396</v>
      </c>
      <c r="AZ61" s="53" t="s">
        <v>212</v>
      </c>
      <c r="BA61" s="53" t="s">
        <v>204</v>
      </c>
      <c r="BB61" s="53" t="s">
        <v>400</v>
      </c>
      <c r="BC61" s="56">
        <v>8</v>
      </c>
      <c r="BD61" s="56">
        <v>16</v>
      </c>
      <c r="BE61" s="96">
        <f>U61/((VLOOKUP(B61,'Cell-Characteristics'!$B$4:$E$34,3,FALSE)*VLOOKUP(B61,'Cell-Characteristics'!$B$4:$E$34,4,FALSE)*3600)/1000)</f>
        <v>1.68750615917205</v>
      </c>
      <c r="BF61" s="90">
        <f t="shared" si="2"/>
        <v>2999.06983966862</v>
      </c>
      <c r="BG61" s="90">
        <f t="shared" si="0"/>
        <v>45048.2757250584</v>
      </c>
      <c r="BH61" s="90" t="e">
        <f t="shared" si="1"/>
        <v>#DIV/0!</v>
      </c>
      <c r="BI61" s="90">
        <f t="shared" si="3"/>
        <v>41360.8926778925</v>
      </c>
      <c r="BJ61" s="90">
        <f>BF61/((VLOOKUP(B61,'Cell-Characteristics'!$B$4:$Q$34,13,FALSE)))</f>
        <v>81.6339985755518</v>
      </c>
      <c r="BK61" s="90">
        <f>BG61/((VLOOKUP(B61,'Cell-Characteristics'!$B$4:$Q$34,14,FALSE)))</f>
        <v>17711.8328713763</v>
      </c>
      <c r="BL61" s="90" t="e">
        <f>BH61/((VLOOKUP(B61,'Cell-Characteristics'!$B$4:$Q$34,15,FALSE)))</f>
        <v>#DIV/0!</v>
      </c>
      <c r="BM61" s="90">
        <f>BI61/((VLOOKUP(B61,'Cell-Characteristics'!$B$4:$Q$34,16,FALSE)))</f>
        <v>988.908319415575</v>
      </c>
      <c r="BN61" s="50">
        <f t="shared" si="4"/>
        <v>1.83410008748372</v>
      </c>
    </row>
    <row r="62" s="50" customFormat="1" ht="16.5" customHeight="1" spans="2:66">
      <c r="B62" s="53" t="s">
        <v>139</v>
      </c>
      <c r="C62" s="107" t="s">
        <v>401</v>
      </c>
      <c r="D62" s="53" t="s">
        <v>391</v>
      </c>
      <c r="E62" s="55" t="s">
        <v>228</v>
      </c>
      <c r="F62" s="56" t="s">
        <v>392</v>
      </c>
      <c r="G62" s="93" t="s">
        <v>393</v>
      </c>
      <c r="H62" s="57">
        <v>43139</v>
      </c>
      <c r="I62" s="58" t="s">
        <v>134</v>
      </c>
      <c r="J62" s="58">
        <v>100</v>
      </c>
      <c r="K62" s="59" t="s">
        <v>134</v>
      </c>
      <c r="L62" s="60">
        <v>47.5</v>
      </c>
      <c r="M62" s="60">
        <v>37</v>
      </c>
      <c r="N62" s="60">
        <v>37</v>
      </c>
      <c r="O62" s="59" t="s">
        <v>197</v>
      </c>
      <c r="P62" s="59" t="s">
        <v>197</v>
      </c>
      <c r="Q62" s="61" t="s">
        <v>381</v>
      </c>
      <c r="R62" s="62">
        <v>62.2980528157607</v>
      </c>
      <c r="S62" s="63">
        <v>0.028</v>
      </c>
      <c r="T62" s="63">
        <v>63.0985633164452</v>
      </c>
      <c r="U62" s="60">
        <v>75.6001282403012</v>
      </c>
      <c r="V62" s="60">
        <v>11.1129459760416</v>
      </c>
      <c r="W62" s="60">
        <v>63.920722096831</v>
      </c>
      <c r="X62" s="60">
        <v>0.566460167428592</v>
      </c>
      <c r="Y62" s="60">
        <v>14.6996390544711</v>
      </c>
      <c r="Z62" s="60">
        <v>84.5510762807885</v>
      </c>
      <c r="AA62" s="60">
        <v>0.749284664740319</v>
      </c>
      <c r="AB62" s="60">
        <v>12.501564923856</v>
      </c>
      <c r="AC62" s="60">
        <v>0</v>
      </c>
      <c r="AD62" s="97">
        <v>3.10309982299805</v>
      </c>
      <c r="AE62" s="97">
        <v>1.80179977416992</v>
      </c>
      <c r="AF62" s="97">
        <v>0</v>
      </c>
      <c r="AG62" s="60">
        <v>907.636171902079</v>
      </c>
      <c r="AH62" s="60">
        <v>91.8450999259949</v>
      </c>
      <c r="AI62" s="60">
        <v>83.4661838372328</v>
      </c>
      <c r="AJ62" s="60" t="s">
        <v>134</v>
      </c>
      <c r="AK62" s="55">
        <v>284.14436</v>
      </c>
      <c r="AL62" s="60">
        <v>9.7</v>
      </c>
      <c r="AM62" s="60">
        <v>9.7</v>
      </c>
      <c r="AN62" s="60">
        <v>11.6</v>
      </c>
      <c r="AO62" s="60">
        <v>0.7</v>
      </c>
      <c r="AP62" s="60">
        <v>0</v>
      </c>
      <c r="AQ62" s="60">
        <v>0</v>
      </c>
      <c r="AR62" s="60">
        <v>0</v>
      </c>
      <c r="AS62" s="60">
        <v>15.8</v>
      </c>
      <c r="AT62" s="60">
        <f t="shared" si="14"/>
        <v>37.8</v>
      </c>
      <c r="AU62" s="60">
        <f t="shared" si="15"/>
        <v>79.5789473684211</v>
      </c>
      <c r="AV62" s="97">
        <v>0</v>
      </c>
      <c r="AW62" s="53" t="s">
        <v>402</v>
      </c>
      <c r="AX62" s="53" t="s">
        <v>395</v>
      </c>
      <c r="AY62" s="53" t="s">
        <v>396</v>
      </c>
      <c r="AZ62" s="53" t="s">
        <v>212</v>
      </c>
      <c r="BA62" s="53" t="s">
        <v>204</v>
      </c>
      <c r="BB62" s="53" t="s">
        <v>403</v>
      </c>
      <c r="BC62" s="56">
        <v>1</v>
      </c>
      <c r="BD62" s="56">
        <v>2</v>
      </c>
      <c r="BE62" s="96">
        <f>U62/((VLOOKUP(B62,'Cell-Characteristics'!$B$4:$E$34,3,FALSE)*VLOOKUP(B62,'Cell-Characteristics'!$B$4:$E$34,4,FALSE)*3600)/1000)</f>
        <v>1.68172493611906</v>
      </c>
      <c r="BF62" s="90">
        <f t="shared" si="2"/>
        <v>3581.24024682675</v>
      </c>
      <c r="BG62" s="90">
        <f t="shared" si="0"/>
        <v>35476.0406861961</v>
      </c>
      <c r="BH62" s="90" t="e">
        <f t="shared" si="1"/>
        <v>#DIV/0!</v>
      </c>
      <c r="BI62" s="90">
        <f t="shared" si="3"/>
        <v>46239.5570445225</v>
      </c>
      <c r="BJ62" s="90">
        <f>BF62/((VLOOKUP(B62,'Cell-Characteristics'!$B$4:$Q$34,13,FALSE)))</f>
        <v>97.4805445812714</v>
      </c>
      <c r="BK62" s="90">
        <f>BG62/((VLOOKUP(B62,'Cell-Characteristics'!$B$4:$Q$34,14,FALSE)))</f>
        <v>13948.27423378</v>
      </c>
      <c r="BL62" s="90" t="e">
        <f>BH62/((VLOOKUP(B62,'Cell-Characteristics'!$B$4:$Q$34,15,FALSE)))</f>
        <v>#DIV/0!</v>
      </c>
      <c r="BM62" s="90">
        <f>BI62/((VLOOKUP(B62,'Cell-Characteristics'!$B$4:$Q$34,16,FALSE)))</f>
        <v>1105.55357215151</v>
      </c>
      <c r="BN62" s="50">
        <f t="shared" si="4"/>
        <v>1.63496653238932</v>
      </c>
    </row>
    <row r="63" s="50" customFormat="1" ht="16.5" customHeight="1" spans="2:66">
      <c r="B63" s="53" t="s">
        <v>139</v>
      </c>
      <c r="C63" s="108" t="s">
        <v>404</v>
      </c>
      <c r="D63" s="53" t="s">
        <v>405</v>
      </c>
      <c r="E63" s="55" t="s">
        <v>228</v>
      </c>
      <c r="F63" s="56" t="s">
        <v>195</v>
      </c>
      <c r="G63" s="93" t="s">
        <v>196</v>
      </c>
      <c r="H63" s="57">
        <v>44298</v>
      </c>
      <c r="I63" s="58" t="s">
        <v>406</v>
      </c>
      <c r="J63" s="58">
        <v>100</v>
      </c>
      <c r="K63" s="59">
        <v>4.14</v>
      </c>
      <c r="L63" s="60">
        <v>47.72</v>
      </c>
      <c r="M63" s="60">
        <v>51.2</v>
      </c>
      <c r="N63" s="60">
        <v>48.2</v>
      </c>
      <c r="O63" s="59" t="s">
        <v>198</v>
      </c>
      <c r="P63" s="59" t="s">
        <v>198</v>
      </c>
      <c r="Q63" s="61" t="s">
        <v>407</v>
      </c>
      <c r="R63" s="62">
        <v>56.3726115980439</v>
      </c>
      <c r="S63" s="63">
        <v>0.034</v>
      </c>
      <c r="T63" s="63">
        <v>58.0178196491595</v>
      </c>
      <c r="U63" s="60">
        <v>58.5528824913513</v>
      </c>
      <c r="V63" s="60">
        <v>19.798505913089</v>
      </c>
      <c r="W63" s="60">
        <v>11.5072474577464</v>
      </c>
      <c r="X63" s="60">
        <v>27.2471291205159</v>
      </c>
      <c r="Y63" s="60">
        <v>33.8130337409323</v>
      </c>
      <c r="Z63" s="60">
        <v>19.6527429020186</v>
      </c>
      <c r="AA63" s="60">
        <v>46.5342233570491</v>
      </c>
      <c r="AB63" s="60">
        <v>0.186156762909</v>
      </c>
      <c r="AC63" s="60">
        <v>0.3489060792828</v>
      </c>
      <c r="AD63" s="97">
        <v>0.804599999999994</v>
      </c>
      <c r="AE63" s="97">
        <v>1.80879999999999</v>
      </c>
      <c r="AF63" s="97">
        <v>2.4096</v>
      </c>
      <c r="AG63" s="60">
        <v>958.856959838364</v>
      </c>
      <c r="AH63" s="60">
        <v>98.5567</v>
      </c>
      <c r="AI63" s="60">
        <v>93.9255877926735</v>
      </c>
      <c r="AJ63" s="60">
        <v>109.5023</v>
      </c>
      <c r="AK63" s="55">
        <v>257.134255</v>
      </c>
      <c r="AL63" s="60">
        <v>25.2</v>
      </c>
      <c r="AM63" s="60">
        <v>0.38</v>
      </c>
      <c r="AN63" s="60">
        <v>3.85</v>
      </c>
      <c r="AO63" s="60">
        <v>0.92</v>
      </c>
      <c r="AP63" s="60">
        <v>3.44</v>
      </c>
      <c r="AQ63" s="60">
        <v>5.88</v>
      </c>
      <c r="AR63" s="60">
        <v>0.51</v>
      </c>
      <c r="AS63" s="60">
        <v>7.54</v>
      </c>
      <c r="AT63" s="60">
        <v>22.52</v>
      </c>
      <c r="AU63" s="60">
        <v>47.1919530595138</v>
      </c>
      <c r="AV63" s="60">
        <v>0</v>
      </c>
      <c r="AW63" s="53"/>
      <c r="AX63" s="53"/>
      <c r="AY63" s="53"/>
      <c r="AZ63" s="53" t="s">
        <v>408</v>
      </c>
      <c r="BA63" s="53" t="s">
        <v>408</v>
      </c>
      <c r="BB63" s="53"/>
      <c r="BC63" s="56">
        <v>3</v>
      </c>
      <c r="BD63" s="56">
        <v>3.7037037037037</v>
      </c>
      <c r="BE63" s="96">
        <f>U63/((VLOOKUP(B63,'Cell-Characteristics'!$B$4:$E$34,3,FALSE)*VLOOKUP(B63,'Cell-Characteristics'!$B$4:$E$34,4,FALSE)*3600)/1000)</f>
        <v>1.30250893562455</v>
      </c>
      <c r="BF63" s="90">
        <f t="shared" si="2"/>
        <v>24606.6441872845</v>
      </c>
      <c r="BG63" s="90">
        <f t="shared" si="0"/>
        <v>6361.81305713537</v>
      </c>
      <c r="BH63" s="90">
        <f t="shared" si="1"/>
        <v>11307.7395088462</v>
      </c>
      <c r="BI63" s="90">
        <f t="shared" si="3"/>
        <v>34970.8635226069</v>
      </c>
      <c r="BJ63" s="90">
        <f>BF63/((VLOOKUP(B63,'Cell-Characteristics'!$B$4:$Q$34,13,FALSE)))</f>
        <v>669.787255356431</v>
      </c>
      <c r="BK63" s="90">
        <f>BG63/((VLOOKUP(B63,'Cell-Characteristics'!$B$4:$Q$34,14,FALSE)))</f>
        <v>2501.30260955232</v>
      </c>
      <c r="BL63" s="90">
        <f>BH63/((VLOOKUP(B63,'Cell-Characteristics'!$B$4:$Q$34,15,FALSE)))</f>
        <v>4445.91472393105</v>
      </c>
      <c r="BM63" s="90">
        <f>BI63/((VLOOKUP(B63,'Cell-Characteristics'!$B$4:$Q$34,16,FALSE)))</f>
        <v>836.127453630547</v>
      </c>
      <c r="BN63" s="50">
        <f t="shared" si="4"/>
        <v>1.67433333333333</v>
      </c>
    </row>
    <row r="64" s="50" customFormat="1" ht="16.5" customHeight="1" spans="2:66">
      <c r="B64" s="53" t="s">
        <v>139</v>
      </c>
      <c r="C64" s="108" t="s">
        <v>409</v>
      </c>
      <c r="D64" s="53" t="s">
        <v>405</v>
      </c>
      <c r="E64" s="55" t="s">
        <v>228</v>
      </c>
      <c r="F64" s="56" t="s">
        <v>195</v>
      </c>
      <c r="G64" s="93" t="s">
        <v>196</v>
      </c>
      <c r="H64" s="57">
        <v>44298</v>
      </c>
      <c r="I64" s="58" t="s">
        <v>406</v>
      </c>
      <c r="J64" s="58">
        <v>100</v>
      </c>
      <c r="K64" s="59">
        <v>4.16</v>
      </c>
      <c r="L64" s="60">
        <v>47.85</v>
      </c>
      <c r="M64" s="60">
        <v>48.6</v>
      </c>
      <c r="N64" s="60">
        <v>49.4</v>
      </c>
      <c r="O64" s="59" t="s">
        <v>198</v>
      </c>
      <c r="P64" s="59" t="s">
        <v>198</v>
      </c>
      <c r="Q64" s="61" t="s">
        <v>407</v>
      </c>
      <c r="R64" s="62">
        <v>57.6979484203176</v>
      </c>
      <c r="S64" s="63">
        <v>0.035</v>
      </c>
      <c r="T64" s="63">
        <v>59.5073090715622</v>
      </c>
      <c r="U64" s="60">
        <v>60.5637584540218</v>
      </c>
      <c r="V64" s="60">
        <v>19.808717486253</v>
      </c>
      <c r="W64" s="60">
        <v>25.8695039090003</v>
      </c>
      <c r="X64" s="60">
        <v>14.8855370587685</v>
      </c>
      <c r="Y64" s="60">
        <v>32.7072130130285</v>
      </c>
      <c r="Z64" s="60">
        <v>42.7144955487525</v>
      </c>
      <c r="AA64" s="60">
        <v>24.578291438219</v>
      </c>
      <c r="AB64" s="60">
        <v>0.5609499065421</v>
      </c>
      <c r="AC64" s="60">
        <v>0.4954994759175</v>
      </c>
      <c r="AD64" s="97">
        <v>2.9097</v>
      </c>
      <c r="AE64" s="97">
        <v>0.901700000000005</v>
      </c>
      <c r="AF64" s="97">
        <v>1.4054</v>
      </c>
      <c r="AG64" s="60">
        <v>948.943226139463</v>
      </c>
      <c r="AH64" s="60">
        <v>91.6516</v>
      </c>
      <c r="AI64" s="60">
        <v>86.8217242098713</v>
      </c>
      <c r="AJ64" s="60">
        <v>101.6865</v>
      </c>
      <c r="AK64" s="55">
        <v>216.980105</v>
      </c>
      <c r="AL64" s="60">
        <v>25.3</v>
      </c>
      <c r="AM64" s="60">
        <v>1.3</v>
      </c>
      <c r="AN64" s="60">
        <v>6.73</v>
      </c>
      <c r="AO64" s="60">
        <v>0.73</v>
      </c>
      <c r="AP64" s="60">
        <v>0.15</v>
      </c>
      <c r="AQ64" s="60">
        <v>3</v>
      </c>
      <c r="AR64" s="60">
        <v>0.51</v>
      </c>
      <c r="AS64" s="60">
        <v>10.13</v>
      </c>
      <c r="AT64" s="60">
        <v>22.55</v>
      </c>
      <c r="AU64" s="60">
        <v>47.1264367816092</v>
      </c>
      <c r="AV64" s="60">
        <v>0</v>
      </c>
      <c r="AW64" s="53"/>
      <c r="AX64" s="53"/>
      <c r="AY64" s="53"/>
      <c r="AZ64" s="53" t="s">
        <v>408</v>
      </c>
      <c r="BA64" s="53" t="s">
        <v>408</v>
      </c>
      <c r="BB64" s="53"/>
      <c r="BC64" s="56">
        <v>0</v>
      </c>
      <c r="BD64" s="56">
        <v>0</v>
      </c>
      <c r="BE64" s="96">
        <f>U64/((VLOOKUP(B64,'Cell-Characteristics'!$B$4:$E$34,3,FALSE)*VLOOKUP(B64,'Cell-Characteristics'!$B$4:$E$34,4,FALSE)*3600)/1000)</f>
        <v>1.34724087363286</v>
      </c>
      <c r="BF64" s="90">
        <f t="shared" si="2"/>
        <v>6807.8212483256</v>
      </c>
      <c r="BG64" s="90">
        <f t="shared" si="0"/>
        <v>28689.7015736943</v>
      </c>
      <c r="BH64" s="90">
        <f t="shared" si="1"/>
        <v>10591.6728751733</v>
      </c>
      <c r="BI64" s="90">
        <f t="shared" si="3"/>
        <v>34828.1082966695</v>
      </c>
      <c r="BJ64" s="90">
        <f>BF64/((VLOOKUP(B64,'Cell-Characteristics'!$B$4:$Q$34,13,FALSE)))</f>
        <v>185.307345210017</v>
      </c>
      <c r="BK64" s="90">
        <f>BG64/((VLOOKUP(B64,'Cell-Characteristics'!$B$4:$Q$34,14,FALSE)))</f>
        <v>11280.0588085611</v>
      </c>
      <c r="BL64" s="90">
        <f>BH64/((VLOOKUP(B64,'Cell-Characteristics'!$B$4:$Q$34,15,FALSE)))</f>
        <v>4164.37558982986</v>
      </c>
      <c r="BM64" s="90">
        <f>BI64/((VLOOKUP(B64,'Cell-Characteristics'!$B$4:$Q$34,16,FALSE)))</f>
        <v>832.714281877486</v>
      </c>
      <c r="BN64" s="50">
        <f t="shared" si="4"/>
        <v>1.73893333333334</v>
      </c>
    </row>
    <row r="65" s="50" customFormat="1" ht="16.5" customHeight="1" spans="2:66">
      <c r="B65" s="53" t="s">
        <v>139</v>
      </c>
      <c r="C65" s="108" t="s">
        <v>410</v>
      </c>
      <c r="D65" s="53" t="s">
        <v>405</v>
      </c>
      <c r="E65" s="55" t="s">
        <v>228</v>
      </c>
      <c r="F65" s="56" t="s">
        <v>195</v>
      </c>
      <c r="G65" s="93" t="s">
        <v>196</v>
      </c>
      <c r="H65" s="57">
        <v>44298</v>
      </c>
      <c r="I65" s="58" t="s">
        <v>406</v>
      </c>
      <c r="J65" s="58">
        <v>100</v>
      </c>
      <c r="K65" s="59">
        <v>4.14</v>
      </c>
      <c r="L65" s="60">
        <v>47.96</v>
      </c>
      <c r="M65" s="60">
        <v>51.1</v>
      </c>
      <c r="N65" s="60">
        <v>50.8</v>
      </c>
      <c r="O65" s="59" t="s">
        <v>198</v>
      </c>
      <c r="P65" s="59" t="s">
        <v>198</v>
      </c>
      <c r="Q65" s="61" t="s">
        <v>407</v>
      </c>
      <c r="R65" s="62">
        <v>56.0614665682862</v>
      </c>
      <c r="S65" s="63">
        <v>0.0001</v>
      </c>
      <c r="T65" s="63">
        <v>56.0655328882862</v>
      </c>
      <c r="U65" s="60">
        <v>57.758734391135</v>
      </c>
      <c r="V65" s="60">
        <v>11.8597840846688</v>
      </c>
      <c r="W65" s="60">
        <v>44.2204065174463</v>
      </c>
      <c r="X65" s="60">
        <v>1.67854378901984</v>
      </c>
      <c r="Y65" s="60">
        <v>20.5333170985982</v>
      </c>
      <c r="Z65" s="60">
        <v>76.5605531069832</v>
      </c>
      <c r="AA65" s="60">
        <v>2.90612979441854</v>
      </c>
      <c r="AB65" s="60">
        <v>1.5463696364949</v>
      </c>
      <c r="AC65" s="60">
        <v>0.1468318663539</v>
      </c>
      <c r="AD65" s="97">
        <v>14.3626</v>
      </c>
      <c r="AE65" s="97">
        <v>0.801800000000014</v>
      </c>
      <c r="AF65" s="97">
        <v>14.3626</v>
      </c>
      <c r="AG65" s="60">
        <v>959.586613322398</v>
      </c>
      <c r="AH65" s="60">
        <v>91.8455</v>
      </c>
      <c r="AI65" s="60">
        <f>AH65*AG65/1000</f>
        <v>88.1337122939023</v>
      </c>
      <c r="AJ65" s="60">
        <v>128.3544</v>
      </c>
      <c r="AK65" s="55">
        <v>241.08762</v>
      </c>
      <c r="AL65" s="60">
        <v>14.3</v>
      </c>
      <c r="AM65" s="60">
        <v>10</v>
      </c>
      <c r="AN65" s="60">
        <v>11.81</v>
      </c>
      <c r="AO65" s="60">
        <v>0.58</v>
      </c>
      <c r="AP65" s="60">
        <v>0</v>
      </c>
      <c r="AQ65" s="60">
        <v>0</v>
      </c>
      <c r="AR65" s="60">
        <v>0</v>
      </c>
      <c r="AS65" s="60">
        <v>11.27</v>
      </c>
      <c r="AT65" s="60">
        <v>33.66</v>
      </c>
      <c r="AU65" s="60">
        <v>70.1834862385321</v>
      </c>
      <c r="AV65" s="60">
        <v>0</v>
      </c>
      <c r="AW65" s="53"/>
      <c r="AX65" s="53"/>
      <c r="AY65" s="53"/>
      <c r="AZ65" s="53" t="s">
        <v>408</v>
      </c>
      <c r="BA65" s="53" t="s">
        <v>408</v>
      </c>
      <c r="BB65" s="53" t="s">
        <v>411</v>
      </c>
      <c r="BC65" s="56">
        <v>0</v>
      </c>
      <c r="BD65" s="56">
        <v>0</v>
      </c>
      <c r="BE65" s="96">
        <f>U65/((VLOOKUP(B65,'Cell-Characteristics'!$B$4:$E$34,3,FALSE)*VLOOKUP(B65,'Cell-Characteristics'!$B$4:$E$34,4,FALSE)*3600)/1000)</f>
        <v>1.28484311025902</v>
      </c>
      <c r="BF65" s="90">
        <f t="shared" ref="BF65" si="16">(1000*V65)/AD65</f>
        <v>825.740749214543</v>
      </c>
      <c r="BG65" s="90">
        <f t="shared" ref="BG65" si="17">(1000*W65)/AE65</f>
        <v>55151.4174575275</v>
      </c>
      <c r="BH65" s="90">
        <f t="shared" ref="BH65" si="18">(1000*X65)/AF65</f>
        <v>116.869075865083</v>
      </c>
      <c r="BI65" s="90">
        <f t="shared" ref="BI65" si="19">(1000*U65)/AVERAGE(AD65:AF65)</f>
        <v>5868.39852248467</v>
      </c>
      <c r="BJ65" s="90">
        <f>BF65/((VLOOKUP(B65,'Cell-Characteristics'!$B$4:$Q$34,13,FALSE)))</f>
        <v>22.4764752902864</v>
      </c>
      <c r="BK65" s="90">
        <f>BG65/((VLOOKUP(B65,'Cell-Characteristics'!$B$4:$Q$34,14,FALSE)))</f>
        <v>21684.1304779144</v>
      </c>
      <c r="BL65" s="90">
        <f>BH65/((VLOOKUP(B65,'Cell-Characteristics'!$B$4:$Q$34,15,FALSE)))</f>
        <v>45.9499393980825</v>
      </c>
      <c r="BM65" s="90">
        <f>BI65/((VLOOKUP(B65,'Cell-Characteristics'!$B$4:$Q$34,16,FALSE)))</f>
        <v>140.309063581528</v>
      </c>
      <c r="BN65" s="50">
        <f t="shared" ref="BN65" si="20">AVERAGE(AD65:AF65)</f>
        <v>9.84233333333334</v>
      </c>
    </row>
    <row r="66" s="50" customFormat="1" ht="16.5" customHeight="1" spans="2:66">
      <c r="B66" s="53" t="s">
        <v>139</v>
      </c>
      <c r="C66" s="108" t="s">
        <v>412</v>
      </c>
      <c r="D66" s="53" t="s">
        <v>405</v>
      </c>
      <c r="E66" s="55" t="s">
        <v>228</v>
      </c>
      <c r="F66" s="56" t="s">
        <v>195</v>
      </c>
      <c r="G66" s="93" t="s">
        <v>196</v>
      </c>
      <c r="H66" s="57">
        <v>44298</v>
      </c>
      <c r="I66" s="58" t="s">
        <v>406</v>
      </c>
      <c r="J66" s="58">
        <v>100</v>
      </c>
      <c r="K66" s="59">
        <v>4.14</v>
      </c>
      <c r="L66" s="60">
        <v>47.81</v>
      </c>
      <c r="M66" s="60">
        <v>47.7</v>
      </c>
      <c r="N66" s="60">
        <v>50.6</v>
      </c>
      <c r="O66" s="59" t="s">
        <v>198</v>
      </c>
      <c r="P66" s="59" t="s">
        <v>198</v>
      </c>
      <c r="Q66" s="61" t="s">
        <v>381</v>
      </c>
      <c r="R66" s="62">
        <v>50.6283449838472</v>
      </c>
      <c r="S66" s="63">
        <v>0.03</v>
      </c>
      <c r="T66" s="63">
        <v>52.4598341344062</v>
      </c>
      <c r="U66" s="60">
        <v>54.0821784357294</v>
      </c>
      <c r="V66" s="60">
        <v>6.18605520689431</v>
      </c>
      <c r="W66" s="60">
        <v>47.08185364209</v>
      </c>
      <c r="X66" s="60">
        <v>0.814269586745079</v>
      </c>
      <c r="Y66" s="60">
        <v>11.438250798728</v>
      </c>
      <c r="Z66" s="60">
        <v>87.056133839064</v>
      </c>
      <c r="AA66" s="60">
        <v>1.50561536220799</v>
      </c>
      <c r="AB66" s="60">
        <v>1.6223443013232</v>
      </c>
      <c r="AC66" s="60">
        <v>0</v>
      </c>
      <c r="AD66" s="97">
        <v>0.806100000000001</v>
      </c>
      <c r="AE66" s="97">
        <v>0.806100000000001</v>
      </c>
      <c r="AF66" s="97">
        <v>0</v>
      </c>
      <c r="AG66" s="60">
        <v>949.059769786411</v>
      </c>
      <c r="AH66" s="60">
        <v>93.2983</v>
      </c>
      <c r="AI66" s="60">
        <v>88.3939719533349</v>
      </c>
      <c r="AJ66" s="60">
        <v>108.8527</v>
      </c>
      <c r="AK66" s="55">
        <v>217.54438</v>
      </c>
      <c r="AL66" s="60">
        <v>13.61</v>
      </c>
      <c r="AM66" s="60">
        <v>12.28</v>
      </c>
      <c r="AN66" s="60">
        <v>10.01</v>
      </c>
      <c r="AO66" s="60">
        <v>0.99</v>
      </c>
      <c r="AP66" s="60">
        <v>0</v>
      </c>
      <c r="AQ66" s="60">
        <v>0</v>
      </c>
      <c r="AR66" s="60">
        <v>0</v>
      </c>
      <c r="AS66" s="60">
        <v>10.92</v>
      </c>
      <c r="AT66" s="60">
        <v>34.2</v>
      </c>
      <c r="AU66" s="60">
        <v>71.5331520602385</v>
      </c>
      <c r="AV66" s="60">
        <v>0</v>
      </c>
      <c r="AW66" s="53"/>
      <c r="AX66" s="53"/>
      <c r="AY66" s="53"/>
      <c r="AZ66" s="53" t="s">
        <v>408</v>
      </c>
      <c r="BA66" s="53" t="s">
        <v>408</v>
      </c>
      <c r="BB66" s="53"/>
      <c r="BC66" s="56">
        <v>4</v>
      </c>
      <c r="BD66" s="56">
        <v>4.93827160493827</v>
      </c>
      <c r="BE66" s="96">
        <f>U66/((VLOOKUP(B66,'Cell-Characteristics'!$B$4:$E$34,3,FALSE)*VLOOKUP(B66,'Cell-Characteristics'!$B$4:$E$34,4,FALSE)*3600)/1000)</f>
        <v>1.20305811897448</v>
      </c>
      <c r="BF66" s="90">
        <f t="shared" si="2"/>
        <v>7674.05434424302</v>
      </c>
      <c r="BG66" s="90">
        <f t="shared" si="0"/>
        <v>58406.9639524748</v>
      </c>
      <c r="BH66" s="90" t="e">
        <f t="shared" si="1"/>
        <v>#DIV/0!</v>
      </c>
      <c r="BI66" s="90">
        <f t="shared" si="3"/>
        <v>100636.729504521</v>
      </c>
      <c r="BJ66" s="90">
        <f>BF66/((VLOOKUP(B66,'Cell-Characteristics'!$B$4:$Q$34,13,FALSE)))</f>
        <v>208.886012963227</v>
      </c>
      <c r="BK66" s="90">
        <f>BG66/((VLOOKUP(B66,'Cell-Characteristics'!$B$4:$Q$34,14,FALSE)))</f>
        <v>22964.1283134681</v>
      </c>
      <c r="BL66" s="90" t="e">
        <f>BH66/((VLOOKUP(B66,'Cell-Characteristics'!$B$4:$Q$34,15,FALSE)))</f>
        <v>#DIV/0!</v>
      </c>
      <c r="BM66" s="90">
        <f>BI66/((VLOOKUP(B66,'Cell-Characteristics'!$B$4:$Q$34,16,FALSE)))</f>
        <v>2406.14968880952</v>
      </c>
      <c r="BN66" s="50">
        <f t="shared" si="4"/>
        <v>0.537400000000001</v>
      </c>
    </row>
    <row r="67" s="50" customFormat="1" ht="16.5" customHeight="1" spans="2:66">
      <c r="B67" s="53" t="s">
        <v>139</v>
      </c>
      <c r="C67" s="108" t="s">
        <v>413</v>
      </c>
      <c r="D67" s="53" t="s">
        <v>405</v>
      </c>
      <c r="E67" s="55" t="s">
        <v>265</v>
      </c>
      <c r="F67" s="56" t="s">
        <v>195</v>
      </c>
      <c r="G67" s="93" t="s">
        <v>196</v>
      </c>
      <c r="H67" s="57">
        <v>44301</v>
      </c>
      <c r="I67" s="58" t="s">
        <v>406</v>
      </c>
      <c r="J67" s="58">
        <v>100</v>
      </c>
      <c r="K67" s="59">
        <v>4.1592</v>
      </c>
      <c r="L67" s="60">
        <v>47.86</v>
      </c>
      <c r="M67" s="60">
        <v>49.1</v>
      </c>
      <c r="N67" s="60">
        <v>52.3</v>
      </c>
      <c r="O67" s="59" t="s">
        <v>198</v>
      </c>
      <c r="P67" s="59" t="s">
        <v>198</v>
      </c>
      <c r="Q67" s="61" t="s">
        <v>407</v>
      </c>
      <c r="R67" s="62">
        <v>67.9552616862594</v>
      </c>
      <c r="S67" s="63">
        <v>0.018</v>
      </c>
      <c r="T67" s="63">
        <v>69.0740667807396</v>
      </c>
      <c r="U67" s="60">
        <v>69.69586489605</v>
      </c>
      <c r="V67" s="60">
        <v>33.361939282772</v>
      </c>
      <c r="W67" s="60">
        <v>28.7617564649499</v>
      </c>
      <c r="X67" s="60">
        <v>7.57216914832807</v>
      </c>
      <c r="Y67" s="60">
        <v>47.867889052716</v>
      </c>
      <c r="Z67" s="60">
        <v>41.2675221232242</v>
      </c>
      <c r="AA67" s="60">
        <v>10.8645888240598</v>
      </c>
      <c r="AB67" s="60">
        <v>0.483273267624</v>
      </c>
      <c r="AC67" s="60">
        <v>0.1385248476864</v>
      </c>
      <c r="AD67" s="97">
        <v>0.950699999999998</v>
      </c>
      <c r="AE67" s="97">
        <v>1.3532</v>
      </c>
      <c r="AF67" s="97">
        <v>2.7087</v>
      </c>
      <c r="AG67" s="60" t="s">
        <v>134</v>
      </c>
      <c r="AH67" s="60" t="s">
        <v>134</v>
      </c>
      <c r="AI67" s="60" t="s">
        <v>134</v>
      </c>
      <c r="AJ67" s="60">
        <v>23.6643</v>
      </c>
      <c r="AK67" s="60" t="s">
        <v>134</v>
      </c>
      <c r="AL67" s="60">
        <v>26.82</v>
      </c>
      <c r="AM67" s="60">
        <v>1.52</v>
      </c>
      <c r="AN67" s="60">
        <v>7.96</v>
      </c>
      <c r="AO67" s="60">
        <v>0.96</v>
      </c>
      <c r="AP67" s="60">
        <v>0.32</v>
      </c>
      <c r="AQ67" s="60">
        <v>1.24</v>
      </c>
      <c r="AR67" s="60">
        <v>0.5</v>
      </c>
      <c r="AS67" s="60">
        <v>8.54</v>
      </c>
      <c r="AT67" s="60">
        <v>21.04</v>
      </c>
      <c r="AU67" s="60">
        <v>43.9615545340577</v>
      </c>
      <c r="AV67" s="60">
        <v>0</v>
      </c>
      <c r="AW67" s="53"/>
      <c r="AX67" s="53"/>
      <c r="AY67" s="53"/>
      <c r="AZ67" s="53" t="s">
        <v>408</v>
      </c>
      <c r="BA67" s="53" t="s">
        <v>408</v>
      </c>
      <c r="BB67" s="53"/>
      <c r="BC67" s="56">
        <v>3</v>
      </c>
      <c r="BD67" s="56">
        <v>3.7037037037037</v>
      </c>
      <c r="BE67" s="96">
        <f>U67/((VLOOKUP(B67,'Cell-Characteristics'!$B$4:$E$34,3,FALSE)*VLOOKUP(B67,'Cell-Characteristics'!$B$4:$E$34,4,FALSE)*3600)/1000)</f>
        <v>1.55038459151171</v>
      </c>
      <c r="BF67" s="90">
        <f t="shared" si="2"/>
        <v>35091.9735802799</v>
      </c>
      <c r="BG67" s="90">
        <f t="shared" si="0"/>
        <v>21254.6234591708</v>
      </c>
      <c r="BH67" s="90">
        <f t="shared" si="1"/>
        <v>2795.49937177542</v>
      </c>
      <c r="BI67" s="90">
        <f t="shared" si="3"/>
        <v>41712.4036803555</v>
      </c>
      <c r="BJ67" s="90">
        <f>BF67/((VLOOKUP(B67,'Cell-Characteristics'!$B$4:$Q$34,13,FALSE)))</f>
        <v>955.195535420542</v>
      </c>
      <c r="BK67" s="90">
        <f>BG67/((VLOOKUP(B67,'Cell-Characteristics'!$B$4:$Q$34,14,FALSE)))</f>
        <v>8356.77575653487</v>
      </c>
      <c r="BL67" s="90">
        <f>BH67/((VLOOKUP(B67,'Cell-Characteristics'!$B$4:$Q$34,15,FALSE)))</f>
        <v>1099.11904213864</v>
      </c>
      <c r="BM67" s="90">
        <f>BI67/((VLOOKUP(B67,'Cell-Characteristics'!$B$4:$Q$34,16,FALSE)))</f>
        <v>997.312687218003</v>
      </c>
      <c r="BN67" s="50">
        <f t="shared" si="4"/>
        <v>1.67086666666667</v>
      </c>
    </row>
    <row r="68" s="50" customFormat="1" ht="16.5" customHeight="1" spans="2:66">
      <c r="B68" s="53" t="s">
        <v>139</v>
      </c>
      <c r="C68" s="108" t="s">
        <v>414</v>
      </c>
      <c r="D68" s="53" t="s">
        <v>405</v>
      </c>
      <c r="E68" s="55" t="s">
        <v>265</v>
      </c>
      <c r="F68" s="56" t="s">
        <v>195</v>
      </c>
      <c r="G68" s="93" t="s">
        <v>196</v>
      </c>
      <c r="H68" s="57">
        <v>44301</v>
      </c>
      <c r="I68" s="58" t="s">
        <v>406</v>
      </c>
      <c r="J68" s="58">
        <v>100</v>
      </c>
      <c r="K68" s="59">
        <v>4.1673</v>
      </c>
      <c r="L68" s="60">
        <v>47.92</v>
      </c>
      <c r="M68" s="60">
        <v>49.4</v>
      </c>
      <c r="N68" s="60">
        <v>47.9</v>
      </c>
      <c r="O68" s="59" t="s">
        <v>198</v>
      </c>
      <c r="P68" s="59" t="s">
        <v>198</v>
      </c>
      <c r="Q68" s="61" t="s">
        <v>381</v>
      </c>
      <c r="R68" s="62">
        <v>70.6884761355157</v>
      </c>
      <c r="S68" s="63">
        <v>0.018</v>
      </c>
      <c r="T68" s="63">
        <v>71.7035585679446</v>
      </c>
      <c r="U68" s="60">
        <v>74.0742029281832</v>
      </c>
      <c r="V68" s="60">
        <v>23.0597072426066</v>
      </c>
      <c r="W68" s="60">
        <v>50.3148900187846</v>
      </c>
      <c r="X68" s="60">
        <v>0.699605666791944</v>
      </c>
      <c r="Y68" s="60">
        <v>31.1305506249775</v>
      </c>
      <c r="Z68" s="60">
        <v>67.9249833677808</v>
      </c>
      <c r="AA68" s="60">
        <v>0.944466007241723</v>
      </c>
      <c r="AB68" s="60">
        <v>2.3706443602386</v>
      </c>
      <c r="AC68" s="60">
        <v>0</v>
      </c>
      <c r="AD68" s="97">
        <v>8.0022</v>
      </c>
      <c r="AE68" s="97">
        <v>1.1573</v>
      </c>
      <c r="AF68" s="97">
        <v>0</v>
      </c>
      <c r="AG68" s="60" t="s">
        <v>134</v>
      </c>
      <c r="AH68" s="60" t="s">
        <v>134</v>
      </c>
      <c r="AI68" s="60" t="s">
        <v>134</v>
      </c>
      <c r="AJ68" s="60">
        <v>18.1151</v>
      </c>
      <c r="AK68" s="60" t="s">
        <v>134</v>
      </c>
      <c r="AL68" s="60">
        <v>21.73</v>
      </c>
      <c r="AM68" s="60">
        <v>1.21</v>
      </c>
      <c r="AN68" s="60">
        <v>12.47</v>
      </c>
      <c r="AO68" s="60">
        <v>0</v>
      </c>
      <c r="AP68" s="60">
        <v>0</v>
      </c>
      <c r="AQ68" s="60">
        <v>0</v>
      </c>
      <c r="AR68" s="60">
        <v>0</v>
      </c>
      <c r="AS68" s="60">
        <v>12.51</v>
      </c>
      <c r="AT68" s="60">
        <v>26.19</v>
      </c>
      <c r="AU68" s="60">
        <v>54.6535893155259</v>
      </c>
      <c r="AV68" s="60">
        <v>0</v>
      </c>
      <c r="AW68" s="53"/>
      <c r="AX68" s="53"/>
      <c r="AY68" s="53"/>
      <c r="AZ68" s="53" t="s">
        <v>408</v>
      </c>
      <c r="BA68" s="53" t="s">
        <v>408</v>
      </c>
      <c r="BB68" s="53"/>
      <c r="BC68" s="56">
        <v>3</v>
      </c>
      <c r="BD68" s="56">
        <v>3.7037037037037</v>
      </c>
      <c r="BE68" s="96">
        <f>U68/((VLOOKUP(B68,'Cell-Characteristics'!$B$4:$E$34,3,FALSE)*VLOOKUP(B68,'Cell-Characteristics'!$B$4:$E$34,4,FALSE)*3600)/1000)</f>
        <v>1.64778072586736</v>
      </c>
      <c r="BF68" s="90">
        <f t="shared" si="2"/>
        <v>2881.67094581573</v>
      </c>
      <c r="BG68" s="90">
        <f t="shared" si="0"/>
        <v>43476.0995582689</v>
      </c>
      <c r="BH68" s="90" t="e">
        <f t="shared" si="1"/>
        <v>#DIV/0!</v>
      </c>
      <c r="BI68" s="90">
        <f t="shared" si="3"/>
        <v>24261.4344434248</v>
      </c>
      <c r="BJ68" s="90">
        <f>BF68/((VLOOKUP(B68,'Cell-Characteristics'!$B$4:$Q$34,13,FALSE)))</f>
        <v>78.438427399851</v>
      </c>
      <c r="BK68" s="90">
        <f>BG68/((VLOOKUP(B68,'Cell-Characteristics'!$B$4:$Q$34,14,FALSE)))</f>
        <v>17093.6933074895</v>
      </c>
      <c r="BL68" s="90" t="e">
        <f>BH68/((VLOOKUP(B68,'Cell-Characteristics'!$B$4:$Q$34,15,FALSE)))</f>
        <v>#DIV/0!</v>
      </c>
      <c r="BM68" s="90">
        <f>BI68/((VLOOKUP(B68,'Cell-Characteristics'!$B$4:$Q$34,16,FALSE)))</f>
        <v>580.072933843672</v>
      </c>
      <c r="BN68" s="50">
        <f t="shared" si="4"/>
        <v>3.05316666666667</v>
      </c>
    </row>
    <row r="69" s="50" customFormat="1" ht="16.5" customHeight="1" spans="2:66">
      <c r="B69" s="53" t="s">
        <v>139</v>
      </c>
      <c r="C69" s="108" t="s">
        <v>415</v>
      </c>
      <c r="D69" s="53" t="s">
        <v>405</v>
      </c>
      <c r="E69" s="55" t="s">
        <v>265</v>
      </c>
      <c r="F69" s="56" t="s">
        <v>195</v>
      </c>
      <c r="G69" s="93" t="s">
        <v>196</v>
      </c>
      <c r="H69" s="57">
        <v>44301</v>
      </c>
      <c r="I69" s="58" t="s">
        <v>416</v>
      </c>
      <c r="J69" s="58">
        <v>60</v>
      </c>
      <c r="K69" s="59">
        <v>3.7953</v>
      </c>
      <c r="L69" s="60">
        <v>47.86</v>
      </c>
      <c r="M69" s="60">
        <v>50.4</v>
      </c>
      <c r="N69" s="60">
        <v>52.3</v>
      </c>
      <c r="O69" s="59" t="s">
        <v>198</v>
      </c>
      <c r="P69" s="59" t="s">
        <v>198</v>
      </c>
      <c r="Q69" s="61" t="s">
        <v>381</v>
      </c>
      <c r="R69" s="62">
        <v>53.5054595501932</v>
      </c>
      <c r="S69" s="63">
        <v>0.016</v>
      </c>
      <c r="T69" s="63">
        <v>55.0674707603072</v>
      </c>
      <c r="U69" s="60">
        <v>55.8701499708272</v>
      </c>
      <c r="V69" s="60">
        <v>25.6479399480284</v>
      </c>
      <c r="W69" s="60">
        <v>30.0730843493544</v>
      </c>
      <c r="X69" s="60">
        <v>0.149125673444441</v>
      </c>
      <c r="Y69" s="60">
        <v>45.9063381097429</v>
      </c>
      <c r="Z69" s="60">
        <v>53.8267471360954</v>
      </c>
      <c r="AA69" s="60">
        <v>0.266914754161761</v>
      </c>
      <c r="AB69" s="60">
        <v>0.80267921052</v>
      </c>
      <c r="AC69" s="60">
        <v>0</v>
      </c>
      <c r="AD69" s="97">
        <v>3.6715</v>
      </c>
      <c r="AE69" s="97">
        <v>2.0137</v>
      </c>
      <c r="AF69" s="97">
        <v>0</v>
      </c>
      <c r="AG69" s="60" t="s">
        <v>134</v>
      </c>
      <c r="AH69" s="60" t="s">
        <v>134</v>
      </c>
      <c r="AI69" s="60" t="s">
        <v>134</v>
      </c>
      <c r="AJ69" s="60">
        <v>12.7771</v>
      </c>
      <c r="AK69" s="60" t="s">
        <v>134</v>
      </c>
      <c r="AL69" s="60">
        <v>30.79</v>
      </c>
      <c r="AM69" s="60">
        <v>0.79</v>
      </c>
      <c r="AN69" s="60">
        <v>6.55</v>
      </c>
      <c r="AO69" s="60">
        <v>1.53</v>
      </c>
      <c r="AP69" s="60">
        <v>0</v>
      </c>
      <c r="AQ69" s="60">
        <v>0</v>
      </c>
      <c r="AR69" s="60">
        <v>0</v>
      </c>
      <c r="AS69" s="60">
        <v>8.2</v>
      </c>
      <c r="AT69" s="60">
        <v>17.07</v>
      </c>
      <c r="AU69" s="60">
        <v>35.6665273715002</v>
      </c>
      <c r="AV69" s="60">
        <v>0</v>
      </c>
      <c r="AW69" s="53"/>
      <c r="AX69" s="53"/>
      <c r="AY69" s="53"/>
      <c r="AZ69" s="53" t="s">
        <v>408</v>
      </c>
      <c r="BA69" s="53" t="s">
        <v>408</v>
      </c>
      <c r="BB69" s="53"/>
      <c r="BC69" s="56">
        <v>2</v>
      </c>
      <c r="BD69" s="56">
        <v>2.46913580246914</v>
      </c>
      <c r="BE69" s="96">
        <f>U69/((VLOOKUP(B69,'Cell-Characteristics'!$B$4:$E$34,3,FALSE)*VLOOKUP(B69,'Cell-Characteristics'!$B$4:$E$34,4,FALSE)*3600)/1000)</f>
        <v>1.2428315477455</v>
      </c>
      <c r="BF69" s="90">
        <f t="shared" si="2"/>
        <v>6985.68431105227</v>
      </c>
      <c r="BG69" s="90">
        <f t="shared" ref="BG69:BG136" si="21">(1000*W69)/AE69</f>
        <v>14934.2426127797</v>
      </c>
      <c r="BH69" s="90" t="e">
        <f t="shared" ref="BH69:BH136" si="22">(1000*X69)/AF69</f>
        <v>#DIV/0!</v>
      </c>
      <c r="BI69" s="90">
        <f t="shared" si="3"/>
        <v>29481.8915627386</v>
      </c>
      <c r="BJ69" s="90">
        <f>BF69/((VLOOKUP(B69,'Cell-Characteristics'!$B$4:$Q$34,13,FALSE)))</f>
        <v>190.148737303399</v>
      </c>
      <c r="BK69" s="90">
        <f>BG69/((VLOOKUP(B69,'Cell-Characteristics'!$B$4:$Q$34,14,FALSE)))</f>
        <v>5871.76323534625</v>
      </c>
      <c r="BL69" s="90" t="e">
        <f>BH69/((VLOOKUP(B69,'Cell-Characteristics'!$B$4:$Q$34,15,FALSE)))</f>
        <v>#DIV/0!</v>
      </c>
      <c r="BM69" s="90">
        <f>BI69/((VLOOKUP(B69,'Cell-Characteristics'!$B$4:$Q$34,16,FALSE)))</f>
        <v>704.890198225422</v>
      </c>
      <c r="BN69" s="50">
        <f t="shared" si="4"/>
        <v>1.89506666666667</v>
      </c>
    </row>
    <row r="70" s="50" customFormat="1" ht="16.5" customHeight="1" spans="2:66">
      <c r="B70" s="53" t="s">
        <v>139</v>
      </c>
      <c r="C70" s="108" t="s">
        <v>417</v>
      </c>
      <c r="D70" s="53" t="s">
        <v>405</v>
      </c>
      <c r="E70" s="55" t="s">
        <v>265</v>
      </c>
      <c r="F70" s="56" t="s">
        <v>195</v>
      </c>
      <c r="G70" s="93"/>
      <c r="H70" s="57">
        <v>44301</v>
      </c>
      <c r="I70" s="58" t="s">
        <v>416</v>
      </c>
      <c r="J70" s="58">
        <v>60</v>
      </c>
      <c r="K70" s="59">
        <v>3.7844</v>
      </c>
      <c r="L70" s="60">
        <v>47.93</v>
      </c>
      <c r="M70" s="60">
        <v>50.8</v>
      </c>
      <c r="N70" s="60">
        <v>52.3</v>
      </c>
      <c r="O70" s="59" t="s">
        <v>198</v>
      </c>
      <c r="P70" s="59" t="s">
        <v>198</v>
      </c>
      <c r="Q70" s="61" t="s">
        <v>381</v>
      </c>
      <c r="R70" s="62">
        <v>47.9108036788943</v>
      </c>
      <c r="S70" s="63">
        <v>0.011</v>
      </c>
      <c r="T70" s="63">
        <v>49.0770814789815</v>
      </c>
      <c r="U70" s="60">
        <v>49.6590778767039</v>
      </c>
      <c r="V70" s="60">
        <v>24.9572290896126</v>
      </c>
      <c r="W70" s="60">
        <v>24.5797986867081</v>
      </c>
      <c r="X70" s="60">
        <v>0.122050100383115</v>
      </c>
      <c r="Y70" s="60">
        <v>50.2571335528576</v>
      </c>
      <c r="Z70" s="60">
        <v>49.4970904367901</v>
      </c>
      <c r="AA70" s="60">
        <v>0.245776010352321</v>
      </c>
      <c r="AB70" s="60">
        <v>0.5819963977224</v>
      </c>
      <c r="AC70" s="60">
        <v>0</v>
      </c>
      <c r="AD70" s="97">
        <v>2</v>
      </c>
      <c r="AE70" s="97">
        <v>2</v>
      </c>
      <c r="AF70" s="97">
        <v>2</v>
      </c>
      <c r="AG70" s="60" t="s">
        <v>134</v>
      </c>
      <c r="AH70" s="60" t="s">
        <v>134</v>
      </c>
      <c r="AI70" s="60" t="s">
        <v>134</v>
      </c>
      <c r="AJ70" s="60">
        <v>17.755</v>
      </c>
      <c r="AK70" s="60" t="s">
        <v>134</v>
      </c>
      <c r="AL70" s="60">
        <v>32.48</v>
      </c>
      <c r="AM70" s="60">
        <v>0.62</v>
      </c>
      <c r="AN70" s="60">
        <v>5.67</v>
      </c>
      <c r="AO70" s="60">
        <v>1.82</v>
      </c>
      <c r="AP70" s="60">
        <v>0</v>
      </c>
      <c r="AQ70" s="60">
        <v>0</v>
      </c>
      <c r="AR70" s="60">
        <v>0</v>
      </c>
      <c r="AS70" s="60">
        <v>7.34</v>
      </c>
      <c r="AT70" s="60">
        <v>15.45</v>
      </c>
      <c r="AU70" s="60">
        <v>32.2345086584603</v>
      </c>
      <c r="AV70" s="60">
        <v>0</v>
      </c>
      <c r="AW70" s="53"/>
      <c r="AX70" s="53"/>
      <c r="AY70" s="53"/>
      <c r="AZ70" s="53" t="s">
        <v>408</v>
      </c>
      <c r="BA70" s="53" t="s">
        <v>408</v>
      </c>
      <c r="BB70" s="53" t="s">
        <v>418</v>
      </c>
      <c r="BC70" s="56">
        <v>4</v>
      </c>
      <c r="BD70" s="56">
        <v>4.93827160493827</v>
      </c>
      <c r="BE70" s="96">
        <f>U70/((VLOOKUP(B70,'Cell-Characteristics'!$B$4:$E$34,3,FALSE)*VLOOKUP(B70,'Cell-Characteristics'!$B$4:$E$34,4,FALSE)*3600)/1000)</f>
        <v>1.10466624215872</v>
      </c>
      <c r="BF70" s="90">
        <f t="shared" ref="BF70:BF137" si="23">(1000*V70)/AD70</f>
        <v>12478.6145448063</v>
      </c>
      <c r="BG70" s="90">
        <f t="shared" si="21"/>
        <v>12289.899343354</v>
      </c>
      <c r="BH70" s="90">
        <f t="shared" si="22"/>
        <v>61.0250501915575</v>
      </c>
      <c r="BI70" s="90">
        <f t="shared" ref="BI70:BI137" si="24">(1000*U70)/AVERAGE(AD70:AF70)</f>
        <v>24829.5389383519</v>
      </c>
      <c r="BJ70" s="90">
        <f>BF70/((VLOOKUP(B70,'Cell-Characteristics'!$B$4:$Q$34,13,FALSE)))</f>
        <v>339.665048309824</v>
      </c>
      <c r="BK70" s="90">
        <f>BG70/((VLOOKUP(B70,'Cell-Characteristics'!$B$4:$Q$34,14,FALSE)))</f>
        <v>4832.07491678621</v>
      </c>
      <c r="BL70" s="90">
        <f>BH70/((VLOOKUP(B70,'Cell-Characteristics'!$B$4:$Q$34,15,FALSE)))</f>
        <v>23.9934930374921</v>
      </c>
      <c r="BM70" s="90">
        <f>BI70/((VLOOKUP(B70,'Cell-Characteristics'!$B$4:$Q$34,16,FALSE)))</f>
        <v>593.655891680342</v>
      </c>
      <c r="BN70" s="50">
        <f t="shared" ref="BN70:BN137" si="25">AVERAGE(AD70:AF70)</f>
        <v>2</v>
      </c>
    </row>
    <row r="71" s="50" customFormat="1" ht="16.5" customHeight="1" spans="2:66">
      <c r="B71" s="53" t="s">
        <v>139</v>
      </c>
      <c r="C71" s="108" t="s">
        <v>419</v>
      </c>
      <c r="D71" s="53" t="s">
        <v>405</v>
      </c>
      <c r="E71" s="55" t="s">
        <v>265</v>
      </c>
      <c r="F71" s="56" t="s">
        <v>195</v>
      </c>
      <c r="G71" s="93"/>
      <c r="H71" s="57">
        <v>44301</v>
      </c>
      <c r="I71" s="58" t="s">
        <v>416</v>
      </c>
      <c r="J71" s="58">
        <v>60</v>
      </c>
      <c r="K71" s="59">
        <v>3.7918</v>
      </c>
      <c r="L71" s="60">
        <v>47.78</v>
      </c>
      <c r="M71" s="60">
        <v>47.9</v>
      </c>
      <c r="N71" s="60">
        <v>52.3</v>
      </c>
      <c r="O71" s="59" t="s">
        <v>198</v>
      </c>
      <c r="P71" s="59" t="s">
        <v>198</v>
      </c>
      <c r="Q71" s="61" t="s">
        <v>381</v>
      </c>
      <c r="R71" s="62">
        <v>51.6920964296242</v>
      </c>
      <c r="S71" s="63">
        <v>0.013</v>
      </c>
      <c r="T71" s="63">
        <v>52.8639897945019</v>
      </c>
      <c r="U71" s="60">
        <v>53.6755578130219</v>
      </c>
      <c r="V71" s="60">
        <v>23.8529686666477</v>
      </c>
      <c r="W71" s="60">
        <v>29.7603473450262</v>
      </c>
      <c r="X71" s="60">
        <v>0.0622418013479912</v>
      </c>
      <c r="Y71" s="60">
        <v>44.4391630725837</v>
      </c>
      <c r="Z71" s="60">
        <v>55.4448776269749</v>
      </c>
      <c r="AA71" s="60">
        <v>0.115959300441385</v>
      </c>
      <c r="AB71" s="60">
        <v>0.81156801852</v>
      </c>
      <c r="AC71" s="60">
        <v>0</v>
      </c>
      <c r="AD71" s="97">
        <v>2</v>
      </c>
      <c r="AE71" s="97">
        <v>2</v>
      </c>
      <c r="AF71" s="97">
        <v>2</v>
      </c>
      <c r="AG71" s="60" t="s">
        <v>134</v>
      </c>
      <c r="AH71" s="60" t="s">
        <v>134</v>
      </c>
      <c r="AI71" s="60" t="s">
        <v>134</v>
      </c>
      <c r="AJ71" s="60">
        <v>16.2382</v>
      </c>
      <c r="AK71" s="60" t="s">
        <v>134</v>
      </c>
      <c r="AL71" s="60">
        <v>28.69</v>
      </c>
      <c r="AM71" s="60">
        <v>0.7</v>
      </c>
      <c r="AN71" s="60">
        <v>8.88</v>
      </c>
      <c r="AO71" s="60">
        <v>2.51</v>
      </c>
      <c r="AP71" s="60">
        <v>0</v>
      </c>
      <c r="AQ71" s="60">
        <v>0</v>
      </c>
      <c r="AR71" s="60">
        <v>0</v>
      </c>
      <c r="AS71" s="60">
        <v>7</v>
      </c>
      <c r="AT71" s="60">
        <v>19.09</v>
      </c>
      <c r="AU71" s="60">
        <v>39.9539556299707</v>
      </c>
      <c r="AV71" s="60">
        <v>0.0001</v>
      </c>
      <c r="AW71" s="53"/>
      <c r="AX71" s="53"/>
      <c r="AY71" s="53"/>
      <c r="AZ71" s="53" t="s">
        <v>408</v>
      </c>
      <c r="BA71" s="53" t="s">
        <v>408</v>
      </c>
      <c r="BB71" s="53" t="s">
        <v>420</v>
      </c>
      <c r="BC71" s="56">
        <v>4</v>
      </c>
      <c r="BD71" s="56">
        <v>4.93827160493827</v>
      </c>
      <c r="BE71" s="96">
        <f>U71/((VLOOKUP(B71,'Cell-Characteristics'!$B$4:$E$34,3,FALSE)*VLOOKUP(B71,'Cell-Characteristics'!$B$4:$E$34,4,FALSE)*3600)/1000)</f>
        <v>1.19401284277371</v>
      </c>
      <c r="BF71" s="90">
        <f t="shared" si="23"/>
        <v>11926.4843333239</v>
      </c>
      <c r="BG71" s="90">
        <f t="shared" si="21"/>
        <v>14880.1736725131</v>
      </c>
      <c r="BH71" s="90">
        <f t="shared" si="22"/>
        <v>31.1209006739956</v>
      </c>
      <c r="BI71" s="90">
        <f t="shared" si="24"/>
        <v>26837.778906511</v>
      </c>
      <c r="BJ71" s="90">
        <f>BF71/((VLOOKUP(B71,'Cell-Characteristics'!$B$4:$Q$34,13,FALSE)))</f>
        <v>324.63618959453</v>
      </c>
      <c r="BK71" s="90">
        <f>BG71/((VLOOKUP(B71,'Cell-Characteristics'!$B$4:$Q$34,14,FALSE)))</f>
        <v>5850.50470728674</v>
      </c>
      <c r="BL71" s="90">
        <f>BH71/((VLOOKUP(B71,'Cell-Characteristics'!$B$4:$Q$34,15,FALSE)))</f>
        <v>12.2359442769504</v>
      </c>
      <c r="BM71" s="90">
        <f>BI71/((VLOOKUP(B71,'Cell-Characteristics'!$B$4:$Q$34,16,FALSE)))</f>
        <v>641.671422374069</v>
      </c>
      <c r="BN71" s="50">
        <f t="shared" si="25"/>
        <v>2</v>
      </c>
    </row>
    <row r="72" s="50" customFormat="1" ht="16.5" customHeight="1" spans="2:66">
      <c r="B72" s="53" t="s">
        <v>139</v>
      </c>
      <c r="C72" s="108" t="s">
        <v>421</v>
      </c>
      <c r="D72" s="53" t="s">
        <v>405</v>
      </c>
      <c r="E72" s="55" t="s">
        <v>265</v>
      </c>
      <c r="F72" s="56" t="s">
        <v>195</v>
      </c>
      <c r="G72" s="93" t="s">
        <v>196</v>
      </c>
      <c r="H72" s="57">
        <v>44301</v>
      </c>
      <c r="I72" s="58" t="s">
        <v>416</v>
      </c>
      <c r="J72" s="58">
        <v>60</v>
      </c>
      <c r="K72" s="59">
        <v>3.7946</v>
      </c>
      <c r="L72" s="60">
        <v>47.73</v>
      </c>
      <c r="M72" s="60">
        <v>48</v>
      </c>
      <c r="N72" s="60">
        <v>52.3</v>
      </c>
      <c r="O72" s="59" t="s">
        <v>198</v>
      </c>
      <c r="P72" s="59" t="s">
        <v>198</v>
      </c>
      <c r="Q72" s="61" t="s">
        <v>381</v>
      </c>
      <c r="R72" s="62">
        <v>52.6016252036839</v>
      </c>
      <c r="S72" s="63">
        <v>0.015</v>
      </c>
      <c r="T72" s="63">
        <v>53.8449513849258</v>
      </c>
      <c r="U72" s="60">
        <v>54.4005512527818</v>
      </c>
      <c r="V72" s="60">
        <v>30.8437256611049</v>
      </c>
      <c r="W72" s="60">
        <v>23.5177077642162</v>
      </c>
      <c r="X72" s="60">
        <v>0.0391178274607771</v>
      </c>
      <c r="Y72" s="60">
        <v>56.697450578734</v>
      </c>
      <c r="Z72" s="60">
        <v>43.2306423788557</v>
      </c>
      <c r="AA72" s="60">
        <v>0.0719070424103042</v>
      </c>
      <c r="AB72" s="60">
        <v>0.555599867856</v>
      </c>
      <c r="AC72" s="60">
        <v>0</v>
      </c>
      <c r="AD72" s="97">
        <v>2.9263</v>
      </c>
      <c r="AE72" s="97">
        <v>1.6107</v>
      </c>
      <c r="AF72" s="97">
        <v>0</v>
      </c>
      <c r="AG72" s="60" t="s">
        <v>134</v>
      </c>
      <c r="AH72" s="60" t="s">
        <v>134</v>
      </c>
      <c r="AI72" s="60" t="s">
        <v>134</v>
      </c>
      <c r="AJ72" s="60">
        <v>15.1341</v>
      </c>
      <c r="AK72" s="60" t="s">
        <v>134</v>
      </c>
      <c r="AL72" s="60">
        <v>33.31</v>
      </c>
      <c r="AM72" s="60">
        <v>0.57</v>
      </c>
      <c r="AN72" s="60">
        <v>5.06</v>
      </c>
      <c r="AO72" s="60">
        <v>1.31</v>
      </c>
      <c r="AP72" s="60">
        <v>0</v>
      </c>
      <c r="AQ72" s="60">
        <v>0</v>
      </c>
      <c r="AR72" s="60">
        <v>0</v>
      </c>
      <c r="AS72" s="60">
        <v>7.48</v>
      </c>
      <c r="AT72" s="60">
        <v>14.42</v>
      </c>
      <c r="AU72" s="60">
        <v>30.211606955793</v>
      </c>
      <c r="AV72" s="60">
        <v>0</v>
      </c>
      <c r="AW72" s="53"/>
      <c r="AX72" s="53"/>
      <c r="AY72" s="53"/>
      <c r="AZ72" s="53" t="s">
        <v>408</v>
      </c>
      <c r="BA72" s="53" t="s">
        <v>408</v>
      </c>
      <c r="BB72" s="53"/>
      <c r="BC72" s="56">
        <v>4</v>
      </c>
      <c r="BD72" s="56">
        <v>4.93827160493827</v>
      </c>
      <c r="BE72" s="96">
        <f>U72/((VLOOKUP(B72,'Cell-Characteristics'!$B$4:$E$34,3,FALSE)*VLOOKUP(B72,'Cell-Characteristics'!$B$4:$E$34,4,FALSE)*3600)/1000)</f>
        <v>1.21014032264109</v>
      </c>
      <c r="BF72" s="90">
        <f t="shared" si="23"/>
        <v>10540.1789499043</v>
      </c>
      <c r="BG72" s="90">
        <f t="shared" si="21"/>
        <v>14600.9236755549</v>
      </c>
      <c r="BH72" s="90" t="e">
        <f t="shared" si="22"/>
        <v>#DIV/0!</v>
      </c>
      <c r="BI72" s="90">
        <f t="shared" si="24"/>
        <v>35971.2703897609</v>
      </c>
      <c r="BJ72" s="90">
        <f>BF72/((VLOOKUP(B72,'Cell-Characteristics'!$B$4:$Q$34,13,FALSE)))</f>
        <v>286.901272521756</v>
      </c>
      <c r="BK72" s="90">
        <f>BG72/((VLOOKUP(B72,'Cell-Characteristics'!$B$4:$Q$34,14,FALSE)))</f>
        <v>5740.71073191588</v>
      </c>
      <c r="BL72" s="90" t="e">
        <f>BH72/((VLOOKUP(B72,'Cell-Characteristics'!$B$4:$Q$34,15,FALSE)))</f>
        <v>#DIV/0!</v>
      </c>
      <c r="BM72" s="90">
        <f>BI72/((VLOOKUP(B72,'Cell-Characteristics'!$B$4:$Q$34,16,FALSE)))</f>
        <v>860.046441100996</v>
      </c>
      <c r="BN72" s="50">
        <f t="shared" si="25"/>
        <v>1.51233333333333</v>
      </c>
    </row>
    <row r="73" s="50" customFormat="1" ht="16.5" customHeight="1" spans="2:66">
      <c r="B73" s="53" t="s">
        <v>139</v>
      </c>
      <c r="C73" s="108" t="s">
        <v>422</v>
      </c>
      <c r="D73" s="53" t="s">
        <v>405</v>
      </c>
      <c r="E73" s="55" t="s">
        <v>265</v>
      </c>
      <c r="F73" s="56" t="s">
        <v>195</v>
      </c>
      <c r="G73" s="93" t="s">
        <v>196</v>
      </c>
      <c r="H73" s="57">
        <v>44302</v>
      </c>
      <c r="I73" s="58" t="s">
        <v>423</v>
      </c>
      <c r="J73" s="58">
        <v>40</v>
      </c>
      <c r="K73" s="59">
        <v>5.945</v>
      </c>
      <c r="L73" s="60">
        <v>47.74</v>
      </c>
      <c r="M73" s="60">
        <v>53.5</v>
      </c>
      <c r="N73" s="60">
        <v>52.9</v>
      </c>
      <c r="O73" s="59" t="s">
        <v>198</v>
      </c>
      <c r="P73" s="59" t="s">
        <v>198</v>
      </c>
      <c r="Q73" s="61" t="s">
        <v>424</v>
      </c>
      <c r="R73" s="62">
        <v>13.7210072860318</v>
      </c>
      <c r="S73" s="63">
        <v>0.004</v>
      </c>
      <c r="T73" s="63">
        <v>15.5132232720803</v>
      </c>
      <c r="U73" s="60">
        <v>15.5137279032359</v>
      </c>
      <c r="V73" s="60">
        <v>15.1967094849153</v>
      </c>
      <c r="W73" s="60">
        <v>0.124627553403863</v>
      </c>
      <c r="X73" s="60">
        <v>0.192390864916753</v>
      </c>
      <c r="Y73" s="60">
        <v>97.9565297245255</v>
      </c>
      <c r="Z73" s="60">
        <v>0.803337239000225</v>
      </c>
      <c r="AA73" s="60">
        <v>1.24013303647426</v>
      </c>
      <c r="AB73" s="60">
        <v>0.000504631155599999</v>
      </c>
      <c r="AC73" s="60">
        <v>0</v>
      </c>
      <c r="AD73" s="97">
        <v>4.4412</v>
      </c>
      <c r="AE73" s="97">
        <v>4.4412</v>
      </c>
      <c r="AF73" s="97">
        <v>0.963000000000001</v>
      </c>
      <c r="AG73" s="60" t="s">
        <v>134</v>
      </c>
      <c r="AH73" s="60" t="s">
        <v>134</v>
      </c>
      <c r="AI73" s="60" t="s">
        <v>134</v>
      </c>
      <c r="AJ73" s="60">
        <v>16.8864</v>
      </c>
      <c r="AK73" s="60" t="s">
        <v>134</v>
      </c>
      <c r="AL73" s="60">
        <v>47.56</v>
      </c>
      <c r="AM73" s="60">
        <v>0</v>
      </c>
      <c r="AN73" s="60">
        <v>0</v>
      </c>
      <c r="AO73" s="60">
        <v>0</v>
      </c>
      <c r="AP73" s="60">
        <v>0</v>
      </c>
      <c r="AQ73" s="60">
        <v>0</v>
      </c>
      <c r="AR73" s="60">
        <v>0</v>
      </c>
      <c r="AS73" s="60">
        <v>0.18</v>
      </c>
      <c r="AT73" s="60">
        <v>0.18</v>
      </c>
      <c r="AU73" s="60">
        <v>0.377042312526183</v>
      </c>
      <c r="AV73" s="60">
        <v>0.0026</v>
      </c>
      <c r="AW73" s="53"/>
      <c r="AX73" s="53"/>
      <c r="AY73" s="53"/>
      <c r="AZ73" s="53" t="s">
        <v>408</v>
      </c>
      <c r="BA73" s="53" t="s">
        <v>408</v>
      </c>
      <c r="BB73" s="53"/>
      <c r="BC73" s="56">
        <v>0</v>
      </c>
      <c r="BD73" s="56">
        <v>0</v>
      </c>
      <c r="BE73" s="96">
        <f>U73/((VLOOKUP(B73,'Cell-Characteristics'!$B$4:$E$34,3,FALSE)*VLOOKUP(B73,'Cell-Characteristics'!$B$4:$E$34,4,FALSE)*3600)/1000)</f>
        <v>0.345102894324586</v>
      </c>
      <c r="BF73" s="90">
        <f t="shared" si="23"/>
        <v>3421.75751709342</v>
      </c>
      <c r="BG73" s="90">
        <f t="shared" si="21"/>
        <v>28.0616845455875</v>
      </c>
      <c r="BH73" s="90">
        <f t="shared" si="22"/>
        <v>199.782829612412</v>
      </c>
      <c r="BI73" s="90">
        <f t="shared" si="24"/>
        <v>4727.20089683585</v>
      </c>
      <c r="BJ73" s="90">
        <f>BF73/((VLOOKUP(B73,'Cell-Characteristics'!$B$4:$Q$34,13,FALSE)))</f>
        <v>93.1394609693892</v>
      </c>
      <c r="BK73" s="90">
        <f>BG73/((VLOOKUP(B73,'Cell-Characteristics'!$B$4:$Q$34,14,FALSE)))</f>
        <v>11.0331385332969</v>
      </c>
      <c r="BL73" s="90">
        <f>BH73/((VLOOKUP(B73,'Cell-Characteristics'!$B$4:$Q$34,15,FALSE)))</f>
        <v>78.5495123112417</v>
      </c>
      <c r="BM73" s="90">
        <f>BI73/((VLOOKUP(B73,'Cell-Characteristics'!$B$4:$Q$34,16,FALSE)))</f>
        <v>113.023873320036</v>
      </c>
      <c r="BN73" s="50">
        <f t="shared" si="25"/>
        <v>3.2818</v>
      </c>
    </row>
    <row r="74" s="50" customFormat="1" ht="16.5" customHeight="1" spans="2:66">
      <c r="B74" s="53" t="s">
        <v>139</v>
      </c>
      <c r="C74" s="108" t="s">
        <v>425</v>
      </c>
      <c r="D74" s="53" t="s">
        <v>405</v>
      </c>
      <c r="E74" s="55" t="s">
        <v>265</v>
      </c>
      <c r="F74" s="56" t="s">
        <v>195</v>
      </c>
      <c r="G74" s="93" t="s">
        <v>196</v>
      </c>
      <c r="H74" s="57">
        <v>44302</v>
      </c>
      <c r="I74" s="58" t="s">
        <v>423</v>
      </c>
      <c r="J74" s="58">
        <v>40</v>
      </c>
      <c r="K74" s="59">
        <v>3.6303</v>
      </c>
      <c r="L74" s="60">
        <v>47.85</v>
      </c>
      <c r="M74" s="60">
        <v>53.5</v>
      </c>
      <c r="N74" s="60">
        <v>52.9</v>
      </c>
      <c r="O74" s="59" t="s">
        <v>198</v>
      </c>
      <c r="P74" s="59" t="s">
        <v>198</v>
      </c>
      <c r="Q74" s="61" t="s">
        <v>381</v>
      </c>
      <c r="R74" s="62">
        <v>40.9630265274467</v>
      </c>
      <c r="S74" s="63">
        <v>0.015</v>
      </c>
      <c r="T74" s="63">
        <v>43.2248091388066</v>
      </c>
      <c r="U74" s="60">
        <v>43.4611329554686</v>
      </c>
      <c r="V74" s="60">
        <v>27.4024945827179</v>
      </c>
      <c r="W74" s="60">
        <v>15.9455850395567</v>
      </c>
      <c r="X74" s="60">
        <v>0.113053333194001</v>
      </c>
      <c r="Y74" s="60">
        <v>63.0505758117148</v>
      </c>
      <c r="Z74" s="60">
        <v>36.6892990477146</v>
      </c>
      <c r="AA74" s="60">
        <v>0.26012514057063</v>
      </c>
      <c r="AB74" s="60">
        <v>0.236323816662</v>
      </c>
      <c r="AC74" s="60">
        <v>0</v>
      </c>
      <c r="AD74" s="97">
        <v>1.564</v>
      </c>
      <c r="AE74" s="97">
        <v>1.564</v>
      </c>
      <c r="AF74" s="97">
        <v>0</v>
      </c>
      <c r="AG74" s="60" t="s">
        <v>134</v>
      </c>
      <c r="AH74" s="60" t="s">
        <v>134</v>
      </c>
      <c r="AI74" s="60" t="s">
        <v>134</v>
      </c>
      <c r="AJ74" s="60">
        <v>24.7827</v>
      </c>
      <c r="AK74" s="60" t="s">
        <v>134</v>
      </c>
      <c r="AL74" s="60">
        <v>38.47</v>
      </c>
      <c r="AM74" s="60">
        <v>0.44</v>
      </c>
      <c r="AN74" s="60">
        <v>2.55</v>
      </c>
      <c r="AO74" s="60">
        <v>0.49</v>
      </c>
      <c r="AP74" s="60">
        <v>0</v>
      </c>
      <c r="AQ74" s="60">
        <v>0</v>
      </c>
      <c r="AR74" s="60">
        <v>0</v>
      </c>
      <c r="AS74" s="60">
        <v>5.9</v>
      </c>
      <c r="AT74" s="60">
        <v>9.38</v>
      </c>
      <c r="AU74" s="60">
        <v>19.6029258098224</v>
      </c>
      <c r="AV74" s="60">
        <v>0</v>
      </c>
      <c r="AW74" s="53"/>
      <c r="AX74" s="53"/>
      <c r="AY74" s="53"/>
      <c r="AZ74" s="53" t="s">
        <v>408</v>
      </c>
      <c r="BA74" s="53" t="s">
        <v>408</v>
      </c>
      <c r="BB74" s="53"/>
      <c r="BC74" s="56">
        <v>1</v>
      </c>
      <c r="BD74" s="56">
        <v>1.23456790123457</v>
      </c>
      <c r="BE74" s="96">
        <f>U74/((VLOOKUP(B74,'Cell-Characteristics'!$B$4:$E$34,3,FALSE)*VLOOKUP(B74,'Cell-Characteristics'!$B$4:$E$34,4,FALSE)*3600)/1000)</f>
        <v>0.966792950547329</v>
      </c>
      <c r="BF74" s="90">
        <f t="shared" si="23"/>
        <v>17520.7765874155</v>
      </c>
      <c r="BG74" s="90">
        <f t="shared" si="21"/>
        <v>10195.3868539365</v>
      </c>
      <c r="BH74" s="90" t="e">
        <f t="shared" si="22"/>
        <v>#DIV/0!</v>
      </c>
      <c r="BI74" s="90">
        <f t="shared" si="24"/>
        <v>41682.6722718689</v>
      </c>
      <c r="BJ74" s="90">
        <f>BF74/((VLOOKUP(B74,'Cell-Characteristics'!$B$4:$Q$34,13,FALSE)))</f>
        <v>476.911551728878</v>
      </c>
      <c r="BK74" s="90">
        <f>BG74/((VLOOKUP(B74,'Cell-Characteristics'!$B$4:$Q$34,14,FALSE)))</f>
        <v>4008.56603520347</v>
      </c>
      <c r="BL74" s="90" t="e">
        <f>BH74/((VLOOKUP(B74,'Cell-Characteristics'!$B$4:$Q$34,15,FALSE)))</f>
        <v>#DIV/0!</v>
      </c>
      <c r="BM74" s="90">
        <f>BI74/((VLOOKUP(B74,'Cell-Characteristics'!$B$4:$Q$34,16,FALSE)))</f>
        <v>996.601831254874</v>
      </c>
      <c r="BN74" s="50">
        <f t="shared" si="25"/>
        <v>1.04266666666667</v>
      </c>
    </row>
    <row r="75" s="50" customFormat="1" ht="16.5" customHeight="1" spans="2:66">
      <c r="B75" s="53" t="s">
        <v>139</v>
      </c>
      <c r="C75" s="108" t="s">
        <v>426</v>
      </c>
      <c r="D75" s="53" t="s">
        <v>405</v>
      </c>
      <c r="E75" s="55" t="s">
        <v>265</v>
      </c>
      <c r="F75" s="56" t="s">
        <v>195</v>
      </c>
      <c r="G75" s="93" t="s">
        <v>196</v>
      </c>
      <c r="H75" s="57">
        <v>44302</v>
      </c>
      <c r="I75" s="58" t="s">
        <v>423</v>
      </c>
      <c r="J75" s="58">
        <v>40</v>
      </c>
      <c r="K75" s="59">
        <v>3.6236</v>
      </c>
      <c r="L75" s="60">
        <v>47.81</v>
      </c>
      <c r="M75" s="60">
        <v>50.8</v>
      </c>
      <c r="N75" s="60">
        <v>52.9</v>
      </c>
      <c r="O75" s="59" t="s">
        <v>198</v>
      </c>
      <c r="P75" s="59" t="s">
        <v>198</v>
      </c>
      <c r="Q75" s="61" t="s">
        <v>381</v>
      </c>
      <c r="R75" s="62">
        <v>38.1777297013658</v>
      </c>
      <c r="S75" s="63">
        <v>0.0102</v>
      </c>
      <c r="T75" s="63">
        <v>32.6322699488562</v>
      </c>
      <c r="U75" s="60">
        <v>33.0176847699612</v>
      </c>
      <c r="V75" s="60">
        <v>8.97047048282299</v>
      </c>
      <c r="W75" s="60">
        <v>21.4111199098758</v>
      </c>
      <c r="X75" s="60">
        <v>2.63609437726237</v>
      </c>
      <c r="Y75" s="60">
        <v>27.1686841319175</v>
      </c>
      <c r="Z75" s="60">
        <v>64.8474296700392</v>
      </c>
      <c r="AA75" s="60">
        <v>7.98388619804329</v>
      </c>
      <c r="AB75" s="60">
        <v>0.385414821105</v>
      </c>
      <c r="AC75" s="60">
        <v>0</v>
      </c>
      <c r="AD75" s="97">
        <v>0</v>
      </c>
      <c r="AE75" s="97">
        <v>0</v>
      </c>
      <c r="AF75" s="97">
        <v>0</v>
      </c>
      <c r="AG75" s="60" t="s">
        <v>134</v>
      </c>
      <c r="AH75" s="60" t="s">
        <v>134</v>
      </c>
      <c r="AI75" s="60" t="s">
        <v>134</v>
      </c>
      <c r="AJ75" s="60">
        <v>24.4666</v>
      </c>
      <c r="AK75" s="60" t="s">
        <v>134</v>
      </c>
      <c r="AL75" s="60">
        <v>15.24</v>
      </c>
      <c r="AM75" s="60">
        <v>11.26</v>
      </c>
      <c r="AN75" s="60">
        <v>12.38</v>
      </c>
      <c r="AO75" s="60">
        <v>4</v>
      </c>
      <c r="AP75" s="60">
        <v>0</v>
      </c>
      <c r="AQ75" s="60">
        <v>0</v>
      </c>
      <c r="AR75" s="60">
        <v>0</v>
      </c>
      <c r="AS75" s="60">
        <v>4.93</v>
      </c>
      <c r="AT75" s="60">
        <v>32.57</v>
      </c>
      <c r="AU75" s="60">
        <v>68.1238234678937</v>
      </c>
      <c r="AV75" s="60">
        <v>0</v>
      </c>
      <c r="AW75" s="53"/>
      <c r="AX75" s="53"/>
      <c r="AY75" s="53"/>
      <c r="AZ75" s="53" t="s">
        <v>408</v>
      </c>
      <c r="BA75" s="53" t="s">
        <v>408</v>
      </c>
      <c r="BB75" s="53" t="s">
        <v>411</v>
      </c>
      <c r="BC75" s="56">
        <v>3</v>
      </c>
      <c r="BD75" s="56">
        <v>3.7037037037037</v>
      </c>
      <c r="BE75" s="96">
        <f>U75/((VLOOKUP(B75,'Cell-Characteristics'!$B$4:$E$34,3,FALSE)*VLOOKUP(B75,'Cell-Characteristics'!$B$4:$E$34,4,FALSE)*3600)/1000)</f>
        <v>0.734478434137917</v>
      </c>
      <c r="BF75" s="90" t="e">
        <f t="shared" ref="BF75:BF78" si="26">(1000*V75)/AD75</f>
        <v>#DIV/0!</v>
      </c>
      <c r="BG75" s="90" t="e">
        <f t="shared" ref="BG75:BG78" si="27">(1000*W75)/AE75</f>
        <v>#DIV/0!</v>
      </c>
      <c r="BH75" s="90" t="e">
        <f t="shared" ref="BH75:BH78" si="28">(1000*X75)/AF75</f>
        <v>#DIV/0!</v>
      </c>
      <c r="BI75" s="90" t="e">
        <f t="shared" ref="BI75:BI78" si="29">(1000*U75)/AVERAGE(AD75:AF75)</f>
        <v>#DIV/0!</v>
      </c>
      <c r="BJ75" s="90" t="e">
        <f>BF75/((VLOOKUP(B75,'Cell-Characteristics'!$B$4:$Q$34,13,FALSE)))</f>
        <v>#DIV/0!</v>
      </c>
      <c r="BK75" s="90" t="e">
        <f>BG75/((VLOOKUP(B75,'Cell-Characteristics'!$B$4:$Q$34,14,FALSE)))</f>
        <v>#DIV/0!</v>
      </c>
      <c r="BL75" s="90" t="e">
        <f>BH75/((VLOOKUP(B75,'Cell-Characteristics'!$B$4:$Q$34,15,FALSE)))</f>
        <v>#DIV/0!</v>
      </c>
      <c r="BM75" s="90" t="e">
        <f>BI75/((VLOOKUP(B75,'Cell-Characteristics'!$B$4:$Q$34,16,FALSE)))</f>
        <v>#DIV/0!</v>
      </c>
      <c r="BN75" s="50">
        <f t="shared" ref="BN75:BN78" si="30">AVERAGE(AD75:AF75)</f>
        <v>0</v>
      </c>
    </row>
    <row r="76" s="50" customFormat="1" ht="16.5" customHeight="1" spans="2:66">
      <c r="B76" s="53" t="s">
        <v>139</v>
      </c>
      <c r="C76" s="108" t="s">
        <v>427</v>
      </c>
      <c r="D76" s="53" t="s">
        <v>405</v>
      </c>
      <c r="E76" s="55" t="s">
        <v>265</v>
      </c>
      <c r="F76" s="56" t="s">
        <v>195</v>
      </c>
      <c r="G76" s="93" t="s">
        <v>196</v>
      </c>
      <c r="H76" s="57">
        <v>44302</v>
      </c>
      <c r="I76" s="58" t="s">
        <v>423</v>
      </c>
      <c r="J76" s="58">
        <v>40</v>
      </c>
      <c r="K76" s="59">
        <v>3.6302</v>
      </c>
      <c r="L76" s="60">
        <v>47.88</v>
      </c>
      <c r="M76" s="60">
        <v>47.7</v>
      </c>
      <c r="N76" s="60">
        <v>52.9</v>
      </c>
      <c r="O76" s="59" t="s">
        <v>198</v>
      </c>
      <c r="P76" s="59" t="s">
        <v>198</v>
      </c>
      <c r="Q76" s="61" t="s">
        <v>381</v>
      </c>
      <c r="R76" s="62">
        <v>41.3088435844928</v>
      </c>
      <c r="S76" s="63">
        <v>0.0122</v>
      </c>
      <c r="T76" s="63">
        <v>34.9307762049433</v>
      </c>
      <c r="U76" s="60">
        <v>35.125425196403</v>
      </c>
      <c r="V76" s="60">
        <v>0</v>
      </c>
      <c r="W76" s="60">
        <v>35.125425196403</v>
      </c>
      <c r="X76" s="60">
        <v>0</v>
      </c>
      <c r="Y76" s="60">
        <v>0</v>
      </c>
      <c r="Z76" s="60">
        <v>100</v>
      </c>
      <c r="AA76" s="60">
        <v>0</v>
      </c>
      <c r="AB76" s="60">
        <v>0.1946489914596</v>
      </c>
      <c r="AC76" s="60">
        <v>0</v>
      </c>
      <c r="AD76" s="97">
        <v>0</v>
      </c>
      <c r="AE76" s="97">
        <v>0</v>
      </c>
      <c r="AF76" s="97">
        <v>0</v>
      </c>
      <c r="AG76" s="60" t="s">
        <v>134</v>
      </c>
      <c r="AH76" s="60" t="s">
        <v>134</v>
      </c>
      <c r="AI76" s="60" t="s">
        <v>134</v>
      </c>
      <c r="AJ76" s="60">
        <v>16.3562</v>
      </c>
      <c r="AK76" s="60" t="s">
        <v>134</v>
      </c>
      <c r="AL76" s="60">
        <v>38.49</v>
      </c>
      <c r="AM76" s="60">
        <v>0.54</v>
      </c>
      <c r="AN76" s="60">
        <v>2.4</v>
      </c>
      <c r="AO76" s="60">
        <v>0.31</v>
      </c>
      <c r="AP76" s="60">
        <v>0</v>
      </c>
      <c r="AQ76" s="60">
        <v>0</v>
      </c>
      <c r="AR76" s="60">
        <v>0</v>
      </c>
      <c r="AS76" s="60">
        <v>6.14</v>
      </c>
      <c r="AT76" s="60">
        <v>9.39</v>
      </c>
      <c r="AU76" s="60">
        <v>19.6115288220551</v>
      </c>
      <c r="AV76" s="60">
        <v>0</v>
      </c>
      <c r="AW76" s="53"/>
      <c r="AX76" s="53"/>
      <c r="AY76" s="53"/>
      <c r="AZ76" s="53" t="s">
        <v>408</v>
      </c>
      <c r="BA76" s="53" t="s">
        <v>408</v>
      </c>
      <c r="BB76" s="53" t="s">
        <v>411</v>
      </c>
      <c r="BC76" s="56">
        <v>4</v>
      </c>
      <c r="BD76" s="56">
        <v>4.93827160493827</v>
      </c>
      <c r="BE76" s="96">
        <f>U76/((VLOOKUP(B76,'Cell-Characteristics'!$B$4:$E$34,3,FALSE)*VLOOKUP(B76,'Cell-Characteristics'!$B$4:$E$34,4,FALSE)*3600)/1000)</f>
        <v>0.781365122249695</v>
      </c>
      <c r="BF76" s="90" t="e">
        <f t="shared" si="26"/>
        <v>#DIV/0!</v>
      </c>
      <c r="BG76" s="90" t="e">
        <f t="shared" si="27"/>
        <v>#DIV/0!</v>
      </c>
      <c r="BH76" s="90" t="e">
        <f t="shared" si="28"/>
        <v>#DIV/0!</v>
      </c>
      <c r="BI76" s="90" t="e">
        <f t="shared" si="29"/>
        <v>#DIV/0!</v>
      </c>
      <c r="BJ76" s="90" t="e">
        <f>BF76/((VLOOKUP(B76,'Cell-Characteristics'!$B$4:$Q$34,13,FALSE)))</f>
        <v>#DIV/0!</v>
      </c>
      <c r="BK76" s="90" t="e">
        <f>BG76/((VLOOKUP(B76,'Cell-Characteristics'!$B$4:$Q$34,14,FALSE)))</f>
        <v>#DIV/0!</v>
      </c>
      <c r="BL76" s="90" t="e">
        <f>BH76/((VLOOKUP(B76,'Cell-Characteristics'!$B$4:$Q$34,15,FALSE)))</f>
        <v>#DIV/0!</v>
      </c>
      <c r="BM76" s="90" t="e">
        <f>BI76/((VLOOKUP(B76,'Cell-Characteristics'!$B$4:$Q$34,16,FALSE)))</f>
        <v>#DIV/0!</v>
      </c>
      <c r="BN76" s="50">
        <f t="shared" si="30"/>
        <v>0</v>
      </c>
    </row>
    <row r="77" s="50" customFormat="1" ht="16.5" customHeight="1" spans="2:66">
      <c r="B77" s="53" t="s">
        <v>139</v>
      </c>
      <c r="C77" s="108" t="s">
        <v>428</v>
      </c>
      <c r="D77" s="53" t="s">
        <v>405</v>
      </c>
      <c r="E77" s="55" t="s">
        <v>265</v>
      </c>
      <c r="F77" s="56" t="s">
        <v>195</v>
      </c>
      <c r="G77" s="93" t="s">
        <v>196</v>
      </c>
      <c r="H77" s="57">
        <v>44302</v>
      </c>
      <c r="I77" s="58" t="s">
        <v>429</v>
      </c>
      <c r="J77" s="58">
        <v>20</v>
      </c>
      <c r="K77" s="59">
        <v>3.4129</v>
      </c>
      <c r="L77" s="60">
        <v>47.8</v>
      </c>
      <c r="M77" s="60">
        <v>50.2</v>
      </c>
      <c r="N77" s="60">
        <v>52.9</v>
      </c>
      <c r="O77" s="59" t="s">
        <v>198</v>
      </c>
      <c r="P77" s="59" t="s">
        <v>198</v>
      </c>
      <c r="Q77" s="61" t="s">
        <v>424</v>
      </c>
      <c r="R77" s="62">
        <v>5.26712697612882</v>
      </c>
      <c r="S77" s="63">
        <v>0.001</v>
      </c>
      <c r="T77" s="63">
        <v>5.13561390015257</v>
      </c>
      <c r="U77" s="60">
        <v>5.13570649035857</v>
      </c>
      <c r="V77" s="60">
        <v>0</v>
      </c>
      <c r="W77" s="60">
        <v>5.13570649035857</v>
      </c>
      <c r="X77" s="60">
        <v>0</v>
      </c>
      <c r="Y77" s="60">
        <v>0</v>
      </c>
      <c r="Z77" s="60">
        <v>100</v>
      </c>
      <c r="AA77" s="60">
        <v>0</v>
      </c>
      <c r="AB77" s="60">
        <v>9.25902059999946e-5</v>
      </c>
      <c r="AC77" s="60">
        <v>0</v>
      </c>
      <c r="AD77" s="97">
        <v>0</v>
      </c>
      <c r="AE77" s="97">
        <v>0</v>
      </c>
      <c r="AF77" s="97">
        <v>0</v>
      </c>
      <c r="AG77" s="60" t="s">
        <v>134</v>
      </c>
      <c r="AH77" s="60" t="s">
        <v>134</v>
      </c>
      <c r="AI77" s="60" t="s">
        <v>134</v>
      </c>
      <c r="AJ77" s="60">
        <v>18.0783</v>
      </c>
      <c r="AK77" s="60" t="s">
        <v>134</v>
      </c>
      <c r="AL77" s="60">
        <v>47.7</v>
      </c>
      <c r="AM77" s="60">
        <v>0</v>
      </c>
      <c r="AN77" s="60">
        <v>0</v>
      </c>
      <c r="AO77" s="60">
        <v>0</v>
      </c>
      <c r="AP77" s="60">
        <v>0</v>
      </c>
      <c r="AQ77" s="60">
        <v>0</v>
      </c>
      <c r="AR77" s="60">
        <v>0</v>
      </c>
      <c r="AS77" s="60">
        <v>0.0999999999999943</v>
      </c>
      <c r="AT77" s="60">
        <v>0.0999999999999943</v>
      </c>
      <c r="AU77" s="60">
        <v>0.20920502092049</v>
      </c>
      <c r="AV77" s="60">
        <v>0.0151</v>
      </c>
      <c r="AW77" s="53"/>
      <c r="AX77" s="53"/>
      <c r="AY77" s="53"/>
      <c r="AZ77" s="53" t="s">
        <v>408</v>
      </c>
      <c r="BA77" s="53" t="s">
        <v>408</v>
      </c>
      <c r="BB77" s="53" t="s">
        <v>411</v>
      </c>
      <c r="BC77" s="56">
        <v>11</v>
      </c>
      <c r="BD77" s="56">
        <v>13.5802469135802</v>
      </c>
      <c r="BE77" s="96">
        <f>U77/((VLOOKUP(B77,'Cell-Characteristics'!$B$4:$E$34,3,FALSE)*VLOOKUP(B77,'Cell-Characteristics'!$B$4:$E$34,4,FALSE)*3600)/1000)</f>
        <v>0.114243796544519</v>
      </c>
      <c r="BF77" s="90" t="e">
        <f t="shared" si="26"/>
        <v>#DIV/0!</v>
      </c>
      <c r="BG77" s="90" t="e">
        <f t="shared" si="27"/>
        <v>#DIV/0!</v>
      </c>
      <c r="BH77" s="90" t="e">
        <f t="shared" si="28"/>
        <v>#DIV/0!</v>
      </c>
      <c r="BI77" s="90" t="e">
        <f t="shared" si="29"/>
        <v>#DIV/0!</v>
      </c>
      <c r="BJ77" s="90" t="e">
        <f>BF77/((VLOOKUP(B77,'Cell-Characteristics'!$B$4:$Q$34,13,FALSE)))</f>
        <v>#DIV/0!</v>
      </c>
      <c r="BK77" s="90" t="e">
        <f>BG77/((VLOOKUP(B77,'Cell-Characteristics'!$B$4:$Q$34,14,FALSE)))</f>
        <v>#DIV/0!</v>
      </c>
      <c r="BL77" s="90" t="e">
        <f>BH77/((VLOOKUP(B77,'Cell-Characteristics'!$B$4:$Q$34,15,FALSE)))</f>
        <v>#DIV/0!</v>
      </c>
      <c r="BM77" s="90" t="e">
        <f>BI77/((VLOOKUP(B77,'Cell-Characteristics'!$B$4:$Q$34,16,FALSE)))</f>
        <v>#DIV/0!</v>
      </c>
      <c r="BN77" s="50">
        <f t="shared" si="30"/>
        <v>0</v>
      </c>
    </row>
    <row r="78" s="50" customFormat="1" ht="16.5" customHeight="1" spans="2:66">
      <c r="B78" s="53" t="s">
        <v>139</v>
      </c>
      <c r="C78" s="108" t="s">
        <v>430</v>
      </c>
      <c r="D78" s="53" t="s">
        <v>405</v>
      </c>
      <c r="E78" s="55" t="s">
        <v>265</v>
      </c>
      <c r="F78" s="56" t="s">
        <v>195</v>
      </c>
      <c r="G78" s="93" t="s">
        <v>196</v>
      </c>
      <c r="H78" s="57">
        <v>44302</v>
      </c>
      <c r="I78" s="58" t="s">
        <v>429</v>
      </c>
      <c r="J78" s="58">
        <v>20</v>
      </c>
      <c r="K78" s="59">
        <v>3.4545</v>
      </c>
      <c r="L78" s="60">
        <v>47.89</v>
      </c>
      <c r="M78" s="60">
        <v>50.2</v>
      </c>
      <c r="N78" s="60">
        <v>52.9</v>
      </c>
      <c r="O78" s="59" t="s">
        <v>198</v>
      </c>
      <c r="P78" s="59" t="s">
        <v>198</v>
      </c>
      <c r="Q78" s="61" t="s">
        <v>424</v>
      </c>
      <c r="R78" s="62">
        <v>6.999858160515</v>
      </c>
      <c r="S78" s="63">
        <v>0.0022</v>
      </c>
      <c r="T78" s="63">
        <v>6.39323787000724</v>
      </c>
      <c r="U78" s="60">
        <v>6.39352680027124</v>
      </c>
      <c r="V78" s="60">
        <v>4.03942868875874</v>
      </c>
      <c r="W78" s="60">
        <v>1.22072092767112</v>
      </c>
      <c r="X78" s="60">
        <v>1.13337718384138</v>
      </c>
      <c r="Y78" s="60">
        <v>63.1799758560075</v>
      </c>
      <c r="Z78" s="60">
        <v>19.0930759470553</v>
      </c>
      <c r="AA78" s="60">
        <v>17.7269481969372</v>
      </c>
      <c r="AB78" s="60">
        <v>0.000288930263999996</v>
      </c>
      <c r="AC78" s="60">
        <v>0</v>
      </c>
      <c r="AD78" s="97">
        <v>0</v>
      </c>
      <c r="AE78" s="97">
        <v>0</v>
      </c>
      <c r="AF78" s="97">
        <v>0</v>
      </c>
      <c r="AG78" s="60" t="s">
        <v>134</v>
      </c>
      <c r="AH78" s="60" t="s">
        <v>134</v>
      </c>
      <c r="AI78" s="60" t="s">
        <v>134</v>
      </c>
      <c r="AJ78" s="60">
        <v>10.0606</v>
      </c>
      <c r="AK78" s="60" t="s">
        <v>134</v>
      </c>
      <c r="AL78" s="60">
        <v>47.7</v>
      </c>
      <c r="AM78" s="60">
        <v>0</v>
      </c>
      <c r="AN78" s="60">
        <v>0</v>
      </c>
      <c r="AO78" s="60">
        <v>0</v>
      </c>
      <c r="AP78" s="60">
        <v>0</v>
      </c>
      <c r="AQ78" s="60">
        <v>0</v>
      </c>
      <c r="AR78" s="60">
        <v>0</v>
      </c>
      <c r="AS78" s="60">
        <v>0.189999999999998</v>
      </c>
      <c r="AT78" s="60">
        <v>0.189999999999998</v>
      </c>
      <c r="AU78" s="60">
        <v>0.396742534975982</v>
      </c>
      <c r="AV78" s="60">
        <v>0.0076</v>
      </c>
      <c r="AW78" s="53"/>
      <c r="AX78" s="53"/>
      <c r="AY78" s="53"/>
      <c r="AZ78" s="53" t="s">
        <v>408</v>
      </c>
      <c r="BA78" s="53" t="s">
        <v>408</v>
      </c>
      <c r="BB78" s="53" t="s">
        <v>411</v>
      </c>
      <c r="BC78" s="56">
        <v>6</v>
      </c>
      <c r="BD78" s="56">
        <v>7.40740740740741</v>
      </c>
      <c r="BE78" s="96">
        <f>U78/((VLOOKUP(B78,'Cell-Characteristics'!$B$4:$E$34,3,FALSE)*VLOOKUP(B78,'Cell-Characteristics'!$B$4:$E$34,4,FALSE)*3600)/1000)</f>
        <v>0.142224010726345</v>
      </c>
      <c r="BF78" s="90" t="e">
        <f t="shared" si="26"/>
        <v>#DIV/0!</v>
      </c>
      <c r="BG78" s="90" t="e">
        <f t="shared" si="27"/>
        <v>#DIV/0!</v>
      </c>
      <c r="BH78" s="90" t="e">
        <f t="shared" si="28"/>
        <v>#DIV/0!</v>
      </c>
      <c r="BI78" s="90" t="e">
        <f t="shared" si="29"/>
        <v>#DIV/0!</v>
      </c>
      <c r="BJ78" s="90" t="e">
        <f>BF78/((VLOOKUP(B78,'Cell-Characteristics'!$B$4:$Q$34,13,FALSE)))</f>
        <v>#DIV/0!</v>
      </c>
      <c r="BK78" s="90" t="e">
        <f>BG78/((VLOOKUP(B78,'Cell-Characteristics'!$B$4:$Q$34,14,FALSE)))</f>
        <v>#DIV/0!</v>
      </c>
      <c r="BL78" s="90" t="e">
        <f>BH78/((VLOOKUP(B78,'Cell-Characteristics'!$B$4:$Q$34,15,FALSE)))</f>
        <v>#DIV/0!</v>
      </c>
      <c r="BM78" s="90" t="e">
        <f>BI78/((VLOOKUP(B78,'Cell-Characteristics'!$B$4:$Q$34,16,FALSE)))</f>
        <v>#DIV/0!</v>
      </c>
      <c r="BN78" s="50">
        <f t="shared" si="30"/>
        <v>0</v>
      </c>
    </row>
    <row r="79" s="50" customFormat="1" ht="16.5" customHeight="1" spans="2:66">
      <c r="B79" s="53" t="s">
        <v>140</v>
      </c>
      <c r="C79" s="53" t="s">
        <v>431</v>
      </c>
      <c r="D79" s="53" t="s">
        <v>432</v>
      </c>
      <c r="E79" s="55" t="s">
        <v>228</v>
      </c>
      <c r="F79" s="56" t="s">
        <v>392</v>
      </c>
      <c r="G79" s="93" t="s">
        <v>393</v>
      </c>
      <c r="H79" s="57">
        <v>43027</v>
      </c>
      <c r="I79" s="58" t="s">
        <v>134</v>
      </c>
      <c r="J79" s="58">
        <v>100</v>
      </c>
      <c r="K79" s="59" t="s">
        <v>134</v>
      </c>
      <c r="L79" s="60">
        <v>47</v>
      </c>
      <c r="M79" s="60">
        <v>39.4</v>
      </c>
      <c r="N79" s="60">
        <v>39.1</v>
      </c>
      <c r="O79" s="59" t="s">
        <v>197</v>
      </c>
      <c r="P79" s="59" t="s">
        <v>197</v>
      </c>
      <c r="Q79" s="61" t="s">
        <v>433</v>
      </c>
      <c r="R79" s="62">
        <v>78.7699722573732</v>
      </c>
      <c r="S79" s="63">
        <v>0.033</v>
      </c>
      <c r="T79" s="63">
        <v>79.2779055629869</v>
      </c>
      <c r="U79" s="60">
        <v>87.4797494803309</v>
      </c>
      <c r="V79" s="60">
        <v>12.5392743710938</v>
      </c>
      <c r="W79" s="60">
        <v>64.9539956220688</v>
      </c>
      <c r="X79" s="60">
        <v>9.98647948716838</v>
      </c>
      <c r="Y79" s="60">
        <v>14.3339166442322</v>
      </c>
      <c r="Z79" s="60">
        <v>74.250321940706</v>
      </c>
      <c r="AA79" s="60">
        <v>11.4157614150618</v>
      </c>
      <c r="AB79" s="60">
        <v>7.653232366416</v>
      </c>
      <c r="AC79" s="60">
        <v>0.548611550928</v>
      </c>
      <c r="AD79" s="103">
        <v>4.448199749</v>
      </c>
      <c r="AE79" s="103">
        <v>0.422999859</v>
      </c>
      <c r="AF79" s="103">
        <v>2.041100025</v>
      </c>
      <c r="AG79" s="60">
        <v>990.008151340853</v>
      </c>
      <c r="AH79" s="60">
        <v>84.8989000320435</v>
      </c>
      <c r="AI79" s="60">
        <v>84.0599154476795</v>
      </c>
      <c r="AJ79" s="60"/>
      <c r="AK79" s="55">
        <v>256.224745</v>
      </c>
      <c r="AL79" s="60">
        <v>11.3</v>
      </c>
      <c r="AM79" s="60">
        <v>3.6</v>
      </c>
      <c r="AN79" s="60">
        <v>11.3</v>
      </c>
      <c r="AO79" s="60">
        <v>1.7</v>
      </c>
      <c r="AP79" s="60">
        <v>0.4</v>
      </c>
      <c r="AQ79" s="60">
        <v>1.8</v>
      </c>
      <c r="AR79" s="60">
        <v>0.1</v>
      </c>
      <c r="AS79" s="60">
        <v>16.8</v>
      </c>
      <c r="AT79" s="60">
        <f t="shared" ref="AT79:AT93" si="31">L79-AL79</f>
        <v>35.7</v>
      </c>
      <c r="AU79" s="60">
        <f t="shared" ref="AU79:AU93" si="32">100*(AT79/L79)</f>
        <v>75.9574468085106</v>
      </c>
      <c r="AV79" s="97">
        <v>0</v>
      </c>
      <c r="AW79" s="53" t="s">
        <v>434</v>
      </c>
      <c r="AX79" s="53" t="s">
        <v>408</v>
      </c>
      <c r="AY79" s="53" t="s">
        <v>408</v>
      </c>
      <c r="AZ79" s="53" t="s">
        <v>408</v>
      </c>
      <c r="BA79" s="53" t="s">
        <v>408</v>
      </c>
      <c r="BB79" s="53" t="s">
        <v>134</v>
      </c>
      <c r="BC79" s="56">
        <v>0</v>
      </c>
      <c r="BD79" s="56">
        <v>0</v>
      </c>
      <c r="BE79" s="96">
        <f>U79/((VLOOKUP(B79,'Cell-Characteristics'!$B$4:$E$34,3,FALSE)*VLOOKUP(B79,'Cell-Characteristics'!$B$4:$E$34,4,FALSE)*3600)/1000)</f>
        <v>1.91338034733882</v>
      </c>
      <c r="BF79" s="90">
        <f t="shared" si="23"/>
        <v>2818.95487582651</v>
      </c>
      <c r="BG79" s="90">
        <f t="shared" si="21"/>
        <v>153555.596391035</v>
      </c>
      <c r="BH79" s="90">
        <f t="shared" si="22"/>
        <v>4892.69480419921</v>
      </c>
      <c r="BI79" s="90">
        <f t="shared" si="24"/>
        <v>37966.9954103381</v>
      </c>
      <c r="BJ79" s="90">
        <f>BF79/((VLOOKUP(B79,'Cell-Characteristics'!$B$4:$Q$34,13,FALSE)))</f>
        <v>76.7313102462439</v>
      </c>
      <c r="BK79" s="90">
        <f>BG79/((VLOOKUP(B79,'Cell-Characteristics'!$B$4:$Q$34,14,FALSE)))</f>
        <v>60374.1434265295</v>
      </c>
      <c r="BL79" s="90">
        <f>BH79/((VLOOKUP(B79,'Cell-Characteristics'!$B$4:$Q$34,15,FALSE)))</f>
        <v>1923.68278847181</v>
      </c>
      <c r="BM79" s="90">
        <f>BI79/((VLOOKUP(B79,'Cell-Characteristics'!$B$4:$Q$34,16,FALSE)))</f>
        <v>907.762748664383</v>
      </c>
      <c r="BN79" s="50">
        <f t="shared" si="25"/>
        <v>2.30409987766667</v>
      </c>
    </row>
    <row r="80" s="50" customFormat="1" ht="16.5" customHeight="1" spans="2:66">
      <c r="B80" s="53" t="s">
        <v>140</v>
      </c>
      <c r="C80" s="53" t="s">
        <v>435</v>
      </c>
      <c r="D80" s="53" t="s">
        <v>432</v>
      </c>
      <c r="E80" s="55" t="s">
        <v>228</v>
      </c>
      <c r="F80" s="56" t="s">
        <v>392</v>
      </c>
      <c r="G80" s="93" t="s">
        <v>393</v>
      </c>
      <c r="H80" s="57">
        <v>43027</v>
      </c>
      <c r="I80" s="58" t="s">
        <v>134</v>
      </c>
      <c r="J80" s="58">
        <v>100</v>
      </c>
      <c r="K80" s="59" t="s">
        <v>134</v>
      </c>
      <c r="L80" s="60">
        <v>47</v>
      </c>
      <c r="M80" s="60">
        <v>38.2</v>
      </c>
      <c r="N80" s="60">
        <v>38.7</v>
      </c>
      <c r="O80" s="59" t="s">
        <v>197</v>
      </c>
      <c r="P80" s="59" t="s">
        <v>197</v>
      </c>
      <c r="Q80" s="61" t="s">
        <v>407</v>
      </c>
      <c r="R80" s="62">
        <v>66.2283458545394</v>
      </c>
      <c r="S80" s="63">
        <v>0.026</v>
      </c>
      <c r="T80" s="63">
        <v>66.7117593497576</v>
      </c>
      <c r="U80" s="60">
        <v>69.4089894767336</v>
      </c>
      <c r="V80" s="60">
        <v>15.517805441157</v>
      </c>
      <c r="W80" s="60">
        <v>36.3718153748396</v>
      </c>
      <c r="X80" s="60">
        <v>17.519368660737</v>
      </c>
      <c r="Y80" s="60">
        <v>22.3570542636393</v>
      </c>
      <c r="Z80" s="60">
        <v>52.4021681471558</v>
      </c>
      <c r="AA80" s="60">
        <v>25.2407775892049</v>
      </c>
      <c r="AB80" s="60">
        <v>1.612987843824</v>
      </c>
      <c r="AC80" s="60">
        <v>1.084242283152</v>
      </c>
      <c r="AD80" s="103">
        <v>1.013000011</v>
      </c>
      <c r="AE80" s="103">
        <v>1.52300024</v>
      </c>
      <c r="AF80" s="103">
        <v>0.605000019</v>
      </c>
      <c r="AG80" s="60">
        <v>772.115342387038</v>
      </c>
      <c r="AH80" s="60">
        <v>106.758199691772</v>
      </c>
      <c r="AI80" s="60">
        <v>82.5553699465849</v>
      </c>
      <c r="AJ80" s="60"/>
      <c r="AK80" s="55">
        <v>252.975375</v>
      </c>
      <c r="AL80" s="60">
        <v>15.2</v>
      </c>
      <c r="AM80" s="60">
        <v>2.1</v>
      </c>
      <c r="AN80" s="60">
        <v>12.7</v>
      </c>
      <c r="AO80" s="60">
        <v>1.4</v>
      </c>
      <c r="AP80" s="60">
        <v>0.9</v>
      </c>
      <c r="AQ80" s="60">
        <v>3.1</v>
      </c>
      <c r="AR80" s="60">
        <v>0.4</v>
      </c>
      <c r="AS80" s="60">
        <v>11.2</v>
      </c>
      <c r="AT80" s="60">
        <f t="shared" si="31"/>
        <v>31.8</v>
      </c>
      <c r="AU80" s="60">
        <f t="shared" si="32"/>
        <v>67.6595744680851</v>
      </c>
      <c r="AV80" s="97">
        <v>0</v>
      </c>
      <c r="AW80" s="53" t="s">
        <v>436</v>
      </c>
      <c r="AX80" s="53" t="s">
        <v>408</v>
      </c>
      <c r="AY80" s="53" t="s">
        <v>408</v>
      </c>
      <c r="AZ80" s="53" t="s">
        <v>408</v>
      </c>
      <c r="BA80" s="53" t="s">
        <v>408</v>
      </c>
      <c r="BB80" s="53" t="s">
        <v>437</v>
      </c>
      <c r="BC80" s="56">
        <v>5</v>
      </c>
      <c r="BD80" s="56">
        <v>10</v>
      </c>
      <c r="BE80" s="96">
        <f>U80/((VLOOKUP(B80,'Cell-Characteristics'!$B$4:$E$34,3,FALSE)*VLOOKUP(B80,'Cell-Characteristics'!$B$4:$E$34,4,FALSE)*3600)/1000)</f>
        <v>1.51813187831876</v>
      </c>
      <c r="BF80" s="90">
        <f t="shared" si="23"/>
        <v>15318.6626580965</v>
      </c>
      <c r="BG80" s="90">
        <f t="shared" si="21"/>
        <v>23881.6872247109</v>
      </c>
      <c r="BH80" s="90">
        <f t="shared" si="22"/>
        <v>28957.6332405652</v>
      </c>
      <c r="BI80" s="90">
        <f t="shared" si="24"/>
        <v>66293.2029707214</v>
      </c>
      <c r="BJ80" s="90">
        <f>BF80/((VLOOKUP(B80,'Cell-Characteristics'!$B$4:$Q$34,13,FALSE)))</f>
        <v>416.970511679908</v>
      </c>
      <c r="BK80" s="90">
        <f>BG80/((VLOOKUP(B80,'Cell-Characteristics'!$B$4:$Q$34,14,FALSE)))</f>
        <v>9389.67021495277</v>
      </c>
      <c r="BL80" s="90">
        <f>BH80/((VLOOKUP(B80,'Cell-Characteristics'!$B$4:$Q$34,15,FALSE)))</f>
        <v>11385.4027052627</v>
      </c>
      <c r="BM80" s="90">
        <f>BI80/((VLOOKUP(B80,'Cell-Characteristics'!$B$4:$Q$34,16,FALSE)))</f>
        <v>1585.02139808729</v>
      </c>
      <c r="BN80" s="50">
        <f t="shared" si="25"/>
        <v>1.04700009</v>
      </c>
    </row>
    <row r="81" s="50" customFormat="1" ht="16.5" customHeight="1" spans="2:66">
      <c r="B81" s="53" t="s">
        <v>140</v>
      </c>
      <c r="C81" s="53" t="s">
        <v>438</v>
      </c>
      <c r="D81" s="53" t="s">
        <v>432</v>
      </c>
      <c r="E81" s="55" t="s">
        <v>228</v>
      </c>
      <c r="F81" s="56" t="s">
        <v>392</v>
      </c>
      <c r="G81" s="93" t="s">
        <v>393</v>
      </c>
      <c r="H81" s="57">
        <v>43032</v>
      </c>
      <c r="I81" s="58" t="s">
        <v>134</v>
      </c>
      <c r="J81" s="58">
        <v>100</v>
      </c>
      <c r="K81" s="59" t="s">
        <v>134</v>
      </c>
      <c r="L81" s="60">
        <v>47</v>
      </c>
      <c r="M81" s="60">
        <v>37</v>
      </c>
      <c r="N81" s="60">
        <v>37</v>
      </c>
      <c r="O81" s="59" t="s">
        <v>197</v>
      </c>
      <c r="P81" s="59" t="s">
        <v>197</v>
      </c>
      <c r="Q81" s="61" t="s">
        <v>381</v>
      </c>
      <c r="R81" s="62">
        <v>74.7957275278837</v>
      </c>
      <c r="S81" s="63">
        <v>0.051</v>
      </c>
      <c r="T81" s="63">
        <v>75.7546800995574</v>
      </c>
      <c r="U81" s="60">
        <v>90.8476777320534</v>
      </c>
      <c r="V81" s="60">
        <v>10.861457303571</v>
      </c>
      <c r="W81" s="60">
        <v>79.455162605678</v>
      </c>
      <c r="X81" s="60">
        <v>0.531057822804311</v>
      </c>
      <c r="Y81" s="60">
        <v>11.955679632897</v>
      </c>
      <c r="Z81" s="60">
        <v>87.4597618664767</v>
      </c>
      <c r="AA81" s="60">
        <v>0.584558500626308</v>
      </c>
      <c r="AB81" s="60">
        <v>15.092997632496</v>
      </c>
      <c r="AC81" s="60">
        <v>0</v>
      </c>
      <c r="AD81" s="103">
        <v>1.238999844</v>
      </c>
      <c r="AE81" s="103">
        <v>1.238999844</v>
      </c>
      <c r="AF81" s="103">
        <v>0</v>
      </c>
      <c r="AG81" s="60">
        <v>904.94570005282</v>
      </c>
      <c r="AH81" s="60">
        <v>93.7053999900818</v>
      </c>
      <c r="AI81" s="60">
        <v>84.7080661310839</v>
      </c>
      <c r="AJ81" s="60"/>
      <c r="AK81" s="55">
        <v>246.405305</v>
      </c>
      <c r="AL81" s="60">
        <v>11.3</v>
      </c>
      <c r="AM81" s="60">
        <v>4</v>
      </c>
      <c r="AN81" s="60">
        <v>10.6</v>
      </c>
      <c r="AO81" s="60">
        <v>3.7</v>
      </c>
      <c r="AP81" s="60">
        <v>0</v>
      </c>
      <c r="AQ81" s="60">
        <v>0</v>
      </c>
      <c r="AR81" s="60">
        <v>0</v>
      </c>
      <c r="AS81" s="60">
        <v>17.4</v>
      </c>
      <c r="AT81" s="60">
        <f t="shared" si="31"/>
        <v>35.7</v>
      </c>
      <c r="AU81" s="60">
        <f t="shared" si="32"/>
        <v>75.9574468085106</v>
      </c>
      <c r="AV81" s="97">
        <v>0</v>
      </c>
      <c r="AW81" s="53" t="s">
        <v>439</v>
      </c>
      <c r="AX81" s="53" t="s">
        <v>408</v>
      </c>
      <c r="AY81" s="53" t="s">
        <v>408</v>
      </c>
      <c r="AZ81" s="53" t="s">
        <v>408</v>
      </c>
      <c r="BA81" s="53" t="s">
        <v>408</v>
      </c>
      <c r="BB81" s="53" t="s">
        <v>440</v>
      </c>
      <c r="BC81" s="56">
        <v>1</v>
      </c>
      <c r="BD81" s="56">
        <v>2</v>
      </c>
      <c r="BE81" s="96">
        <f>U81/((VLOOKUP(B81,'Cell-Characteristics'!$B$4:$E$34,3,FALSE)*VLOOKUP(B81,'Cell-Characteristics'!$B$4:$E$34,4,FALSE)*3600)/1000)</f>
        <v>1.98704456981744</v>
      </c>
      <c r="BF81" s="90">
        <f t="shared" si="23"/>
        <v>8766.31046901975</v>
      </c>
      <c r="BG81" s="90">
        <f t="shared" si="21"/>
        <v>64128.468611557</v>
      </c>
      <c r="BH81" s="90" t="e">
        <f t="shared" si="22"/>
        <v>#DIV/0!</v>
      </c>
      <c r="BI81" s="90">
        <f t="shared" si="24"/>
        <v>109985.095848067</v>
      </c>
      <c r="BJ81" s="90">
        <f>BF81/((VLOOKUP(B81,'Cell-Characteristics'!$B$4:$Q$34,13,FALSE)))</f>
        <v>238.616976128797</v>
      </c>
      <c r="BK81" s="90">
        <f>BG81/((VLOOKUP(B81,'Cell-Characteristics'!$B$4:$Q$34,14,FALSE)))</f>
        <v>25213.6779946359</v>
      </c>
      <c r="BL81" s="90" t="e">
        <f>BH81/((VLOOKUP(B81,'Cell-Characteristics'!$B$4:$Q$34,15,FALSE)))</f>
        <v>#DIV/0!</v>
      </c>
      <c r="BM81" s="90">
        <f>BI81/((VLOOKUP(B81,'Cell-Characteristics'!$B$4:$Q$34,16,FALSE)))</f>
        <v>2629.66220634808</v>
      </c>
      <c r="BN81" s="50">
        <f t="shared" si="25"/>
        <v>0.825999896</v>
      </c>
    </row>
    <row r="82" s="50" customFormat="1" ht="16.5" customHeight="1" spans="2:66">
      <c r="B82" s="53" t="s">
        <v>140</v>
      </c>
      <c r="C82" s="53" t="s">
        <v>441</v>
      </c>
      <c r="D82" s="53" t="s">
        <v>432</v>
      </c>
      <c r="E82" s="55" t="s">
        <v>228</v>
      </c>
      <c r="F82" s="56" t="s">
        <v>392</v>
      </c>
      <c r="G82" s="93" t="s">
        <v>393</v>
      </c>
      <c r="H82" s="57">
        <v>43032</v>
      </c>
      <c r="I82" s="58" t="s">
        <v>134</v>
      </c>
      <c r="J82" s="58">
        <v>100</v>
      </c>
      <c r="K82" s="59" t="s">
        <v>134</v>
      </c>
      <c r="L82" s="60">
        <v>47</v>
      </c>
      <c r="M82" s="60">
        <v>38.5</v>
      </c>
      <c r="N82" s="60">
        <v>37</v>
      </c>
      <c r="O82" s="59" t="s">
        <v>197</v>
      </c>
      <c r="P82" s="59" t="s">
        <v>197</v>
      </c>
      <c r="Q82" s="61" t="s">
        <v>381</v>
      </c>
      <c r="R82" s="62">
        <v>80.3242333905351</v>
      </c>
      <c r="S82" s="63">
        <v>0.06</v>
      </c>
      <c r="T82" s="63">
        <v>81.6182829785951</v>
      </c>
      <c r="U82" s="60">
        <v>90.4708116723551</v>
      </c>
      <c r="V82" s="60">
        <v>11.5609717587326</v>
      </c>
      <c r="W82" s="60">
        <v>78.3985944139403</v>
      </c>
      <c r="X82" s="60">
        <v>0.511245499682174</v>
      </c>
      <c r="Y82" s="60">
        <v>12.7786758458642</v>
      </c>
      <c r="Z82" s="60">
        <v>86.6562297438704</v>
      </c>
      <c r="AA82" s="60">
        <v>0.565094410265354</v>
      </c>
      <c r="AB82" s="60">
        <v>8.85252869376</v>
      </c>
      <c r="AC82" s="60">
        <v>0</v>
      </c>
      <c r="AD82" s="103">
        <v>0.417099953</v>
      </c>
      <c r="AE82" s="103">
        <v>1.463099957</v>
      </c>
      <c r="AF82" s="103">
        <v>0</v>
      </c>
      <c r="AG82" s="60">
        <v>898.917753256131</v>
      </c>
      <c r="AH82" s="60">
        <v>94.6164002418518</v>
      </c>
      <c r="AI82" s="60">
        <v>85.0793947103917</v>
      </c>
      <c r="AJ82" s="60"/>
      <c r="AK82" s="55">
        <v>255.214015</v>
      </c>
      <c r="AL82" s="60">
        <v>10.5</v>
      </c>
      <c r="AM82" s="60">
        <v>8.5</v>
      </c>
      <c r="AN82" s="60">
        <v>13.5</v>
      </c>
      <c r="AO82" s="60">
        <v>1.7</v>
      </c>
      <c r="AP82" s="60">
        <v>0</v>
      </c>
      <c r="AQ82" s="60">
        <v>0</v>
      </c>
      <c r="AR82" s="60">
        <v>0</v>
      </c>
      <c r="AS82" s="60">
        <v>12.8</v>
      </c>
      <c r="AT82" s="60">
        <f t="shared" si="31"/>
        <v>36.5</v>
      </c>
      <c r="AU82" s="60">
        <f t="shared" si="32"/>
        <v>77.6595744680851</v>
      </c>
      <c r="AV82" s="97">
        <v>0</v>
      </c>
      <c r="AW82" s="53" t="s">
        <v>442</v>
      </c>
      <c r="AX82" s="53" t="s">
        <v>408</v>
      </c>
      <c r="AY82" s="53" t="s">
        <v>408</v>
      </c>
      <c r="AZ82" s="53" t="s">
        <v>408</v>
      </c>
      <c r="BA82" s="53" t="s">
        <v>408</v>
      </c>
      <c r="BB82" s="53" t="s">
        <v>443</v>
      </c>
      <c r="BC82" s="56">
        <v>1</v>
      </c>
      <c r="BD82" s="56">
        <v>2</v>
      </c>
      <c r="BE82" s="96">
        <f>U82/((VLOOKUP(B82,'Cell-Characteristics'!$B$4:$E$34,3,FALSE)*VLOOKUP(B82,'Cell-Characteristics'!$B$4:$E$34,4,FALSE)*3600)/1000)</f>
        <v>1.97880165512588</v>
      </c>
      <c r="BF82" s="90">
        <f t="shared" si="23"/>
        <v>27717.5091379897</v>
      </c>
      <c r="BG82" s="90">
        <f t="shared" si="21"/>
        <v>53583.894961416</v>
      </c>
      <c r="BH82" s="90" t="e">
        <f t="shared" si="22"/>
        <v>#DIV/0!</v>
      </c>
      <c r="BI82" s="90">
        <f t="shared" si="24"/>
        <v>144352.966710367</v>
      </c>
      <c r="BJ82" s="90">
        <f>BF82/((VLOOKUP(B82,'Cell-Characteristics'!$B$4:$Q$34,13,FALSE)))</f>
        <v>754.464291414603</v>
      </c>
      <c r="BK82" s="90">
        <f>BG82/((VLOOKUP(B82,'Cell-Characteristics'!$B$4:$Q$34,14,FALSE)))</f>
        <v>21067.820618627</v>
      </c>
      <c r="BL82" s="90" t="e">
        <f>BH82/((VLOOKUP(B82,'Cell-Characteristics'!$B$4:$Q$34,15,FALSE)))</f>
        <v>#DIV/0!</v>
      </c>
      <c r="BM82" s="90">
        <f>BI82/((VLOOKUP(B82,'Cell-Characteristics'!$B$4:$Q$34,16,FALSE)))</f>
        <v>3451.37255193969</v>
      </c>
      <c r="BN82" s="50">
        <f t="shared" si="25"/>
        <v>0.626733303333333</v>
      </c>
    </row>
    <row r="83" s="50" customFormat="1" ht="16.5" customHeight="1" spans="2:66">
      <c r="B83" s="53" t="s">
        <v>140</v>
      </c>
      <c r="C83" s="53" t="s">
        <v>444</v>
      </c>
      <c r="D83" s="53" t="s">
        <v>432</v>
      </c>
      <c r="E83" s="55" t="s">
        <v>228</v>
      </c>
      <c r="F83" s="56" t="s">
        <v>392</v>
      </c>
      <c r="G83" s="93" t="s">
        <v>393</v>
      </c>
      <c r="H83" s="57">
        <v>43032</v>
      </c>
      <c r="I83" s="58" t="s">
        <v>134</v>
      </c>
      <c r="J83" s="58">
        <v>100</v>
      </c>
      <c r="K83" s="59" t="s">
        <v>134</v>
      </c>
      <c r="L83" s="60">
        <v>47</v>
      </c>
      <c r="M83" s="60">
        <v>38.4</v>
      </c>
      <c r="N83" s="60">
        <v>37</v>
      </c>
      <c r="O83" s="59" t="s">
        <v>197</v>
      </c>
      <c r="P83" s="59" t="s">
        <v>197</v>
      </c>
      <c r="Q83" s="61" t="s">
        <v>381</v>
      </c>
      <c r="R83" s="62">
        <v>85.6615063525513</v>
      </c>
      <c r="S83" s="63">
        <v>0.058</v>
      </c>
      <c r="T83" s="63">
        <v>86.7801275153507</v>
      </c>
      <c r="U83" s="60">
        <v>96.8249360430707</v>
      </c>
      <c r="V83" s="60">
        <v>10.8996934357049</v>
      </c>
      <c r="W83" s="60">
        <v>85.3191892826153</v>
      </c>
      <c r="X83" s="60">
        <v>0.606053324750528</v>
      </c>
      <c r="Y83" s="60">
        <v>11.2571140050703</v>
      </c>
      <c r="Z83" s="60">
        <v>88.1169590906445</v>
      </c>
      <c r="AA83" s="60">
        <v>0.625926904285211</v>
      </c>
      <c r="AB83" s="60">
        <v>10.04480852772</v>
      </c>
      <c r="AC83" s="60">
        <v>0</v>
      </c>
      <c r="AD83" s="103">
        <v>0.40199995</v>
      </c>
      <c r="AE83" s="103">
        <v>1.2020998</v>
      </c>
      <c r="AF83" s="103">
        <v>0</v>
      </c>
      <c r="AG83" s="60">
        <v>893.039974871632</v>
      </c>
      <c r="AH83" s="60">
        <v>92.6823000907898</v>
      </c>
      <c r="AI83" s="60">
        <v>82.7961457443262</v>
      </c>
      <c r="AJ83" s="60"/>
      <c r="AK83" s="55">
        <v>259.66574</v>
      </c>
      <c r="AL83" s="60">
        <v>12</v>
      </c>
      <c r="AM83" s="60">
        <v>0.2</v>
      </c>
      <c r="AN83" s="60">
        <v>16.9</v>
      </c>
      <c r="AO83" s="60">
        <v>3.1</v>
      </c>
      <c r="AP83" s="60">
        <v>0</v>
      </c>
      <c r="AQ83" s="60">
        <v>0</v>
      </c>
      <c r="AR83" s="60">
        <v>0</v>
      </c>
      <c r="AS83" s="60">
        <v>14.8</v>
      </c>
      <c r="AT83" s="60">
        <f t="shared" si="31"/>
        <v>35</v>
      </c>
      <c r="AU83" s="60">
        <f t="shared" si="32"/>
        <v>74.468085106383</v>
      </c>
      <c r="AV83" s="97">
        <v>0</v>
      </c>
      <c r="AW83" s="53" t="s">
        <v>445</v>
      </c>
      <c r="AX83" s="53" t="s">
        <v>408</v>
      </c>
      <c r="AY83" s="53" t="s">
        <v>408</v>
      </c>
      <c r="AZ83" s="53" t="s">
        <v>408</v>
      </c>
      <c r="BA83" s="53" t="s">
        <v>408</v>
      </c>
      <c r="BB83" s="53" t="s">
        <v>134</v>
      </c>
      <c r="BC83" s="56">
        <v>1</v>
      </c>
      <c r="BD83" s="56">
        <v>2</v>
      </c>
      <c r="BE83" s="96">
        <f>U83/((VLOOKUP(B83,'Cell-Characteristics'!$B$4:$E$34,3,FALSE)*VLOOKUP(B83,'Cell-Characteristics'!$B$4:$E$34,4,FALSE)*3600)/1000)</f>
        <v>2.117780753348</v>
      </c>
      <c r="BF83" s="90">
        <f t="shared" si="23"/>
        <v>27113.6686352943</v>
      </c>
      <c r="BG83" s="90">
        <f t="shared" si="21"/>
        <v>70975.1297542977</v>
      </c>
      <c r="BH83" s="90" t="e">
        <f t="shared" si="22"/>
        <v>#DIV/0!</v>
      </c>
      <c r="BI83" s="90">
        <f t="shared" si="24"/>
        <v>181082.7588055</v>
      </c>
      <c r="BJ83" s="90">
        <f>BF83/((VLOOKUP(B83,'Cell-Characteristics'!$B$4:$Q$34,13,FALSE)))</f>
        <v>738.027890339547</v>
      </c>
      <c r="BK83" s="90">
        <f>BG83/((VLOOKUP(B83,'Cell-Characteristics'!$B$4:$Q$34,14,FALSE)))</f>
        <v>27905.6105033804</v>
      </c>
      <c r="BL83" s="90" t="e">
        <f>BH83/((VLOOKUP(B83,'Cell-Characteristics'!$B$4:$Q$34,15,FALSE)))</f>
        <v>#DIV/0!</v>
      </c>
      <c r="BM83" s="90">
        <f>BI83/((VLOOKUP(B83,'Cell-Characteristics'!$B$4:$Q$34,16,FALSE)))</f>
        <v>4329.55468539</v>
      </c>
      <c r="BN83" s="50">
        <f t="shared" si="25"/>
        <v>0.534699916666667</v>
      </c>
    </row>
    <row r="84" s="50" customFormat="1" ht="16.5" customHeight="1" spans="2:66">
      <c r="B84" s="53" t="s">
        <v>140</v>
      </c>
      <c r="C84" s="53" t="s">
        <v>446</v>
      </c>
      <c r="D84" s="53" t="s">
        <v>432</v>
      </c>
      <c r="E84" s="55" t="s">
        <v>228</v>
      </c>
      <c r="F84" s="56" t="s">
        <v>392</v>
      </c>
      <c r="G84" s="93" t="s">
        <v>393</v>
      </c>
      <c r="H84" s="57">
        <v>43033</v>
      </c>
      <c r="I84" s="58" t="s">
        <v>134</v>
      </c>
      <c r="J84" s="58">
        <v>100</v>
      </c>
      <c r="K84" s="59" t="s">
        <v>134</v>
      </c>
      <c r="L84" s="60">
        <v>47</v>
      </c>
      <c r="M84" s="60">
        <v>37</v>
      </c>
      <c r="N84" s="60">
        <v>37</v>
      </c>
      <c r="O84" s="59" t="s">
        <v>197</v>
      </c>
      <c r="P84" s="59" t="s">
        <v>197</v>
      </c>
      <c r="Q84" s="61" t="s">
        <v>381</v>
      </c>
      <c r="R84" s="62">
        <v>84.0738406876546</v>
      </c>
      <c r="S84" s="63">
        <v>0.058</v>
      </c>
      <c r="T84" s="63">
        <v>85.068624512308</v>
      </c>
      <c r="U84" s="60">
        <v>95.77772931553</v>
      </c>
      <c r="V84" s="60">
        <v>7.34090007739206</v>
      </c>
      <c r="W84" s="60">
        <v>87.9065467278384</v>
      </c>
      <c r="X84" s="60">
        <v>0.53028251029955</v>
      </c>
      <c r="Y84" s="60">
        <v>7.66451671996546</v>
      </c>
      <c r="Z84" s="60">
        <v>91.781823766399</v>
      </c>
      <c r="AA84" s="60">
        <v>0.553659513635564</v>
      </c>
      <c r="AB84" s="60">
        <v>10.709104803222</v>
      </c>
      <c r="AC84" s="60">
        <v>0</v>
      </c>
      <c r="AD84" s="103">
        <v>0.631100178</v>
      </c>
      <c r="AE84" s="103">
        <v>0.631100178</v>
      </c>
      <c r="AF84" s="103">
        <v>0</v>
      </c>
      <c r="AG84" s="60">
        <v>923.482020846711</v>
      </c>
      <c r="AH84" s="60">
        <v>95.5803999900818</v>
      </c>
      <c r="AI84" s="60">
        <v>89.1761264794205</v>
      </c>
      <c r="AJ84" s="60"/>
      <c r="AK84" s="55">
        <v>254.506235</v>
      </c>
      <c r="AL84" s="60">
        <v>7.6</v>
      </c>
      <c r="AM84" s="60">
        <v>5.4</v>
      </c>
      <c r="AN84" s="60">
        <v>17.7</v>
      </c>
      <c r="AO84" s="60">
        <v>4.4</v>
      </c>
      <c r="AP84" s="60">
        <v>0</v>
      </c>
      <c r="AQ84" s="60">
        <v>0</v>
      </c>
      <c r="AR84" s="60">
        <v>0</v>
      </c>
      <c r="AS84" s="60">
        <v>11.9</v>
      </c>
      <c r="AT84" s="60">
        <f t="shared" si="31"/>
        <v>39.4</v>
      </c>
      <c r="AU84" s="60">
        <f t="shared" si="32"/>
        <v>83.8297872340426</v>
      </c>
      <c r="AV84" s="97">
        <v>0</v>
      </c>
      <c r="AW84" s="53" t="s">
        <v>447</v>
      </c>
      <c r="AX84" s="53" t="s">
        <v>408</v>
      </c>
      <c r="AY84" s="53" t="s">
        <v>408</v>
      </c>
      <c r="AZ84" s="53" t="s">
        <v>408</v>
      </c>
      <c r="BA84" s="53" t="s">
        <v>408</v>
      </c>
      <c r="BB84" s="53" t="s">
        <v>134</v>
      </c>
      <c r="BC84" s="56">
        <v>0</v>
      </c>
      <c r="BD84" s="56">
        <v>0</v>
      </c>
      <c r="BE84" s="96">
        <f>U84/((VLOOKUP(B84,'Cell-Characteristics'!$B$4:$E$34,3,FALSE)*VLOOKUP(B84,'Cell-Characteristics'!$B$4:$E$34,4,FALSE)*3600)/1000)</f>
        <v>2.09487596928106</v>
      </c>
      <c r="BF84" s="90">
        <f t="shared" si="23"/>
        <v>11631.9093755541</v>
      </c>
      <c r="BG84" s="90">
        <f t="shared" si="21"/>
        <v>139290.955370066</v>
      </c>
      <c r="BH84" s="90" t="e">
        <f t="shared" si="22"/>
        <v>#DIV/0!</v>
      </c>
      <c r="BI84" s="90">
        <f t="shared" si="24"/>
        <v>227644.673510606</v>
      </c>
      <c r="BJ84" s="90">
        <f>BF84/((VLOOKUP(B84,'Cell-Characteristics'!$B$4:$Q$34,13,FALSE)))</f>
        <v>316.617926276719</v>
      </c>
      <c r="BK84" s="90">
        <f>BG84/((VLOOKUP(B84,'Cell-Characteristics'!$B$4:$Q$34,14,FALSE)))</f>
        <v>54765.6504561082</v>
      </c>
      <c r="BL84" s="90" t="e">
        <f>BH84/((VLOOKUP(B84,'Cell-Characteristics'!$B$4:$Q$34,15,FALSE)))</f>
        <v>#DIV/0!</v>
      </c>
      <c r="BM84" s="90">
        <f>BI84/((VLOOKUP(B84,'Cell-Characteristics'!$B$4:$Q$34,16,FALSE)))</f>
        <v>5442.81559052537</v>
      </c>
      <c r="BN84" s="50">
        <f t="shared" si="25"/>
        <v>0.420733452</v>
      </c>
    </row>
    <row r="85" s="50" customFormat="1" ht="16.5" customHeight="1" spans="2:66">
      <c r="B85" s="53" t="s">
        <v>140</v>
      </c>
      <c r="C85" s="53" t="s">
        <v>448</v>
      </c>
      <c r="D85" s="53" t="s">
        <v>432</v>
      </c>
      <c r="E85" s="55" t="s">
        <v>228</v>
      </c>
      <c r="F85" s="56" t="s">
        <v>392</v>
      </c>
      <c r="G85" s="93" t="s">
        <v>393</v>
      </c>
      <c r="H85" s="57">
        <v>43033</v>
      </c>
      <c r="I85" s="58" t="s">
        <v>134</v>
      </c>
      <c r="J85" s="58">
        <v>100</v>
      </c>
      <c r="K85" s="59" t="s">
        <v>134</v>
      </c>
      <c r="L85" s="60">
        <v>47</v>
      </c>
      <c r="M85" s="60">
        <v>37.3</v>
      </c>
      <c r="N85" s="60">
        <v>37</v>
      </c>
      <c r="O85" s="59" t="s">
        <v>197</v>
      </c>
      <c r="P85" s="59" t="s">
        <v>197</v>
      </c>
      <c r="Q85" s="61" t="s">
        <v>381</v>
      </c>
      <c r="R85" s="62">
        <v>84.6932847205855</v>
      </c>
      <c r="S85" s="63">
        <v>0.058</v>
      </c>
      <c r="T85" s="63">
        <v>85.6600085575743</v>
      </c>
      <c r="U85" s="60">
        <v>92.4404314638147</v>
      </c>
      <c r="V85" s="60">
        <v>10.5041639888307</v>
      </c>
      <c r="W85" s="60">
        <v>81.4422274493312</v>
      </c>
      <c r="X85" s="60">
        <v>0.494040025652849</v>
      </c>
      <c r="Y85" s="60">
        <v>11.3631706629825</v>
      </c>
      <c r="Z85" s="60">
        <v>88.1023878401209</v>
      </c>
      <c r="AA85" s="60">
        <v>0.534441496896559</v>
      </c>
      <c r="AB85" s="60">
        <v>6.7804229062404</v>
      </c>
      <c r="AC85" s="60">
        <v>0</v>
      </c>
      <c r="AD85" s="103">
        <v>0.525100231</v>
      </c>
      <c r="AE85" s="103">
        <v>1.461100101</v>
      </c>
      <c r="AF85" s="103">
        <v>0</v>
      </c>
      <c r="AG85" s="60">
        <v>943.875041166855</v>
      </c>
      <c r="AH85" s="60">
        <v>92.1361999511719</v>
      </c>
      <c r="AI85" s="60">
        <v>86.979664250671</v>
      </c>
      <c r="AJ85" s="60"/>
      <c r="AK85" s="55">
        <v>281.9763</v>
      </c>
      <c r="AL85" s="60">
        <v>9.38</v>
      </c>
      <c r="AM85" s="60">
        <v>7.52</v>
      </c>
      <c r="AN85" s="60">
        <v>15.05</v>
      </c>
      <c r="AO85" s="60">
        <v>2.27</v>
      </c>
      <c r="AP85" s="60">
        <v>0</v>
      </c>
      <c r="AQ85" s="60">
        <v>0</v>
      </c>
      <c r="AR85" s="60">
        <v>0</v>
      </c>
      <c r="AS85" s="60">
        <v>12.78</v>
      </c>
      <c r="AT85" s="60">
        <f t="shared" si="31"/>
        <v>37.62</v>
      </c>
      <c r="AU85" s="60">
        <f t="shared" si="32"/>
        <v>80.0425531914893</v>
      </c>
      <c r="AV85" s="97">
        <v>0</v>
      </c>
      <c r="AW85" s="53" t="s">
        <v>449</v>
      </c>
      <c r="AX85" s="53" t="s">
        <v>408</v>
      </c>
      <c r="AY85" s="53" t="s">
        <v>408</v>
      </c>
      <c r="AZ85" s="53" t="s">
        <v>408</v>
      </c>
      <c r="BA85" s="53" t="s">
        <v>408</v>
      </c>
      <c r="BB85" s="53" t="s">
        <v>134</v>
      </c>
      <c r="BC85" s="56">
        <v>1</v>
      </c>
      <c r="BD85" s="56">
        <v>2</v>
      </c>
      <c r="BE85" s="96">
        <f>U85/((VLOOKUP(B85,'Cell-Characteristics'!$B$4:$E$34,3,FALSE)*VLOOKUP(B85,'Cell-Characteristics'!$B$4:$E$34,4,FALSE)*3600)/1000)</f>
        <v>2.02188170305806</v>
      </c>
      <c r="BF85" s="90">
        <f t="shared" si="23"/>
        <v>20004.1122983826</v>
      </c>
      <c r="BG85" s="90">
        <f t="shared" si="21"/>
        <v>55740.3475597536</v>
      </c>
      <c r="BH85" s="90" t="e">
        <f t="shared" si="22"/>
        <v>#DIV/0!</v>
      </c>
      <c r="BI85" s="90">
        <f t="shared" si="24"/>
        <v>139624.029823918</v>
      </c>
      <c r="BJ85" s="90">
        <f>BF85/((VLOOKUP(B85,'Cell-Characteristics'!$B$4:$Q$34,13,FALSE)))</f>
        <v>544.50738468024</v>
      </c>
      <c r="BK85" s="90">
        <f>BG85/((VLOOKUP(B85,'Cell-Characteristics'!$B$4:$Q$34,14,FALSE)))</f>
        <v>21915.682770997</v>
      </c>
      <c r="BL85" s="90" t="e">
        <f>BH85/((VLOOKUP(B85,'Cell-Characteristics'!$B$4:$Q$34,15,FALSE)))</f>
        <v>#DIV/0!</v>
      </c>
      <c r="BM85" s="90">
        <f>BI85/((VLOOKUP(B85,'Cell-Characteristics'!$B$4:$Q$34,16,FALSE)))</f>
        <v>3338.30717239337</v>
      </c>
      <c r="BN85" s="50">
        <f t="shared" si="25"/>
        <v>0.662066777333333</v>
      </c>
    </row>
    <row r="86" s="50" customFormat="1" ht="16.5" customHeight="1" spans="2:66">
      <c r="B86" s="53" t="s">
        <v>140</v>
      </c>
      <c r="C86" s="53" t="s">
        <v>450</v>
      </c>
      <c r="D86" s="53" t="s">
        <v>451</v>
      </c>
      <c r="E86" s="55" t="s">
        <v>228</v>
      </c>
      <c r="F86" s="56" t="s">
        <v>392</v>
      </c>
      <c r="G86" s="93" t="s">
        <v>393</v>
      </c>
      <c r="H86" s="57">
        <v>43059</v>
      </c>
      <c r="I86" s="58" t="s">
        <v>134</v>
      </c>
      <c r="J86" s="58">
        <v>100</v>
      </c>
      <c r="K86" s="59" t="s">
        <v>134</v>
      </c>
      <c r="L86" s="60">
        <v>47</v>
      </c>
      <c r="M86" s="60">
        <v>37.1</v>
      </c>
      <c r="N86" s="60">
        <v>37</v>
      </c>
      <c r="O86" s="59" t="s">
        <v>197</v>
      </c>
      <c r="P86" s="59" t="s">
        <v>197</v>
      </c>
      <c r="Q86" s="61" t="s">
        <v>381</v>
      </c>
      <c r="R86" s="62">
        <v>71.9846465059125</v>
      </c>
      <c r="S86" s="63">
        <v>0.032</v>
      </c>
      <c r="T86" s="63">
        <v>72.6519014334999</v>
      </c>
      <c r="U86" s="60">
        <v>81.1946602196559</v>
      </c>
      <c r="V86" s="60">
        <v>8.77786069163179</v>
      </c>
      <c r="W86" s="60">
        <v>71.7543212104426</v>
      </c>
      <c r="X86" s="60">
        <v>0.662478317581585</v>
      </c>
      <c r="Y86" s="60">
        <v>10.8108841984005</v>
      </c>
      <c r="Z86" s="60">
        <v>88.3732021494093</v>
      </c>
      <c r="AA86" s="60">
        <v>0.815913652190159</v>
      </c>
      <c r="AB86" s="60">
        <v>8.542758786156</v>
      </c>
      <c r="AC86" s="60">
        <v>0</v>
      </c>
      <c r="AD86" s="103">
        <v>0.704999924</v>
      </c>
      <c r="AE86" s="103">
        <v>1.730099678</v>
      </c>
      <c r="AF86" s="103">
        <v>0</v>
      </c>
      <c r="AG86" s="60">
        <v>942.328128738741</v>
      </c>
      <c r="AH86" s="60">
        <v>95.0965003967285</v>
      </c>
      <c r="AI86" s="60">
        <v>89.7290863800535</v>
      </c>
      <c r="AJ86" s="60"/>
      <c r="AK86" s="55">
        <v>294.54362</v>
      </c>
      <c r="AL86" s="60">
        <v>9.8</v>
      </c>
      <c r="AM86" s="60">
        <v>8.2</v>
      </c>
      <c r="AN86" s="60">
        <v>12.2</v>
      </c>
      <c r="AO86" s="60">
        <v>2.1</v>
      </c>
      <c r="AP86" s="60">
        <v>0</v>
      </c>
      <c r="AQ86" s="60">
        <v>0</v>
      </c>
      <c r="AR86" s="60">
        <v>0</v>
      </c>
      <c r="AS86" s="60">
        <v>14.7</v>
      </c>
      <c r="AT86" s="60">
        <f t="shared" si="31"/>
        <v>37.2</v>
      </c>
      <c r="AU86" s="60">
        <f t="shared" si="32"/>
        <v>79.1489361702128</v>
      </c>
      <c r="AV86" s="97">
        <v>0</v>
      </c>
      <c r="AW86" s="53" t="s">
        <v>452</v>
      </c>
      <c r="AX86" s="53" t="s">
        <v>408</v>
      </c>
      <c r="AY86" s="53" t="s">
        <v>408</v>
      </c>
      <c r="AZ86" s="53" t="s">
        <v>408</v>
      </c>
      <c r="BA86" s="53" t="s">
        <v>408</v>
      </c>
      <c r="BB86" s="53" t="s">
        <v>134</v>
      </c>
      <c r="BC86" s="56">
        <v>1</v>
      </c>
      <c r="BD86" s="56">
        <v>2</v>
      </c>
      <c r="BE86" s="96">
        <f>U86/((VLOOKUP(B86,'Cell-Characteristics'!$B$4:$E$34,3,FALSE)*VLOOKUP(B86,'Cell-Characteristics'!$B$4:$E$34,4,FALSE)*3600)/1000)</f>
        <v>1.77591120340455</v>
      </c>
      <c r="BF86" s="90">
        <f t="shared" si="23"/>
        <v>12450.8675714861</v>
      </c>
      <c r="BG86" s="90">
        <f t="shared" si="21"/>
        <v>41474.0966216413</v>
      </c>
      <c r="BH86" s="90" t="e">
        <f t="shared" si="22"/>
        <v>#DIV/0!</v>
      </c>
      <c r="BI86" s="90">
        <f t="shared" si="24"/>
        <v>100030.397302397</v>
      </c>
      <c r="BJ86" s="90">
        <f>BF86/((VLOOKUP(B86,'Cell-Characteristics'!$B$4:$Q$34,13,FALSE)))</f>
        <v>338.909782010075</v>
      </c>
      <c r="BK86" s="90">
        <f>BG86/((VLOOKUP(B86,'Cell-Characteristics'!$B$4:$Q$34,14,FALSE)))</f>
        <v>16306.5568222227</v>
      </c>
      <c r="BL86" s="90" t="e">
        <f>BH86/((VLOOKUP(B86,'Cell-Characteristics'!$B$4:$Q$34,15,FALSE)))</f>
        <v>#DIV/0!</v>
      </c>
      <c r="BM86" s="90">
        <f>BI86/((VLOOKUP(B86,'Cell-Characteristics'!$B$4:$Q$34,16,FALSE)))</f>
        <v>2391.65273479841</v>
      </c>
      <c r="BN86" s="50">
        <f t="shared" si="25"/>
        <v>0.811699867333333</v>
      </c>
    </row>
    <row r="87" s="50" customFormat="1" ht="16.5" customHeight="1" spans="2:66">
      <c r="B87" s="53" t="s">
        <v>140</v>
      </c>
      <c r="C87" s="53" t="s">
        <v>453</v>
      </c>
      <c r="D87" s="53" t="s">
        <v>451</v>
      </c>
      <c r="E87" s="55" t="s">
        <v>228</v>
      </c>
      <c r="F87" s="56" t="s">
        <v>392</v>
      </c>
      <c r="G87" s="93" t="s">
        <v>393</v>
      </c>
      <c r="H87" s="57">
        <v>43059</v>
      </c>
      <c r="I87" s="58" t="s">
        <v>134</v>
      </c>
      <c r="J87" s="58">
        <v>100</v>
      </c>
      <c r="K87" s="59" t="s">
        <v>134</v>
      </c>
      <c r="L87" s="60">
        <v>47</v>
      </c>
      <c r="M87" s="60">
        <v>38.4</v>
      </c>
      <c r="N87" s="60">
        <v>37.3</v>
      </c>
      <c r="O87" s="59" t="s">
        <v>197</v>
      </c>
      <c r="P87" s="59" t="s">
        <v>197</v>
      </c>
      <c r="Q87" s="61" t="s">
        <v>407</v>
      </c>
      <c r="R87" s="62">
        <v>81.6020981460262</v>
      </c>
      <c r="S87" s="63">
        <v>0.029</v>
      </c>
      <c r="T87" s="63">
        <v>82.2790779561838</v>
      </c>
      <c r="U87" s="60">
        <v>86.7463230151918</v>
      </c>
      <c r="V87" s="60">
        <v>27.3723546950036</v>
      </c>
      <c r="W87" s="60">
        <v>45.0071992513004</v>
      </c>
      <c r="X87" s="60">
        <v>14.3667690688879</v>
      </c>
      <c r="Y87" s="60">
        <v>31.5544840905935</v>
      </c>
      <c r="Z87" s="60">
        <v>51.8836968379839</v>
      </c>
      <c r="AA87" s="60">
        <v>16.5618190714226</v>
      </c>
      <c r="AB87" s="60">
        <v>3.996398692368</v>
      </c>
      <c r="AC87" s="60">
        <v>0.47084636664</v>
      </c>
      <c r="AD87" s="103">
        <v>0.715100288</v>
      </c>
      <c r="AE87" s="103">
        <v>0.613100052</v>
      </c>
      <c r="AF87" s="103">
        <v>1.427100182</v>
      </c>
      <c r="AG87" s="60">
        <v>941.0562670689</v>
      </c>
      <c r="AH87" s="60">
        <v>91.0882000923157</v>
      </c>
      <c r="AI87" s="60">
        <v>85.8090398975108</v>
      </c>
      <c r="AJ87" s="60"/>
      <c r="AK87" s="55">
        <v>278.19856</v>
      </c>
      <c r="AL87" s="60">
        <v>20.2</v>
      </c>
      <c r="AM87" s="60">
        <v>0.5</v>
      </c>
      <c r="AN87" s="60">
        <v>7.7</v>
      </c>
      <c r="AO87" s="60">
        <v>0.5</v>
      </c>
      <c r="AP87" s="60">
        <v>1.3</v>
      </c>
      <c r="AQ87" s="60">
        <v>2.1</v>
      </c>
      <c r="AR87" s="60">
        <v>0.3</v>
      </c>
      <c r="AS87" s="60">
        <v>14.4</v>
      </c>
      <c r="AT87" s="60">
        <f t="shared" si="31"/>
        <v>26.8</v>
      </c>
      <c r="AU87" s="60">
        <f t="shared" si="32"/>
        <v>57.0212765957447</v>
      </c>
      <c r="AV87" s="97">
        <v>0</v>
      </c>
      <c r="AW87" s="53" t="s">
        <v>454</v>
      </c>
      <c r="AX87" s="53" t="s">
        <v>408</v>
      </c>
      <c r="AY87" s="53" t="s">
        <v>408</v>
      </c>
      <c r="AZ87" s="53" t="s">
        <v>408</v>
      </c>
      <c r="BA87" s="53" t="s">
        <v>408</v>
      </c>
      <c r="BB87" s="53" t="s">
        <v>134</v>
      </c>
      <c r="BC87" s="56">
        <v>1</v>
      </c>
      <c r="BD87" s="56">
        <v>2</v>
      </c>
      <c r="BE87" s="96">
        <f>U87/((VLOOKUP(B87,'Cell-Characteristics'!$B$4:$E$34,3,FALSE)*VLOOKUP(B87,'Cell-Characteristics'!$B$4:$E$34,4,FALSE)*3600)/1000)</f>
        <v>1.89733864862624</v>
      </c>
      <c r="BF87" s="90">
        <f t="shared" si="23"/>
        <v>38277.6446245867</v>
      </c>
      <c r="BG87" s="90">
        <f t="shared" si="21"/>
        <v>73409.2243255925</v>
      </c>
      <c r="BH87" s="90">
        <f t="shared" si="22"/>
        <v>10067.1061850428</v>
      </c>
      <c r="BI87" s="90">
        <f t="shared" si="24"/>
        <v>94450.3029588493</v>
      </c>
      <c r="BJ87" s="90">
        <f>BF87/((VLOOKUP(B87,'Cell-Characteristics'!$B$4:$Q$34,13,FALSE)))</f>
        <v>1041.90877632388</v>
      </c>
      <c r="BK87" s="90">
        <f>BG87/((VLOOKUP(B87,'Cell-Characteristics'!$B$4:$Q$34,14,FALSE)))</f>
        <v>28862.6343971033</v>
      </c>
      <c r="BL87" s="90">
        <f>BH87/((VLOOKUP(B87,'Cell-Characteristics'!$B$4:$Q$34,15,FALSE)))</f>
        <v>3958.12934852668</v>
      </c>
      <c r="BM87" s="90">
        <f>BI87/((VLOOKUP(B87,'Cell-Characteristics'!$B$4:$Q$34,16,FALSE)))</f>
        <v>2258.23681066853</v>
      </c>
      <c r="BN87" s="50">
        <f t="shared" si="25"/>
        <v>0.918433507333333</v>
      </c>
    </row>
    <row r="88" s="50" customFormat="1" ht="16.5" customHeight="1" spans="2:66">
      <c r="B88" s="53" t="s">
        <v>140</v>
      </c>
      <c r="C88" s="53" t="s">
        <v>455</v>
      </c>
      <c r="D88" s="53" t="s">
        <v>451</v>
      </c>
      <c r="E88" s="55" t="s">
        <v>228</v>
      </c>
      <c r="F88" s="56" t="s">
        <v>392</v>
      </c>
      <c r="G88" s="93" t="s">
        <v>393</v>
      </c>
      <c r="H88" s="57">
        <v>43059</v>
      </c>
      <c r="I88" s="58" t="s">
        <v>134</v>
      </c>
      <c r="J88" s="58">
        <v>100</v>
      </c>
      <c r="K88" s="59" t="s">
        <v>134</v>
      </c>
      <c r="L88" s="60">
        <v>47</v>
      </c>
      <c r="M88" s="60">
        <v>37.9</v>
      </c>
      <c r="N88" s="60">
        <v>37</v>
      </c>
      <c r="O88" s="59" t="s">
        <v>197</v>
      </c>
      <c r="P88" s="59" t="s">
        <v>197</v>
      </c>
      <c r="Q88" s="61" t="s">
        <v>381</v>
      </c>
      <c r="R88" s="62">
        <v>87.2572611767409</v>
      </c>
      <c r="S88" s="63">
        <v>0.033</v>
      </c>
      <c r="T88" s="63">
        <v>87.7154487157914</v>
      </c>
      <c r="U88" s="60">
        <v>100.374859461647</v>
      </c>
      <c r="V88" s="60">
        <v>17.4382365383694</v>
      </c>
      <c r="W88" s="60">
        <v>81.6114789599592</v>
      </c>
      <c r="X88" s="60">
        <v>1.32514396331876</v>
      </c>
      <c r="Y88" s="60">
        <v>17.3731117850605</v>
      </c>
      <c r="Z88" s="60">
        <v>81.306693127817</v>
      </c>
      <c r="AA88" s="60">
        <v>1.32019508712248</v>
      </c>
      <c r="AB88" s="60">
        <v>12.659410745856</v>
      </c>
      <c r="AC88" s="60">
        <v>0</v>
      </c>
      <c r="AD88" s="103">
        <v>0.513000011</v>
      </c>
      <c r="AE88" s="103">
        <v>0.410999775</v>
      </c>
      <c r="AF88" s="103">
        <v>0</v>
      </c>
      <c r="AG88" s="60">
        <v>939.893592673748</v>
      </c>
      <c r="AH88" s="60">
        <v>95.9805002212524</v>
      </c>
      <c r="AI88" s="60">
        <v>90.3010489511196</v>
      </c>
      <c r="AJ88" s="60"/>
      <c r="AK88" s="55">
        <v>312.43869</v>
      </c>
      <c r="AL88" s="60">
        <v>13.9</v>
      </c>
      <c r="AM88" s="60">
        <v>0.6</v>
      </c>
      <c r="AN88" s="60">
        <v>17.7</v>
      </c>
      <c r="AO88" s="60">
        <v>0.1</v>
      </c>
      <c r="AP88" s="60">
        <v>0</v>
      </c>
      <c r="AQ88" s="60">
        <v>0</v>
      </c>
      <c r="AR88" s="60">
        <v>0</v>
      </c>
      <c r="AS88" s="60">
        <v>14.7</v>
      </c>
      <c r="AT88" s="60">
        <f t="shared" si="31"/>
        <v>33.1</v>
      </c>
      <c r="AU88" s="60">
        <f t="shared" si="32"/>
        <v>70.4255319148936</v>
      </c>
      <c r="AV88" s="97">
        <v>0</v>
      </c>
      <c r="AW88" s="53" t="s">
        <v>456</v>
      </c>
      <c r="AX88" s="53" t="s">
        <v>408</v>
      </c>
      <c r="AY88" s="53" t="s">
        <v>408</v>
      </c>
      <c r="AZ88" s="53" t="s">
        <v>408</v>
      </c>
      <c r="BA88" s="53" t="s">
        <v>408</v>
      </c>
      <c r="BB88" s="53" t="s">
        <v>134</v>
      </c>
      <c r="BC88" s="56">
        <v>3</v>
      </c>
      <c r="BD88" s="56">
        <v>6</v>
      </c>
      <c r="BE88" s="96">
        <f>U88/((VLOOKUP(B88,'Cell-Characteristics'!$B$4:$E$34,3,FALSE)*VLOOKUP(B88,'Cell-Characteristics'!$B$4:$E$34,4,FALSE)*3600)/1000)</f>
        <v>2.19542562252072</v>
      </c>
      <c r="BF88" s="90">
        <f t="shared" si="23"/>
        <v>33992.6630885967</v>
      </c>
      <c r="BG88" s="90">
        <f t="shared" si="21"/>
        <v>198568.184033578</v>
      </c>
      <c r="BH88" s="90" t="e">
        <f t="shared" si="22"/>
        <v>#DIV/0!</v>
      </c>
      <c r="BI88" s="90">
        <f t="shared" si="24"/>
        <v>325892.476326766</v>
      </c>
      <c r="BJ88" s="90">
        <f>BF88/((VLOOKUP(B88,'Cell-Characteristics'!$B$4:$Q$34,13,FALSE)))</f>
        <v>925.272553993051</v>
      </c>
      <c r="BK88" s="90">
        <f>BG88/((VLOOKUP(B88,'Cell-Characteristics'!$B$4:$Q$34,14,FALSE)))</f>
        <v>78071.9446542338</v>
      </c>
      <c r="BL88" s="90" t="e">
        <f>BH88/((VLOOKUP(B88,'Cell-Characteristics'!$B$4:$Q$34,15,FALSE)))</f>
        <v>#DIV/0!</v>
      </c>
      <c r="BM88" s="90">
        <f>BI88/((VLOOKUP(B88,'Cell-Characteristics'!$B$4:$Q$34,16,FALSE)))</f>
        <v>7791.84781102997</v>
      </c>
      <c r="BN88" s="50">
        <f t="shared" si="25"/>
        <v>0.307999928666667</v>
      </c>
    </row>
    <row r="89" s="50" customFormat="1" ht="16.5" customHeight="1" spans="2:66">
      <c r="B89" s="53" t="s">
        <v>140</v>
      </c>
      <c r="C89" s="107" t="s">
        <v>457</v>
      </c>
      <c r="D89" s="53" t="s">
        <v>391</v>
      </c>
      <c r="E89" s="55" t="s">
        <v>228</v>
      </c>
      <c r="F89" s="56" t="s">
        <v>392</v>
      </c>
      <c r="G89" s="93" t="s">
        <v>393</v>
      </c>
      <c r="H89" s="57">
        <v>43141</v>
      </c>
      <c r="I89" s="58" t="s">
        <v>134</v>
      </c>
      <c r="J89" s="58">
        <v>100</v>
      </c>
      <c r="K89" s="59" t="s">
        <v>134</v>
      </c>
      <c r="L89" s="60">
        <v>47</v>
      </c>
      <c r="M89" s="60">
        <v>37</v>
      </c>
      <c r="N89" s="60">
        <v>37</v>
      </c>
      <c r="O89" s="59" t="s">
        <v>197</v>
      </c>
      <c r="P89" s="59" t="s">
        <v>198</v>
      </c>
      <c r="Q89" s="61" t="s">
        <v>381</v>
      </c>
      <c r="R89" s="62">
        <v>77.8732748273608</v>
      </c>
      <c r="S89" s="63">
        <v>0.041</v>
      </c>
      <c r="T89" s="63">
        <v>79.2117224126539</v>
      </c>
      <c r="U89" s="60">
        <v>88.6846914796939</v>
      </c>
      <c r="V89" s="60">
        <v>13.9862763208137</v>
      </c>
      <c r="W89" s="60">
        <v>73.309565734333</v>
      </c>
      <c r="X89" s="60">
        <v>1.38884942454717</v>
      </c>
      <c r="Y89" s="60">
        <v>15.7707898482301</v>
      </c>
      <c r="Z89" s="60">
        <v>82.6631569791486</v>
      </c>
      <c r="AA89" s="60">
        <v>1.56605317262131</v>
      </c>
      <c r="AB89" s="60">
        <v>9.47296906704</v>
      </c>
      <c r="AC89" s="60">
        <v>0</v>
      </c>
      <c r="AD89" s="103">
        <v>0.799099922</v>
      </c>
      <c r="AE89" s="103">
        <v>1.5</v>
      </c>
      <c r="AF89" s="103">
        <v>0</v>
      </c>
      <c r="AG89" s="60">
        <v>880.580560032745</v>
      </c>
      <c r="AH89" s="60">
        <v>101.738200187683</v>
      </c>
      <c r="AI89" s="60">
        <v>92.2935284903007</v>
      </c>
      <c r="AJ89" s="60"/>
      <c r="AK89" s="55">
        <v>247.36046</v>
      </c>
      <c r="AL89" s="60">
        <v>13.4</v>
      </c>
      <c r="AM89" s="60">
        <v>0.5</v>
      </c>
      <c r="AN89" s="60">
        <v>14.6</v>
      </c>
      <c r="AO89" s="60">
        <v>3</v>
      </c>
      <c r="AP89" s="60">
        <v>0.1</v>
      </c>
      <c r="AQ89" s="60">
        <v>0.3</v>
      </c>
      <c r="AR89" s="60">
        <v>0.6</v>
      </c>
      <c r="AS89" s="60">
        <v>14.5</v>
      </c>
      <c r="AT89" s="60">
        <f t="shared" si="31"/>
        <v>33.6</v>
      </c>
      <c r="AU89" s="60">
        <f t="shared" si="32"/>
        <v>71.4893617021277</v>
      </c>
      <c r="AV89" s="97">
        <v>0</v>
      </c>
      <c r="AW89" s="53" t="s">
        <v>458</v>
      </c>
      <c r="AX89" s="53" t="s">
        <v>395</v>
      </c>
      <c r="AY89" s="53" t="s">
        <v>459</v>
      </c>
      <c r="AZ89" s="53" t="s">
        <v>203</v>
      </c>
      <c r="BA89" s="53" t="s">
        <v>204</v>
      </c>
      <c r="BB89" s="53" t="s">
        <v>460</v>
      </c>
      <c r="BC89" s="56">
        <v>2</v>
      </c>
      <c r="BD89" s="56">
        <v>4</v>
      </c>
      <c r="BE89" s="96">
        <f>U89/((VLOOKUP(B89,'Cell-Characteristics'!$B$4:$E$34,3,FALSE)*VLOOKUP(B89,'Cell-Characteristics'!$B$4:$E$34,4,FALSE)*3600)/1000)</f>
        <v>1.9397351592234</v>
      </c>
      <c r="BF89" s="90">
        <f t="shared" si="23"/>
        <v>17502.5374621595</v>
      </c>
      <c r="BG89" s="90">
        <f t="shared" si="21"/>
        <v>48873.0438228887</v>
      </c>
      <c r="BH89" s="90" t="e">
        <f t="shared" si="22"/>
        <v>#DIV/0!</v>
      </c>
      <c r="BI89" s="90">
        <f t="shared" si="24"/>
        <v>115720.970582105</v>
      </c>
      <c r="BJ89" s="90">
        <f>BF89/((VLOOKUP(B89,'Cell-Characteristics'!$B$4:$Q$34,13,FALSE)))</f>
        <v>476.415086889855</v>
      </c>
      <c r="BK89" s="90">
        <f>BG89/((VLOOKUP(B89,'Cell-Characteristics'!$B$4:$Q$34,14,FALSE)))</f>
        <v>19215.6341208181</v>
      </c>
      <c r="BL89" s="90" t="e">
        <f>BH89/((VLOOKUP(B89,'Cell-Characteristics'!$B$4:$Q$34,15,FALSE)))</f>
        <v>#DIV/0!</v>
      </c>
      <c r="BM89" s="90">
        <f>BI89/((VLOOKUP(B89,'Cell-Characteristics'!$B$4:$Q$34,16,FALSE)))</f>
        <v>2766.80272427136</v>
      </c>
      <c r="BN89" s="50">
        <f t="shared" si="25"/>
        <v>0.766366640666667</v>
      </c>
    </row>
    <row r="90" s="50" customFormat="1" ht="16.5" customHeight="1" spans="2:66">
      <c r="B90" s="53" t="s">
        <v>140</v>
      </c>
      <c r="C90" s="107" t="s">
        <v>461</v>
      </c>
      <c r="D90" s="53" t="s">
        <v>391</v>
      </c>
      <c r="E90" s="55" t="s">
        <v>228</v>
      </c>
      <c r="F90" s="56" t="s">
        <v>392</v>
      </c>
      <c r="G90" s="93" t="s">
        <v>393</v>
      </c>
      <c r="H90" s="57">
        <v>43141</v>
      </c>
      <c r="I90" s="58" t="s">
        <v>134</v>
      </c>
      <c r="J90" s="58">
        <v>100</v>
      </c>
      <c r="K90" s="59" t="s">
        <v>134</v>
      </c>
      <c r="L90" s="60">
        <v>47</v>
      </c>
      <c r="M90" s="60">
        <v>37</v>
      </c>
      <c r="N90" s="60">
        <v>37</v>
      </c>
      <c r="O90" s="59" t="s">
        <v>197</v>
      </c>
      <c r="P90" s="59" t="s">
        <v>197</v>
      </c>
      <c r="Q90" s="61" t="s">
        <v>381</v>
      </c>
      <c r="R90" s="62">
        <v>71.3160153815709</v>
      </c>
      <c r="S90" s="63">
        <v>0.048</v>
      </c>
      <c r="T90" s="63">
        <v>72.7507005394665</v>
      </c>
      <c r="U90" s="60">
        <v>82.2894904944165</v>
      </c>
      <c r="V90" s="60">
        <v>10.627854083784</v>
      </c>
      <c r="W90" s="60">
        <v>71.1544125838599</v>
      </c>
      <c r="X90" s="60">
        <v>0.507223826772655</v>
      </c>
      <c r="Y90" s="60">
        <v>12.915202196452</v>
      </c>
      <c r="Z90" s="60">
        <v>86.4684082455071</v>
      </c>
      <c r="AA90" s="60">
        <v>0.616389558040915</v>
      </c>
      <c r="AB90" s="60">
        <v>9.53878995495</v>
      </c>
      <c r="AC90" s="60">
        <v>0</v>
      </c>
      <c r="AD90" s="103">
        <v>0.900899887</v>
      </c>
      <c r="AE90" s="103">
        <v>3.602300167</v>
      </c>
      <c r="AF90" s="103">
        <v>0</v>
      </c>
      <c r="AG90" s="60">
        <v>906.479982876438</v>
      </c>
      <c r="AH90" s="60">
        <v>112.547200202942</v>
      </c>
      <c r="AI90" s="60">
        <v>102.101403220022</v>
      </c>
      <c r="AJ90" s="60"/>
      <c r="AK90" s="55">
        <v>237.133055</v>
      </c>
      <c r="AL90" s="60">
        <v>10</v>
      </c>
      <c r="AM90" s="60">
        <v>6.6</v>
      </c>
      <c r="AN90" s="60">
        <v>12.7</v>
      </c>
      <c r="AO90" s="60">
        <v>3.2</v>
      </c>
      <c r="AP90" s="60">
        <v>0</v>
      </c>
      <c r="AQ90" s="60">
        <v>0</v>
      </c>
      <c r="AR90" s="60">
        <v>0</v>
      </c>
      <c r="AS90" s="60">
        <v>14.5</v>
      </c>
      <c r="AT90" s="60">
        <f t="shared" si="31"/>
        <v>37</v>
      </c>
      <c r="AU90" s="60">
        <f t="shared" si="32"/>
        <v>78.7234042553192</v>
      </c>
      <c r="AV90" s="97">
        <v>0</v>
      </c>
      <c r="AW90" s="53" t="s">
        <v>134</v>
      </c>
      <c r="AX90" s="53" t="s">
        <v>395</v>
      </c>
      <c r="AY90" s="53" t="s">
        <v>462</v>
      </c>
      <c r="AZ90" s="53" t="s">
        <v>212</v>
      </c>
      <c r="BA90" s="53" t="s">
        <v>204</v>
      </c>
      <c r="BB90" s="53" t="s">
        <v>460</v>
      </c>
      <c r="BC90" s="56">
        <v>2</v>
      </c>
      <c r="BD90" s="56">
        <v>4</v>
      </c>
      <c r="BE90" s="96">
        <f>U90/((VLOOKUP(B90,'Cell-Characteristics'!$B$4:$E$34,3,FALSE)*VLOOKUP(B90,'Cell-Characteristics'!$B$4:$E$34,4,FALSE)*3600)/1000)</f>
        <v>1.79985762236257</v>
      </c>
      <c r="BF90" s="90">
        <f t="shared" si="23"/>
        <v>11796.9313096207</v>
      </c>
      <c r="BG90" s="90">
        <f t="shared" si="21"/>
        <v>19752.4940413606</v>
      </c>
      <c r="BH90" s="90" t="e">
        <f t="shared" si="22"/>
        <v>#DIV/0!</v>
      </c>
      <c r="BI90" s="90">
        <f t="shared" si="24"/>
        <v>54820.6760798839</v>
      </c>
      <c r="BJ90" s="90">
        <f>BF90/((VLOOKUP(B90,'Cell-Characteristics'!$B$4:$Q$34,13,FALSE)))</f>
        <v>321.109785770066</v>
      </c>
      <c r="BK90" s="90">
        <f>BG90/((VLOOKUP(B90,'Cell-Characteristics'!$B$4:$Q$34,14,FALSE)))</f>
        <v>7766.17678751302</v>
      </c>
      <c r="BL90" s="90" t="e">
        <f>BH90/((VLOOKUP(B90,'Cell-Characteristics'!$B$4:$Q$34,15,FALSE)))</f>
        <v>#DIV/0!</v>
      </c>
      <c r="BM90" s="90">
        <f>BI90/((VLOOKUP(B90,'Cell-Characteristics'!$B$4:$Q$34,16,FALSE)))</f>
        <v>1310.72177463811</v>
      </c>
      <c r="BN90" s="50">
        <f t="shared" si="25"/>
        <v>1.50106668466667</v>
      </c>
    </row>
    <row r="91" s="50" customFormat="1" ht="16.5" customHeight="1" spans="2:66">
      <c r="B91" s="53" t="s">
        <v>140</v>
      </c>
      <c r="C91" s="107" t="s">
        <v>463</v>
      </c>
      <c r="D91" s="53" t="s">
        <v>391</v>
      </c>
      <c r="E91" s="55" t="s">
        <v>228</v>
      </c>
      <c r="F91" s="56" t="s">
        <v>392</v>
      </c>
      <c r="G91" s="93" t="s">
        <v>393</v>
      </c>
      <c r="H91" s="57">
        <v>43141</v>
      </c>
      <c r="I91" s="58" t="s">
        <v>134</v>
      </c>
      <c r="J91" s="58">
        <v>100</v>
      </c>
      <c r="K91" s="59" t="s">
        <v>134</v>
      </c>
      <c r="L91" s="60">
        <v>47</v>
      </c>
      <c r="M91" s="60">
        <v>37</v>
      </c>
      <c r="N91" s="60">
        <v>37</v>
      </c>
      <c r="O91" s="59" t="s">
        <v>197</v>
      </c>
      <c r="P91" s="59" t="s">
        <v>197</v>
      </c>
      <c r="Q91" s="61" t="s">
        <v>381</v>
      </c>
      <c r="R91" s="62">
        <v>75.7306222708001</v>
      </c>
      <c r="S91" s="63">
        <v>0.048</v>
      </c>
      <c r="T91" s="63">
        <v>76.9889424703821</v>
      </c>
      <c r="U91" s="60">
        <v>84.9056412528501</v>
      </c>
      <c r="V91" s="60">
        <v>17.3021526270054</v>
      </c>
      <c r="W91" s="60">
        <v>67.0636917133024</v>
      </c>
      <c r="X91" s="60">
        <v>0.539796912542334</v>
      </c>
      <c r="Y91" s="60">
        <v>20.3780954618544</v>
      </c>
      <c r="Z91" s="60">
        <v>78.9861435868388</v>
      </c>
      <c r="AA91" s="60">
        <v>0.635760951306888</v>
      </c>
      <c r="AB91" s="60">
        <v>7.916698782468</v>
      </c>
      <c r="AC91" s="60">
        <v>0</v>
      </c>
      <c r="AD91" s="103">
        <v>0.599600315</v>
      </c>
      <c r="AE91" s="103">
        <v>1.600699902</v>
      </c>
      <c r="AF91" s="103">
        <v>0</v>
      </c>
      <c r="AG91" s="60">
        <v>904.528613166759</v>
      </c>
      <c r="AH91" s="60">
        <v>91.5201001167297</v>
      </c>
      <c r="AI91" s="60">
        <v>82.8633276621404</v>
      </c>
      <c r="AJ91" s="60"/>
      <c r="AK91" s="55">
        <v>271.718365</v>
      </c>
      <c r="AL91" s="60">
        <v>17.3</v>
      </c>
      <c r="AM91" s="60">
        <v>1.2</v>
      </c>
      <c r="AN91" s="60">
        <v>13.3</v>
      </c>
      <c r="AO91" s="60">
        <v>3.8</v>
      </c>
      <c r="AP91" s="60">
        <v>0</v>
      </c>
      <c r="AQ91" s="60">
        <v>0</v>
      </c>
      <c r="AR91" s="60">
        <v>0</v>
      </c>
      <c r="AS91" s="60">
        <v>11.4</v>
      </c>
      <c r="AT91" s="60">
        <f t="shared" si="31"/>
        <v>29.7</v>
      </c>
      <c r="AU91" s="60">
        <f t="shared" si="32"/>
        <v>63.1914893617021</v>
      </c>
      <c r="AV91" s="97">
        <v>0</v>
      </c>
      <c r="AW91" s="53" t="s">
        <v>134</v>
      </c>
      <c r="AX91" s="53" t="s">
        <v>395</v>
      </c>
      <c r="AY91" s="53" t="s">
        <v>464</v>
      </c>
      <c r="AZ91" s="53" t="s">
        <v>203</v>
      </c>
      <c r="BA91" s="53" t="s">
        <v>204</v>
      </c>
      <c r="BB91" s="53" t="s">
        <v>460</v>
      </c>
      <c r="BC91" s="56">
        <v>2</v>
      </c>
      <c r="BD91" s="56">
        <v>4</v>
      </c>
      <c r="BE91" s="96">
        <f>U91/((VLOOKUP(B91,'Cell-Characteristics'!$B$4:$E$34,3,FALSE)*VLOOKUP(B91,'Cell-Characteristics'!$B$4:$E$34,4,FALSE)*3600)/1000)</f>
        <v>1.85707876756015</v>
      </c>
      <c r="BF91" s="90">
        <f t="shared" si="23"/>
        <v>28856.1433244168</v>
      </c>
      <c r="BG91" s="90">
        <f t="shared" si="21"/>
        <v>41896.480176896</v>
      </c>
      <c r="BH91" s="90" t="e">
        <f t="shared" si="22"/>
        <v>#DIV/0!</v>
      </c>
      <c r="BI91" s="90">
        <f t="shared" si="24"/>
        <v>115764.622386778</v>
      </c>
      <c r="BJ91" s="90">
        <f>BF91/((VLOOKUP(B91,'Cell-Characteristics'!$B$4:$Q$34,13,FALSE)))</f>
        <v>785.457654864629</v>
      </c>
      <c r="BK91" s="90">
        <f>BG91/((VLOOKUP(B91,'Cell-Characteristics'!$B$4:$Q$34,14,FALSE)))</f>
        <v>16472.6272614988</v>
      </c>
      <c r="BL91" s="90" t="e">
        <f>BH91/((VLOOKUP(B91,'Cell-Characteristics'!$B$4:$Q$34,15,FALSE)))</f>
        <v>#DIV/0!</v>
      </c>
      <c r="BM91" s="90">
        <f>BI91/((VLOOKUP(B91,'Cell-Characteristics'!$B$4:$Q$34,16,FALSE)))</f>
        <v>2767.84640660034</v>
      </c>
      <c r="BN91" s="50">
        <f t="shared" si="25"/>
        <v>0.733433405666667</v>
      </c>
    </row>
    <row r="92" s="50" customFormat="1" ht="16.5" customHeight="1" spans="2:66">
      <c r="B92" s="53" t="s">
        <v>140</v>
      </c>
      <c r="C92" s="53" t="s">
        <v>465</v>
      </c>
      <c r="D92" s="53" t="s">
        <v>391</v>
      </c>
      <c r="E92" s="55" t="s">
        <v>228</v>
      </c>
      <c r="F92" s="56" t="s">
        <v>392</v>
      </c>
      <c r="G92" s="93" t="s">
        <v>393</v>
      </c>
      <c r="H92" s="57">
        <v>43141</v>
      </c>
      <c r="I92" s="58" t="s">
        <v>134</v>
      </c>
      <c r="J92" s="58">
        <v>100</v>
      </c>
      <c r="K92" s="59" t="s">
        <v>134</v>
      </c>
      <c r="L92" s="60">
        <v>47</v>
      </c>
      <c r="M92" s="60">
        <v>37</v>
      </c>
      <c r="N92" s="60">
        <v>37</v>
      </c>
      <c r="O92" s="59" t="s">
        <v>197</v>
      </c>
      <c r="P92" s="59" t="s">
        <v>198</v>
      </c>
      <c r="Q92" s="61" t="s">
        <v>381</v>
      </c>
      <c r="R92" s="62">
        <v>64.3524000147218</v>
      </c>
      <c r="S92" s="63">
        <v>0.04</v>
      </c>
      <c r="T92" s="63">
        <v>65.1971919992799</v>
      </c>
      <c r="U92" s="60">
        <v>72.7843236852999</v>
      </c>
      <c r="V92" s="60">
        <v>7.5654102087059</v>
      </c>
      <c r="W92" s="60">
        <v>64.6853183098179</v>
      </c>
      <c r="X92" s="60">
        <v>0.533595166776065</v>
      </c>
      <c r="Y92" s="60">
        <v>10.3942852329256</v>
      </c>
      <c r="Z92" s="60">
        <v>88.872596507869</v>
      </c>
      <c r="AA92" s="60">
        <v>0.73311825920536</v>
      </c>
      <c r="AB92" s="60">
        <v>7.58713168602</v>
      </c>
      <c r="AC92" s="60">
        <v>0</v>
      </c>
      <c r="AD92" s="103">
        <v>0.699799538</v>
      </c>
      <c r="AE92" s="103">
        <v>1.199499607</v>
      </c>
      <c r="AF92" s="103">
        <v>0</v>
      </c>
      <c r="AG92" s="60">
        <v>906.575206205326</v>
      </c>
      <c r="AH92" s="60">
        <v>89.0080003738403</v>
      </c>
      <c r="AI92" s="60">
        <v>80.8267123710131</v>
      </c>
      <c r="AJ92" s="60"/>
      <c r="AK92" s="55">
        <v>262.836185</v>
      </c>
      <c r="AL92" s="60">
        <v>8.3</v>
      </c>
      <c r="AM92" s="60">
        <v>8.2</v>
      </c>
      <c r="AN92" s="60">
        <v>10.6</v>
      </c>
      <c r="AO92" s="60">
        <v>6.4</v>
      </c>
      <c r="AP92" s="60">
        <v>0</v>
      </c>
      <c r="AQ92" s="60">
        <v>0</v>
      </c>
      <c r="AR92" s="60">
        <v>0</v>
      </c>
      <c r="AS92" s="60">
        <v>13.5</v>
      </c>
      <c r="AT92" s="60">
        <f t="shared" si="31"/>
        <v>38.7</v>
      </c>
      <c r="AU92" s="60">
        <f t="shared" si="32"/>
        <v>82.3404255319149</v>
      </c>
      <c r="AV92" s="97">
        <v>0</v>
      </c>
      <c r="AW92" s="53" t="s">
        <v>466</v>
      </c>
      <c r="AX92" s="53" t="s">
        <v>395</v>
      </c>
      <c r="AY92" s="53" t="s">
        <v>467</v>
      </c>
      <c r="AZ92" s="53" t="s">
        <v>203</v>
      </c>
      <c r="BA92" s="102" t="s">
        <v>322</v>
      </c>
      <c r="BB92" s="53" t="s">
        <v>460</v>
      </c>
      <c r="BC92" s="56">
        <v>3</v>
      </c>
      <c r="BD92" s="56">
        <v>6</v>
      </c>
      <c r="BE92" s="96">
        <f>U92/((VLOOKUP(B92,'Cell-Characteristics'!$B$4:$E$34,3,FALSE)*VLOOKUP(B92,'Cell-Characteristics'!$B$4:$E$34,4,FALSE)*3600)/1000)</f>
        <v>1.5919580858552</v>
      </c>
      <c r="BF92" s="90">
        <f t="shared" si="23"/>
        <v>10810.8248118133</v>
      </c>
      <c r="BG92" s="90">
        <f t="shared" si="21"/>
        <v>53926.9191355541</v>
      </c>
      <c r="BH92" s="90" t="e">
        <f t="shared" si="22"/>
        <v>#DIV/0!</v>
      </c>
      <c r="BI92" s="90">
        <f t="shared" si="24"/>
        <v>114965.023614487</v>
      </c>
      <c r="BJ92" s="90">
        <f>BF92/((VLOOKUP(B92,'Cell-Characteristics'!$B$4:$Q$34,13,FALSE)))</f>
        <v>294.268191295479</v>
      </c>
      <c r="BK92" s="90">
        <f>BG92/((VLOOKUP(B92,'Cell-Characteristics'!$B$4:$Q$34,14,FALSE)))</f>
        <v>21202.6889736393</v>
      </c>
      <c r="BL92" s="90" t="e">
        <f>BH92/((VLOOKUP(B92,'Cell-Characteristics'!$B$4:$Q$34,15,FALSE)))</f>
        <v>#DIV/0!</v>
      </c>
      <c r="BM92" s="90">
        <f>BI92/((VLOOKUP(B92,'Cell-Characteristics'!$B$4:$Q$34,16,FALSE)))</f>
        <v>2748.72859199534</v>
      </c>
      <c r="BN92" s="50">
        <f t="shared" si="25"/>
        <v>0.633099715</v>
      </c>
    </row>
    <row r="93" s="50" customFormat="1" ht="16.5" customHeight="1" spans="2:66">
      <c r="B93" s="53" t="s">
        <v>140</v>
      </c>
      <c r="C93" s="53" t="s">
        <v>468</v>
      </c>
      <c r="D93" s="53" t="s">
        <v>391</v>
      </c>
      <c r="E93" s="55" t="s">
        <v>228</v>
      </c>
      <c r="F93" s="56" t="s">
        <v>392</v>
      </c>
      <c r="G93" s="93" t="s">
        <v>393</v>
      </c>
      <c r="H93" s="57">
        <v>43141</v>
      </c>
      <c r="I93" s="58" t="s">
        <v>134</v>
      </c>
      <c r="J93" s="58">
        <v>100</v>
      </c>
      <c r="K93" s="59" t="s">
        <v>134</v>
      </c>
      <c r="L93" s="60">
        <v>47</v>
      </c>
      <c r="M93" s="60">
        <v>37</v>
      </c>
      <c r="N93" s="60">
        <v>37</v>
      </c>
      <c r="O93" s="59" t="s">
        <v>197</v>
      </c>
      <c r="P93" s="59" t="s">
        <v>198</v>
      </c>
      <c r="Q93" s="61" t="s">
        <v>381</v>
      </c>
      <c r="R93" s="62">
        <v>82.6615708170033</v>
      </c>
      <c r="S93" s="63">
        <v>0.036</v>
      </c>
      <c r="T93" s="63">
        <v>83.4001958973536</v>
      </c>
      <c r="U93" s="60">
        <v>91.6132177536236</v>
      </c>
      <c r="V93" s="60">
        <v>18.7520638857978</v>
      </c>
      <c r="W93" s="60">
        <v>71.6399781849719</v>
      </c>
      <c r="X93" s="60">
        <v>1.22117568285387</v>
      </c>
      <c r="Y93" s="60">
        <v>20.4687318550779</v>
      </c>
      <c r="Z93" s="60">
        <v>78.1982992646695</v>
      </c>
      <c r="AA93" s="60">
        <v>1.33296888025262</v>
      </c>
      <c r="AB93" s="60">
        <v>8.21302185627</v>
      </c>
      <c r="AC93" s="60">
        <v>0</v>
      </c>
      <c r="AD93" s="103">
        <v>1.201399803</v>
      </c>
      <c r="AE93" s="103">
        <v>1.601399899</v>
      </c>
      <c r="AF93" s="103">
        <v>0</v>
      </c>
      <c r="AG93" s="60">
        <v>906.560487079529</v>
      </c>
      <c r="AH93" s="60">
        <v>89.3298001289368</v>
      </c>
      <c r="AI93" s="60">
        <v>81.0799226235038</v>
      </c>
      <c r="AJ93" s="60"/>
      <c r="AK93" s="55">
        <v>269.073175</v>
      </c>
      <c r="AL93" s="60">
        <v>16.1</v>
      </c>
      <c r="AM93" s="60">
        <v>2.1</v>
      </c>
      <c r="AN93" s="60">
        <v>14</v>
      </c>
      <c r="AO93" s="60">
        <v>4.3</v>
      </c>
      <c r="AP93" s="60">
        <v>0</v>
      </c>
      <c r="AQ93" s="60">
        <v>0</v>
      </c>
      <c r="AR93" s="60">
        <v>0</v>
      </c>
      <c r="AS93" s="60">
        <v>10.5</v>
      </c>
      <c r="AT93" s="60">
        <f t="shared" si="31"/>
        <v>30.9</v>
      </c>
      <c r="AU93" s="60">
        <f t="shared" si="32"/>
        <v>65.7446808510638</v>
      </c>
      <c r="AV93" s="97">
        <v>0</v>
      </c>
      <c r="AW93" s="53" t="s">
        <v>469</v>
      </c>
      <c r="AX93" s="53" t="s">
        <v>134</v>
      </c>
      <c r="AY93" s="53" t="s">
        <v>470</v>
      </c>
      <c r="AZ93" s="53" t="s">
        <v>203</v>
      </c>
      <c r="BA93" s="102" t="s">
        <v>322</v>
      </c>
      <c r="BB93" s="53" t="s">
        <v>460</v>
      </c>
      <c r="BC93" s="56">
        <v>2</v>
      </c>
      <c r="BD93" s="56">
        <v>4</v>
      </c>
      <c r="BE93" s="96">
        <f>U93/((VLOOKUP(B93,'Cell-Characteristics'!$B$4:$E$34,3,FALSE)*VLOOKUP(B93,'Cell-Characteristics'!$B$4:$E$34,4,FALSE)*3600)/1000)</f>
        <v>2.00378866477742</v>
      </c>
      <c r="BF93" s="90">
        <f t="shared" si="23"/>
        <v>15608.5125359371</v>
      </c>
      <c r="BG93" s="90">
        <f t="shared" si="21"/>
        <v>44735.8453248984</v>
      </c>
      <c r="BH93" s="90" t="e">
        <f t="shared" si="22"/>
        <v>#DIV/0!</v>
      </c>
      <c r="BI93" s="90">
        <f t="shared" si="24"/>
        <v>98058.9704875282</v>
      </c>
      <c r="BJ93" s="90">
        <f>BF93/((VLOOKUP(B93,'Cell-Characteristics'!$B$4:$Q$34,13,FALSE)))</f>
        <v>424.860159397274</v>
      </c>
      <c r="BK93" s="90">
        <f>BG93/((VLOOKUP(B93,'Cell-Characteristics'!$B$4:$Q$34,14,FALSE)))</f>
        <v>17588.9932078707</v>
      </c>
      <c r="BL93" s="90" t="e">
        <f>BH93/((VLOOKUP(B93,'Cell-Characteristics'!$B$4:$Q$34,15,FALSE)))</f>
        <v>#DIV/0!</v>
      </c>
      <c r="BM93" s="90">
        <f>BI93/((VLOOKUP(B93,'Cell-Characteristics'!$B$4:$Q$34,16,FALSE)))</f>
        <v>2344.5173793426</v>
      </c>
      <c r="BN93" s="50">
        <f t="shared" si="25"/>
        <v>0.934266567333333</v>
      </c>
    </row>
    <row r="94" s="50" customFormat="1" ht="16.5" customHeight="1" spans="2:66">
      <c r="B94" s="53" t="s">
        <v>140</v>
      </c>
      <c r="C94" s="53" t="s">
        <v>471</v>
      </c>
      <c r="D94" s="53" t="s">
        <v>405</v>
      </c>
      <c r="E94" s="55" t="s">
        <v>265</v>
      </c>
      <c r="F94" s="56" t="s">
        <v>195</v>
      </c>
      <c r="G94" s="56" t="s">
        <v>196</v>
      </c>
      <c r="H94" s="57">
        <v>44257</v>
      </c>
      <c r="I94" s="58" t="s">
        <v>472</v>
      </c>
      <c r="J94" s="58">
        <v>20</v>
      </c>
      <c r="K94" s="59">
        <v>3.426</v>
      </c>
      <c r="L94" s="60">
        <v>45.42</v>
      </c>
      <c r="M94" s="60">
        <v>49.5</v>
      </c>
      <c r="N94" s="60">
        <v>49.5</v>
      </c>
      <c r="O94" s="59" t="s">
        <v>198</v>
      </c>
      <c r="P94" s="59" t="s">
        <v>198</v>
      </c>
      <c r="Q94" s="61" t="s">
        <v>424</v>
      </c>
      <c r="R94" s="62">
        <v>6.41514653062455</v>
      </c>
      <c r="S94" s="63">
        <v>0.0013</v>
      </c>
      <c r="T94" s="63">
        <v>6.79043290900601</v>
      </c>
      <c r="U94" s="60">
        <v>6.79049863569641</v>
      </c>
      <c r="V94" s="60">
        <v>6.63921405952273</v>
      </c>
      <c r="W94" s="60">
        <v>0.0663163373729306</v>
      </c>
      <c r="X94" s="60">
        <v>0.0849682388007528</v>
      </c>
      <c r="Y94" s="60">
        <v>97.7721138860347</v>
      </c>
      <c r="Z94" s="60">
        <v>0.976604825812316</v>
      </c>
      <c r="AA94" s="60">
        <v>1.25128128815298</v>
      </c>
      <c r="AB94" s="60">
        <v>6.57266904000002e-5</v>
      </c>
      <c r="AC94" s="60">
        <v>0</v>
      </c>
      <c r="AD94" s="97">
        <v>11.1349</v>
      </c>
      <c r="AE94" s="97">
        <v>11.1349</v>
      </c>
      <c r="AF94" s="97">
        <v>3.1117</v>
      </c>
      <c r="AG94" s="60">
        <v>0</v>
      </c>
      <c r="AH94" s="60">
        <v>0</v>
      </c>
      <c r="AI94" s="60">
        <v>0</v>
      </c>
      <c r="AJ94" s="60">
        <v>17.5526</v>
      </c>
      <c r="AK94" s="55">
        <v>18.185355</v>
      </c>
      <c r="AL94" s="60">
        <v>45.28</v>
      </c>
      <c r="AM94" s="60">
        <v>0</v>
      </c>
      <c r="AN94" s="60">
        <v>0</v>
      </c>
      <c r="AO94" s="60">
        <v>0</v>
      </c>
      <c r="AP94" s="60">
        <v>0</v>
      </c>
      <c r="AQ94" s="60">
        <v>0</v>
      </c>
      <c r="AR94" s="60">
        <v>0</v>
      </c>
      <c r="AS94" s="60">
        <v>0.140000000000001</v>
      </c>
      <c r="AT94" s="60">
        <v>0.140000000000001</v>
      </c>
      <c r="AU94" s="60">
        <v>0.308234258036109</v>
      </c>
      <c r="AV94" s="60">
        <v>0.0002</v>
      </c>
      <c r="AW94" s="53"/>
      <c r="AX94" s="53" t="s">
        <v>408</v>
      </c>
      <c r="AY94" s="53" t="s">
        <v>408</v>
      </c>
      <c r="AZ94" s="53" t="s">
        <v>408</v>
      </c>
      <c r="BA94" s="109" t="s">
        <v>408</v>
      </c>
      <c r="BB94" s="53" t="s">
        <v>411</v>
      </c>
      <c r="BC94" s="56">
        <v>4</v>
      </c>
      <c r="BD94" s="56">
        <v>4.93827160493827</v>
      </c>
      <c r="BE94" s="96">
        <f>U94/((VLOOKUP(B94,'Cell-Characteristics'!$B$4:$E$34,3,FALSE)*VLOOKUP(B94,'Cell-Characteristics'!$B$4:$E$34,4,FALSE)*3600)/1000)</f>
        <v>0.148523592206833</v>
      </c>
      <c r="BF94" s="90">
        <f t="shared" si="23"/>
        <v>596.252688351286</v>
      </c>
      <c r="BG94" s="90">
        <f t="shared" si="21"/>
        <v>5.9557191688233</v>
      </c>
      <c r="BH94" s="90">
        <f t="shared" si="22"/>
        <v>27.3060509691657</v>
      </c>
      <c r="BI94" s="90">
        <f t="shared" si="24"/>
        <v>802.611977506815</v>
      </c>
      <c r="BJ94" s="90">
        <f>BF94/((VLOOKUP(B94,'Cell-Characteristics'!$B$4:$Q$34,13,FALSE)))</f>
        <v>16.2298624952715</v>
      </c>
      <c r="BK94" s="90">
        <f>BG94/((VLOOKUP(B94,'Cell-Characteristics'!$B$4:$Q$34,14,FALSE)))</f>
        <v>2.34163685178238</v>
      </c>
      <c r="BL94" s="90">
        <f>BH94/((VLOOKUP(B94,'Cell-Characteristics'!$B$4:$Q$34,15,FALSE)))</f>
        <v>10.7360426866264</v>
      </c>
      <c r="BM94" s="90">
        <f>BI94/((VLOOKUP(B94,'Cell-Characteristics'!$B$4:$Q$34,16,FALSE)))</f>
        <v>19.189858110662</v>
      </c>
      <c r="BN94" s="50">
        <f t="shared" si="25"/>
        <v>8.4605</v>
      </c>
    </row>
    <row r="95" s="50" customFormat="1" ht="16.5" customHeight="1" spans="2:66">
      <c r="B95" s="53" t="s">
        <v>140</v>
      </c>
      <c r="C95" s="53" t="s">
        <v>473</v>
      </c>
      <c r="D95" s="53" t="s">
        <v>405</v>
      </c>
      <c r="E95" s="55" t="s">
        <v>265</v>
      </c>
      <c r="F95" s="56" t="s">
        <v>195</v>
      </c>
      <c r="G95" s="56" t="s">
        <v>196</v>
      </c>
      <c r="H95" s="57">
        <v>44257</v>
      </c>
      <c r="I95" s="58" t="s">
        <v>472</v>
      </c>
      <c r="J95" s="58">
        <v>20</v>
      </c>
      <c r="K95" s="59">
        <v>3.413</v>
      </c>
      <c r="L95" s="60">
        <v>45.5761111111111</v>
      </c>
      <c r="M95" s="60">
        <v>49.5</v>
      </c>
      <c r="N95" s="60">
        <v>49.5</v>
      </c>
      <c r="O95" s="59" t="s">
        <v>198</v>
      </c>
      <c r="P95" s="59" t="s">
        <v>198</v>
      </c>
      <c r="Q95" s="61" t="s">
        <v>424</v>
      </c>
      <c r="R95" s="62">
        <v>6.23573615890497</v>
      </c>
      <c r="S95" s="63">
        <v>0.0007</v>
      </c>
      <c r="T95" s="63">
        <v>6.49352292354972</v>
      </c>
      <c r="U95" s="60">
        <v>6.49361810175062</v>
      </c>
      <c r="V95" s="60">
        <v>6.37467735641863</v>
      </c>
      <c r="W95" s="60">
        <v>0.0386309185656856</v>
      </c>
      <c r="X95" s="60">
        <v>0.0803098267663058</v>
      </c>
      <c r="Y95" s="60">
        <v>98.1683440037854</v>
      </c>
      <c r="Z95" s="60">
        <v>0.594905920865149</v>
      </c>
      <c r="AA95" s="60">
        <v>1.23675007534944</v>
      </c>
      <c r="AB95" s="60">
        <v>9.5178200899995e-5</v>
      </c>
      <c r="AC95" s="60">
        <v>0</v>
      </c>
      <c r="AD95" s="97">
        <v>8.65750000000001</v>
      </c>
      <c r="AE95" s="97">
        <v>8.65750000000001</v>
      </c>
      <c r="AF95" s="97">
        <v>0.505400000000002</v>
      </c>
      <c r="AG95" s="60">
        <v>0</v>
      </c>
      <c r="AH95" s="60">
        <v>0</v>
      </c>
      <c r="AI95" s="60">
        <v>0</v>
      </c>
      <c r="AJ95" s="60">
        <v>44.596</v>
      </c>
      <c r="AK95" s="55">
        <v>14.63418</v>
      </c>
      <c r="AL95" s="60">
        <v>45.43</v>
      </c>
      <c r="AM95" s="60">
        <v>0</v>
      </c>
      <c r="AN95" s="60">
        <v>0</v>
      </c>
      <c r="AO95" s="60">
        <v>0</v>
      </c>
      <c r="AP95" s="60">
        <v>0</v>
      </c>
      <c r="AQ95" s="60">
        <v>0</v>
      </c>
      <c r="AR95" s="60">
        <v>0</v>
      </c>
      <c r="AS95" s="60">
        <v>0.146111111111104</v>
      </c>
      <c r="AT95" s="60">
        <v>0.146111111111104</v>
      </c>
      <c r="AU95" s="60">
        <v>0.320587052183755</v>
      </c>
      <c r="AV95" s="60">
        <v>0.0002</v>
      </c>
      <c r="AW95" s="53" t="s">
        <v>474</v>
      </c>
      <c r="AX95" s="53" t="s">
        <v>408</v>
      </c>
      <c r="AY95" s="53" t="s">
        <v>408</v>
      </c>
      <c r="AZ95" s="53" t="s">
        <v>408</v>
      </c>
      <c r="BA95" s="109" t="s">
        <v>408</v>
      </c>
      <c r="BB95" s="53" t="s">
        <v>411</v>
      </c>
      <c r="BC95" s="56">
        <v>9</v>
      </c>
      <c r="BD95" s="56">
        <v>11.1111111111111</v>
      </c>
      <c r="BE95" s="96">
        <f>U95/((VLOOKUP(B95,'Cell-Characteristics'!$B$4:$E$34,3,FALSE)*VLOOKUP(B95,'Cell-Characteristics'!$B$4:$E$34,4,FALSE)*3600)/1000)</f>
        <v>0.142030142208019</v>
      </c>
      <c r="BF95" s="90">
        <f t="shared" si="23"/>
        <v>736.318493377837</v>
      </c>
      <c r="BG95" s="90">
        <f t="shared" si="21"/>
        <v>4.46213324466481</v>
      </c>
      <c r="BH95" s="90">
        <f t="shared" si="22"/>
        <v>158.903495778206</v>
      </c>
      <c r="BI95" s="90">
        <f t="shared" si="24"/>
        <v>1093.17716242351</v>
      </c>
      <c r="BJ95" s="90">
        <f>BF95/((VLOOKUP(B95,'Cell-Characteristics'!$B$4:$Q$34,13,FALSE)))</f>
        <v>20.0424218350982</v>
      </c>
      <c r="BK95" s="90">
        <f>BG95/((VLOOKUP(B95,'Cell-Characteristics'!$B$4:$Q$34,14,FALSE)))</f>
        <v>1.75439696652701</v>
      </c>
      <c r="BL95" s="90">
        <f>BH95/((VLOOKUP(B95,'Cell-Characteristics'!$B$4:$Q$34,15,FALSE)))</f>
        <v>62.4768010451389</v>
      </c>
      <c r="BM95" s="90">
        <f>BI95/((VLOOKUP(B95,'Cell-Characteristics'!$B$4:$Q$34,16,FALSE)))</f>
        <v>26.137056541179</v>
      </c>
      <c r="BN95" s="50">
        <f t="shared" si="25"/>
        <v>5.94013333333334</v>
      </c>
    </row>
    <row r="96" s="50" customFormat="1" ht="16.5" customHeight="1" spans="2:66">
      <c r="B96" s="53" t="s">
        <v>140</v>
      </c>
      <c r="C96" s="53" t="s">
        <v>475</v>
      </c>
      <c r="D96" s="53" t="s">
        <v>405</v>
      </c>
      <c r="E96" s="55" t="s">
        <v>265</v>
      </c>
      <c r="F96" s="56" t="s">
        <v>195</v>
      </c>
      <c r="G96" s="56" t="s">
        <v>196</v>
      </c>
      <c r="H96" s="57">
        <v>44257</v>
      </c>
      <c r="I96" s="58" t="s">
        <v>472</v>
      </c>
      <c r="J96" s="58">
        <v>20</v>
      </c>
      <c r="K96" s="59">
        <v>3.358</v>
      </c>
      <c r="L96" s="60">
        <v>45.36</v>
      </c>
      <c r="M96" s="60">
        <v>49.5</v>
      </c>
      <c r="N96" s="60">
        <v>49.5</v>
      </c>
      <c r="O96" s="59" t="s">
        <v>198</v>
      </c>
      <c r="P96" s="59" t="s">
        <v>198</v>
      </c>
      <c r="Q96" s="61" t="s">
        <v>424</v>
      </c>
      <c r="R96" s="62">
        <v>5.00748931667528</v>
      </c>
      <c r="S96" s="63">
        <v>0.0015</v>
      </c>
      <c r="T96" s="63">
        <v>5.52000166945651</v>
      </c>
      <c r="U96" s="60">
        <v>5.52017401112251</v>
      </c>
      <c r="V96" s="60">
        <v>5.52017401112251</v>
      </c>
      <c r="W96" s="60">
        <v>0</v>
      </c>
      <c r="X96" s="60">
        <v>0</v>
      </c>
      <c r="Y96" s="60">
        <v>100</v>
      </c>
      <c r="Z96" s="60">
        <v>0</v>
      </c>
      <c r="AA96" s="60">
        <v>0</v>
      </c>
      <c r="AB96" s="60">
        <v>0.000172341665999998</v>
      </c>
      <c r="AC96" s="60">
        <v>0</v>
      </c>
      <c r="AD96" s="97">
        <v>4.0115</v>
      </c>
      <c r="AE96" s="97">
        <v>0.302600000000002</v>
      </c>
      <c r="AF96" s="97">
        <v>4.0115</v>
      </c>
      <c r="AG96" s="60">
        <v>0</v>
      </c>
      <c r="AH96" s="60">
        <v>0</v>
      </c>
      <c r="AI96" s="60">
        <v>0</v>
      </c>
      <c r="AJ96" s="60">
        <v>29.3964</v>
      </c>
      <c r="AK96" s="55">
        <v>15.84346</v>
      </c>
      <c r="AL96" s="60">
        <v>45.17</v>
      </c>
      <c r="AM96" s="60">
        <v>0</v>
      </c>
      <c r="AN96" s="60">
        <v>0</v>
      </c>
      <c r="AO96" s="60">
        <v>0</v>
      </c>
      <c r="AP96" s="60">
        <v>0</v>
      </c>
      <c r="AQ96" s="60">
        <v>0</v>
      </c>
      <c r="AR96" s="60">
        <v>0</v>
      </c>
      <c r="AS96" s="60">
        <v>0.189999999999998</v>
      </c>
      <c r="AT96" s="60">
        <v>0.189999999999998</v>
      </c>
      <c r="AU96" s="60">
        <v>0.418871252204581</v>
      </c>
      <c r="AV96" s="60">
        <v>0.0002</v>
      </c>
      <c r="AW96" s="53"/>
      <c r="AX96" s="53" t="s">
        <v>408</v>
      </c>
      <c r="AY96" s="53" t="s">
        <v>408</v>
      </c>
      <c r="AZ96" s="53" t="s">
        <v>408</v>
      </c>
      <c r="BA96" s="109" t="s">
        <v>408</v>
      </c>
      <c r="BB96" s="53" t="s">
        <v>411</v>
      </c>
      <c r="BC96" s="56">
        <v>5</v>
      </c>
      <c r="BD96" s="56">
        <v>6.17283950617284</v>
      </c>
      <c r="BE96" s="96">
        <f>U96/((VLOOKUP(B96,'Cell-Characteristics'!$B$4:$E$34,3,FALSE)*VLOOKUP(B96,'Cell-Characteristics'!$B$4:$E$34,4,FALSE)*3600)/1000)</f>
        <v>0.120738714154036</v>
      </c>
      <c r="BF96" s="90">
        <f t="shared" si="23"/>
        <v>1376.08725193132</v>
      </c>
      <c r="BG96" s="90">
        <f t="shared" si="21"/>
        <v>0</v>
      </c>
      <c r="BH96" s="90">
        <f t="shared" si="22"/>
        <v>0</v>
      </c>
      <c r="BI96" s="90">
        <f t="shared" si="24"/>
        <v>1989.10853672619</v>
      </c>
      <c r="BJ96" s="90">
        <f>BF96/((VLOOKUP(B96,'Cell-Characteristics'!$B$4:$Q$34,13,FALSE)))</f>
        <v>37.4567818588743</v>
      </c>
      <c r="BK96" s="90">
        <f>BG96/((VLOOKUP(B96,'Cell-Characteristics'!$B$4:$Q$34,14,FALSE)))</f>
        <v>0</v>
      </c>
      <c r="BL96" s="90">
        <f>BH96/((VLOOKUP(B96,'Cell-Characteristics'!$B$4:$Q$34,15,FALSE)))</f>
        <v>0</v>
      </c>
      <c r="BM96" s="90">
        <f>BI96/((VLOOKUP(B96,'Cell-Characteristics'!$B$4:$Q$34,16,FALSE)))</f>
        <v>47.5581123335004</v>
      </c>
      <c r="BN96" s="50">
        <f t="shared" si="25"/>
        <v>2.7752</v>
      </c>
    </row>
    <row r="97" s="52" customFormat="1" ht="16.5" customHeight="1" spans="2:66">
      <c r="B97" s="110" t="s">
        <v>140</v>
      </c>
      <c r="C97" s="110" t="s">
        <v>476</v>
      </c>
      <c r="D97" s="110" t="s">
        <v>405</v>
      </c>
      <c r="E97" s="111" t="s">
        <v>265</v>
      </c>
      <c r="F97" s="112" t="s">
        <v>195</v>
      </c>
      <c r="G97" s="112"/>
      <c r="H97" s="113">
        <v>44257</v>
      </c>
      <c r="I97" s="114" t="s">
        <v>472</v>
      </c>
      <c r="J97" s="114">
        <v>20</v>
      </c>
      <c r="K97" s="115">
        <v>3.394</v>
      </c>
      <c r="L97" s="116">
        <v>45.61</v>
      </c>
      <c r="M97" s="116">
        <v>49.5</v>
      </c>
      <c r="N97" s="116">
        <v>49.5</v>
      </c>
      <c r="O97" s="115" t="s">
        <v>198</v>
      </c>
      <c r="P97" s="115" t="s">
        <v>198</v>
      </c>
      <c r="Q97" s="117" t="s">
        <v>424</v>
      </c>
      <c r="R97" s="118">
        <v>6.07233203297132</v>
      </c>
      <c r="S97" s="119">
        <v>0.002</v>
      </c>
      <c r="T97" s="119">
        <v>6.68163948800351</v>
      </c>
      <c r="U97" s="116">
        <v>6.68171089769471</v>
      </c>
      <c r="V97" s="116">
        <v>6.68171089769471</v>
      </c>
      <c r="W97" s="116">
        <v>0</v>
      </c>
      <c r="X97" s="116">
        <v>0</v>
      </c>
      <c r="Y97" s="116">
        <v>100</v>
      </c>
      <c r="Z97" s="116">
        <v>0</v>
      </c>
      <c r="AA97" s="116">
        <v>0</v>
      </c>
      <c r="AB97" s="116">
        <v>7.14096911999987e-5</v>
      </c>
      <c r="AC97" s="116">
        <v>0</v>
      </c>
      <c r="AD97" s="120">
        <v>2</v>
      </c>
      <c r="AE97" s="120">
        <v>2</v>
      </c>
      <c r="AF97" s="120">
        <v>2</v>
      </c>
      <c r="AG97" s="116">
        <v>0</v>
      </c>
      <c r="AH97" s="116">
        <v>0</v>
      </c>
      <c r="AI97" s="116">
        <v>0</v>
      </c>
      <c r="AJ97" s="116">
        <v>9.9227</v>
      </c>
      <c r="AK97" s="111">
        <v>20.85461</v>
      </c>
      <c r="AL97" s="116">
        <v>45.42</v>
      </c>
      <c r="AM97" s="116">
        <v>0</v>
      </c>
      <c r="AN97" s="116">
        <v>0</v>
      </c>
      <c r="AO97" s="116">
        <v>0</v>
      </c>
      <c r="AP97" s="116">
        <v>0</v>
      </c>
      <c r="AQ97" s="116">
        <v>0</v>
      </c>
      <c r="AR97" s="116">
        <v>0</v>
      </c>
      <c r="AS97" s="116">
        <v>0.189999999999998</v>
      </c>
      <c r="AT97" s="116">
        <v>0.189999999999998</v>
      </c>
      <c r="AU97" s="116">
        <v>0.416575312431479</v>
      </c>
      <c r="AV97" s="116">
        <v>0.0005</v>
      </c>
      <c r="AW97" s="110"/>
      <c r="AX97" s="110" t="s">
        <v>408</v>
      </c>
      <c r="AY97" s="110" t="s">
        <v>408</v>
      </c>
      <c r="AZ97" s="110" t="s">
        <v>408</v>
      </c>
      <c r="BA97" s="121" t="s">
        <v>408</v>
      </c>
      <c r="BB97" s="110" t="s">
        <v>477</v>
      </c>
      <c r="BC97" s="112">
        <v>4</v>
      </c>
      <c r="BD97" s="112">
        <v>4.93827160493827</v>
      </c>
      <c r="BE97" s="122">
        <f>U97/((VLOOKUP(B97,'Cell-Characteristics'!$B$4:$E$34,3,FALSE)*VLOOKUP(B97,'Cell-Characteristics'!$B$4:$E$34,4,FALSE)*3600)/1000)</f>
        <v>0.146144157867338</v>
      </c>
      <c r="BF97" s="123">
        <f t="shared" si="23"/>
        <v>3340.85544884736</v>
      </c>
      <c r="BG97" s="123">
        <f t="shared" si="21"/>
        <v>0</v>
      </c>
      <c r="BH97" s="123">
        <f t="shared" si="22"/>
        <v>0</v>
      </c>
      <c r="BI97" s="123">
        <f t="shared" si="24"/>
        <v>3340.85544884736</v>
      </c>
      <c r="BJ97" s="123">
        <f>BF97/((VLOOKUP(B97,'Cell-Characteristics'!$B$4:$Q$34,13,FALSE)))</f>
        <v>90.9373250815873</v>
      </c>
      <c r="BK97" s="123">
        <f>BG97/((VLOOKUP(B97,'Cell-Characteristics'!$B$4:$Q$34,14,FALSE)))</f>
        <v>0</v>
      </c>
      <c r="BL97" s="123">
        <f>BH97/((VLOOKUP(B97,'Cell-Characteristics'!$B$4:$Q$34,15,FALSE)))</f>
        <v>0</v>
      </c>
      <c r="BM97" s="123">
        <f>BI97/((VLOOKUP(B97,'Cell-Characteristics'!$B$4:$Q$34,16,FALSE)))</f>
        <v>79.8773801392321</v>
      </c>
      <c r="BN97" s="52">
        <f t="shared" si="25"/>
        <v>2</v>
      </c>
    </row>
    <row r="98" s="52" customFormat="1" ht="16.5" customHeight="1" spans="2:66">
      <c r="B98" s="110" t="s">
        <v>140</v>
      </c>
      <c r="C98" s="110" t="s">
        <v>478</v>
      </c>
      <c r="D98" s="110" t="s">
        <v>405</v>
      </c>
      <c r="E98" s="111" t="s">
        <v>265</v>
      </c>
      <c r="F98" s="112" t="s">
        <v>195</v>
      </c>
      <c r="G98" s="112" t="s">
        <v>196</v>
      </c>
      <c r="H98" s="113">
        <v>44257</v>
      </c>
      <c r="I98" s="114" t="s">
        <v>472</v>
      </c>
      <c r="J98" s="114">
        <v>20</v>
      </c>
      <c r="K98" s="115">
        <v>3.334</v>
      </c>
      <c r="L98" s="116">
        <v>45.46</v>
      </c>
      <c r="M98" s="116">
        <v>49.5</v>
      </c>
      <c r="N98" s="116">
        <v>49.5</v>
      </c>
      <c r="O98" s="115" t="s">
        <v>198</v>
      </c>
      <c r="P98" s="115" t="s">
        <v>198</v>
      </c>
      <c r="Q98" s="117" t="s">
        <v>424</v>
      </c>
      <c r="R98" s="118">
        <v>5.25869090372483</v>
      </c>
      <c r="S98" s="119">
        <v>0.003</v>
      </c>
      <c r="T98" s="119">
        <v>6.00086638998286</v>
      </c>
      <c r="U98" s="116">
        <v>6.00092226753586</v>
      </c>
      <c r="V98" s="116">
        <v>6.00092226753586</v>
      </c>
      <c r="W98" s="116">
        <v>0</v>
      </c>
      <c r="X98" s="116">
        <v>0</v>
      </c>
      <c r="Y98" s="116">
        <v>100</v>
      </c>
      <c r="Z98" s="116">
        <v>0</v>
      </c>
      <c r="AA98" s="116">
        <v>0</v>
      </c>
      <c r="AB98" s="116">
        <v>5.58775529999995e-5</v>
      </c>
      <c r="AC98" s="116">
        <v>0</v>
      </c>
      <c r="AD98" s="120">
        <v>2.0022</v>
      </c>
      <c r="AE98" s="120">
        <v>0</v>
      </c>
      <c r="AF98" s="120">
        <v>2.0022</v>
      </c>
      <c r="AG98" s="116">
        <v>0</v>
      </c>
      <c r="AH98" s="116">
        <v>0</v>
      </c>
      <c r="AI98" s="116">
        <v>0</v>
      </c>
      <c r="AJ98" s="116">
        <v>10.4407</v>
      </c>
      <c r="AK98" s="111">
        <v>24.28672</v>
      </c>
      <c r="AL98" s="116">
        <v>45.31</v>
      </c>
      <c r="AM98" s="116">
        <v>0</v>
      </c>
      <c r="AN98" s="116">
        <v>0</v>
      </c>
      <c r="AO98" s="116">
        <v>0</v>
      </c>
      <c r="AP98" s="116">
        <v>0</v>
      </c>
      <c r="AQ98" s="116">
        <v>0</v>
      </c>
      <c r="AR98" s="116">
        <v>0</v>
      </c>
      <c r="AS98" s="116">
        <v>0.149999999999999</v>
      </c>
      <c r="AT98" s="116">
        <v>0.149999999999999</v>
      </c>
      <c r="AU98" s="116">
        <v>0.329960404751427</v>
      </c>
      <c r="AV98" s="116">
        <v>0</v>
      </c>
      <c r="AW98" s="110"/>
      <c r="AX98" s="110" t="s">
        <v>408</v>
      </c>
      <c r="AY98" s="110" t="s">
        <v>408</v>
      </c>
      <c r="AZ98" s="110" t="s">
        <v>408</v>
      </c>
      <c r="BA98" s="121" t="s">
        <v>408</v>
      </c>
      <c r="BB98" s="110" t="s">
        <v>411</v>
      </c>
      <c r="BC98" s="112">
        <v>6</v>
      </c>
      <c r="BD98" s="112">
        <v>7.40740740740741</v>
      </c>
      <c r="BE98" s="122">
        <f>U98/((VLOOKUP(B98,'Cell-Characteristics'!$B$4:$E$34,3,FALSE)*VLOOKUP(B98,'Cell-Characteristics'!$B$4:$E$34,4,FALSE)*3600)/1000)</f>
        <v>0.131253767881362</v>
      </c>
      <c r="BF98" s="123">
        <f t="shared" si="23"/>
        <v>2997.16425308953</v>
      </c>
      <c r="BG98" s="123" t="e">
        <f t="shared" si="21"/>
        <v>#DIV/0!</v>
      </c>
      <c r="BH98" s="123">
        <f t="shared" si="22"/>
        <v>0</v>
      </c>
      <c r="BI98" s="123">
        <f t="shared" si="24"/>
        <v>4495.7463796343</v>
      </c>
      <c r="BJ98" s="123">
        <f>BF98/((VLOOKUP(B98,'Cell-Characteristics'!$B$4:$Q$34,13,FALSE)))</f>
        <v>81.5821289424991</v>
      </c>
      <c r="BK98" s="123" t="e">
        <f>BG98/((VLOOKUP(B98,'Cell-Characteristics'!$B$4:$Q$34,14,FALSE)))</f>
        <v>#DIV/0!</v>
      </c>
      <c r="BL98" s="123">
        <f>BH98/((VLOOKUP(B98,'Cell-Characteristics'!$B$4:$Q$34,15,FALSE)))</f>
        <v>0</v>
      </c>
      <c r="BM98" s="123">
        <f>BI98/((VLOOKUP(B98,'Cell-Characteristics'!$B$4:$Q$34,16,FALSE)))</f>
        <v>107.489967187752</v>
      </c>
      <c r="BN98" s="52">
        <f t="shared" si="25"/>
        <v>1.3348</v>
      </c>
    </row>
    <row r="99" s="52" customFormat="1" ht="16.5" customHeight="1" spans="2:66">
      <c r="B99" s="110" t="s">
        <v>140</v>
      </c>
      <c r="C99" s="110" t="s">
        <v>479</v>
      </c>
      <c r="D99" s="110" t="s">
        <v>405</v>
      </c>
      <c r="E99" s="111" t="s">
        <v>265</v>
      </c>
      <c r="F99" s="112" t="s">
        <v>195</v>
      </c>
      <c r="G99" s="112" t="s">
        <v>196</v>
      </c>
      <c r="H99" s="113">
        <v>44258</v>
      </c>
      <c r="I99" s="114" t="s">
        <v>480</v>
      </c>
      <c r="J99" s="114">
        <v>40</v>
      </c>
      <c r="K99" s="115">
        <v>3.617</v>
      </c>
      <c r="L99" s="116">
        <v>45.55</v>
      </c>
      <c r="M99" s="116">
        <v>49.5</v>
      </c>
      <c r="N99" s="116">
        <v>49.5</v>
      </c>
      <c r="O99" s="115" t="s">
        <v>198</v>
      </c>
      <c r="P99" s="115" t="s">
        <v>198</v>
      </c>
      <c r="Q99" s="117" t="s">
        <v>481</v>
      </c>
      <c r="R99" s="118">
        <v>26.8566933826698</v>
      </c>
      <c r="S99" s="119">
        <v>0.0104</v>
      </c>
      <c r="T99" s="119">
        <v>28.1962757085982</v>
      </c>
      <c r="U99" s="116">
        <v>28.604906593231</v>
      </c>
      <c r="V99" s="116">
        <v>10.9277188332611</v>
      </c>
      <c r="W99" s="116">
        <v>0.0458351315702013</v>
      </c>
      <c r="X99" s="116">
        <v>17.6313526283997</v>
      </c>
      <c r="Y99" s="116">
        <v>38.2022531611657</v>
      </c>
      <c r="Z99" s="116">
        <v>0.160235207973193</v>
      </c>
      <c r="AA99" s="116">
        <v>61.6375116308612</v>
      </c>
      <c r="AB99" s="116">
        <v>0</v>
      </c>
      <c r="AC99" s="116">
        <v>0.4086308846328</v>
      </c>
      <c r="AD99" s="120">
        <v>3.125</v>
      </c>
      <c r="AE99" s="120">
        <v>0</v>
      </c>
      <c r="AF99" s="120">
        <v>3.125</v>
      </c>
      <c r="AG99" s="116">
        <v>0</v>
      </c>
      <c r="AH99" s="116">
        <v>0</v>
      </c>
      <c r="AI99" s="116">
        <v>0</v>
      </c>
      <c r="AJ99" s="116">
        <v>6.3867</v>
      </c>
      <c r="AK99" s="111">
        <v>16.80411</v>
      </c>
      <c r="AL99" s="116">
        <v>26.16</v>
      </c>
      <c r="AM99" s="116">
        <v>0</v>
      </c>
      <c r="AN99" s="116">
        <v>0</v>
      </c>
      <c r="AO99" s="116">
        <v>0</v>
      </c>
      <c r="AP99" s="116">
        <v>6.22</v>
      </c>
      <c r="AQ99" s="116">
        <v>6.03</v>
      </c>
      <c r="AR99" s="116">
        <v>0.8</v>
      </c>
      <c r="AS99" s="116">
        <v>6.34</v>
      </c>
      <c r="AT99" s="116">
        <v>19.39</v>
      </c>
      <c r="AU99" s="116">
        <v>42.5686059275521</v>
      </c>
      <c r="AV99" s="116">
        <v>0</v>
      </c>
      <c r="AW99" s="110"/>
      <c r="AX99" s="110" t="s">
        <v>408</v>
      </c>
      <c r="AY99" s="110" t="s">
        <v>408</v>
      </c>
      <c r="AZ99" s="110" t="s">
        <v>408</v>
      </c>
      <c r="BA99" s="121" t="s">
        <v>408</v>
      </c>
      <c r="BB99" s="110" t="s">
        <v>411</v>
      </c>
      <c r="BC99" s="112">
        <v>9</v>
      </c>
      <c r="BD99" s="112">
        <v>11.1111111111111</v>
      </c>
      <c r="BE99" s="122">
        <f>U99/((VLOOKUP(B99,'Cell-Characteristics'!$B$4:$E$34,3,FALSE)*VLOOKUP(B99,'Cell-Characteristics'!$B$4:$E$34,4,FALSE)*3600)/1000)</f>
        <v>0.625654124961308</v>
      </c>
      <c r="BF99" s="123">
        <f t="shared" ref="BF99:BH100" si="33">(1000*V99)/AD99</f>
        <v>3496.87002664355</v>
      </c>
      <c r="BG99" s="123" t="e">
        <f t="shared" si="33"/>
        <v>#DIV/0!</v>
      </c>
      <c r="BH99" s="123">
        <f t="shared" si="33"/>
        <v>5642.0328410879</v>
      </c>
      <c r="BI99" s="123">
        <f t="shared" si="24"/>
        <v>13730.3551647509</v>
      </c>
      <c r="BJ99" s="123">
        <f>BF99/((VLOOKUP(B99,'Cell-Characteristics'!$B$4:$Q$34,13,FALSE)))</f>
        <v>95.1840063869441</v>
      </c>
      <c r="BK99" s="123" t="e">
        <f>BG99/((VLOOKUP(B99,'Cell-Characteristics'!$B$4:$Q$34,14,FALSE)))</f>
        <v>#DIV/0!</v>
      </c>
      <c r="BL99" s="123">
        <f>BH99/((VLOOKUP(B99,'Cell-Characteristics'!$B$4:$Q$34,15,FALSE)))</f>
        <v>2218.30338959185</v>
      </c>
      <c r="BM99" s="123">
        <f>BI99/((VLOOKUP(B99,'Cell-Characteristics'!$B$4:$Q$34,16,FALSE)))</f>
        <v>328.28262573284</v>
      </c>
      <c r="BN99" s="52">
        <f t="shared" si="25"/>
        <v>2.08333333333333</v>
      </c>
    </row>
    <row r="100" s="50" customFormat="1" ht="16.5" customHeight="1" spans="2:66">
      <c r="B100" s="53" t="s">
        <v>140</v>
      </c>
      <c r="C100" s="53" t="s">
        <v>482</v>
      </c>
      <c r="D100" s="53" t="s">
        <v>405</v>
      </c>
      <c r="E100" s="55" t="s">
        <v>265</v>
      </c>
      <c r="F100" s="56" t="s">
        <v>195</v>
      </c>
      <c r="G100" s="56" t="s">
        <v>196</v>
      </c>
      <c r="H100" s="57">
        <v>44258</v>
      </c>
      <c r="I100" s="58" t="s">
        <v>480</v>
      </c>
      <c r="J100" s="58">
        <v>40</v>
      </c>
      <c r="K100" s="59">
        <v>3.593</v>
      </c>
      <c r="L100" s="60">
        <v>45.31</v>
      </c>
      <c r="M100" s="60">
        <v>50.7</v>
      </c>
      <c r="N100" s="60">
        <v>47.7</v>
      </c>
      <c r="O100" s="59" t="s">
        <v>198</v>
      </c>
      <c r="P100" s="59" t="s">
        <v>198</v>
      </c>
      <c r="Q100" s="61" t="s">
        <v>424</v>
      </c>
      <c r="R100" s="62">
        <v>10.2570732516233</v>
      </c>
      <c r="S100" s="63">
        <v>0.0017</v>
      </c>
      <c r="T100" s="63">
        <v>10.741046780241</v>
      </c>
      <c r="U100" s="60">
        <v>10.7411826462966</v>
      </c>
      <c r="V100" s="60">
        <v>10.7411826462966</v>
      </c>
      <c r="W100" s="60">
        <v>0</v>
      </c>
      <c r="X100" s="60">
        <v>0</v>
      </c>
      <c r="Y100" s="60">
        <v>100</v>
      </c>
      <c r="Z100" s="60">
        <v>0</v>
      </c>
      <c r="AA100" s="60">
        <v>0</v>
      </c>
      <c r="AB100" s="60">
        <v>0.0001358660556</v>
      </c>
      <c r="AC100" s="60">
        <v>0</v>
      </c>
      <c r="AD100" s="97">
        <v>9.6537</v>
      </c>
      <c r="AE100" s="97">
        <v>4.1671</v>
      </c>
      <c r="AF100" s="97">
        <v>9.6537</v>
      </c>
      <c r="AG100" s="60">
        <v>0</v>
      </c>
      <c r="AH100" s="60">
        <v>0</v>
      </c>
      <c r="AI100" s="60">
        <v>0</v>
      </c>
      <c r="AJ100" s="60">
        <v>17.9989</v>
      </c>
      <c r="AK100" s="55">
        <v>19.55188</v>
      </c>
      <c r="AL100" s="60">
        <v>45.09</v>
      </c>
      <c r="AM100" s="60">
        <v>0</v>
      </c>
      <c r="AN100" s="60">
        <v>0</v>
      </c>
      <c r="AO100" s="60">
        <v>0</v>
      </c>
      <c r="AP100" s="60">
        <v>0</v>
      </c>
      <c r="AQ100" s="60">
        <v>0</v>
      </c>
      <c r="AR100" s="60">
        <v>0</v>
      </c>
      <c r="AS100" s="60">
        <v>0.219999999999999</v>
      </c>
      <c r="AT100" s="60">
        <v>0.219999999999999</v>
      </c>
      <c r="AU100" s="60">
        <v>0.485544030015447</v>
      </c>
      <c r="AV100" s="60">
        <v>0</v>
      </c>
      <c r="AW100" s="53"/>
      <c r="AX100" s="53" t="s">
        <v>408</v>
      </c>
      <c r="AY100" s="53" t="s">
        <v>408</v>
      </c>
      <c r="AZ100" s="53" t="s">
        <v>408</v>
      </c>
      <c r="BA100" s="109" t="s">
        <v>408</v>
      </c>
      <c r="BB100" s="53" t="s">
        <v>411</v>
      </c>
      <c r="BC100" s="56">
        <v>9</v>
      </c>
      <c r="BD100" s="56">
        <v>11.1111111111111</v>
      </c>
      <c r="BE100" s="96">
        <f>U100/((VLOOKUP(B100,'Cell-Characteristics'!$B$4:$E$34,3,FALSE)*VLOOKUP(B100,'Cell-Characteristics'!$B$4:$E$34,4,FALSE)*3600)/1000)</f>
        <v>0.234934003637283</v>
      </c>
      <c r="BF100" s="90">
        <f t="shared" si="33"/>
        <v>1112.64931024339</v>
      </c>
      <c r="BG100" s="90">
        <f t="shared" si="33"/>
        <v>0</v>
      </c>
      <c r="BH100" s="90">
        <f t="shared" si="33"/>
        <v>0</v>
      </c>
      <c r="BI100" s="90">
        <f t="shared" si="24"/>
        <v>1372.7043361473</v>
      </c>
      <c r="BJ100" s="90">
        <f>BF100/((VLOOKUP(B100,'Cell-Characteristics'!$B$4:$Q$34,13,FALSE)))</f>
        <v>30.2860610333548</v>
      </c>
      <c r="BK100" s="90">
        <f>BG100/((VLOOKUP(B100,'Cell-Characteristics'!$B$4:$Q$34,14,FALSE)))</f>
        <v>0</v>
      </c>
      <c r="BL100" s="90">
        <f>BH100/((VLOOKUP(B100,'Cell-Characteristics'!$B$4:$Q$34,15,FALSE)))</f>
        <v>0</v>
      </c>
      <c r="BM100" s="90">
        <f>BI100/((VLOOKUP(B100,'Cell-Characteristics'!$B$4:$Q$34,16,FALSE)))</f>
        <v>32.8203442968598</v>
      </c>
      <c r="BN100" s="50">
        <f t="shared" si="25"/>
        <v>7.82483333333333</v>
      </c>
    </row>
    <row r="101" s="50" customFormat="1" ht="16.5" customHeight="1" spans="2:66">
      <c r="B101" s="53" t="s">
        <v>140</v>
      </c>
      <c r="C101" s="53" t="s">
        <v>483</v>
      </c>
      <c r="D101" s="53" t="s">
        <v>405</v>
      </c>
      <c r="E101" s="55" t="s">
        <v>265</v>
      </c>
      <c r="F101" s="56" t="s">
        <v>195</v>
      </c>
      <c r="G101" s="56" t="s">
        <v>196</v>
      </c>
      <c r="H101" s="57">
        <v>44258</v>
      </c>
      <c r="I101" s="58" t="s">
        <v>484</v>
      </c>
      <c r="J101" s="58">
        <v>0</v>
      </c>
      <c r="K101" s="59">
        <v>2.201</v>
      </c>
      <c r="L101" s="60">
        <v>45.65</v>
      </c>
      <c r="M101" s="60">
        <v>49.5</v>
      </c>
      <c r="N101" s="60">
        <v>51.4</v>
      </c>
      <c r="O101" s="59" t="s">
        <v>198</v>
      </c>
      <c r="P101" s="59" t="s">
        <v>198</v>
      </c>
      <c r="Q101" s="61" t="s">
        <v>424</v>
      </c>
      <c r="R101" s="62">
        <v>2.43790457657886</v>
      </c>
      <c r="S101" s="63">
        <v>0.0001</v>
      </c>
      <c r="T101" s="63">
        <v>2.47683804512061</v>
      </c>
      <c r="U101" s="60">
        <v>2.47687321728621</v>
      </c>
      <c r="V101" s="60">
        <v>2.44071128559609</v>
      </c>
      <c r="W101" s="60">
        <v>0.000154692699587913</v>
      </c>
      <c r="X101" s="60">
        <v>0.0360072389905322</v>
      </c>
      <c r="Y101" s="60">
        <v>98.5400168471384</v>
      </c>
      <c r="Z101" s="60">
        <v>0.00624548315627564</v>
      </c>
      <c r="AA101" s="60">
        <v>1.45373766970534</v>
      </c>
      <c r="AB101" s="60">
        <v>3.51721655999999e-5</v>
      </c>
      <c r="AC101" s="60">
        <v>0</v>
      </c>
      <c r="AD101" s="97">
        <v>0.198899999999998</v>
      </c>
      <c r="AE101" s="97">
        <v>0.198899999999998</v>
      </c>
      <c r="AF101" s="97">
        <v>0</v>
      </c>
      <c r="AG101" s="60">
        <v>0</v>
      </c>
      <c r="AH101" s="60">
        <v>0</v>
      </c>
      <c r="AI101" s="60">
        <v>0</v>
      </c>
      <c r="AJ101" s="60">
        <v>16.6552</v>
      </c>
      <c r="AK101" s="55">
        <v>21.973945</v>
      </c>
      <c r="AL101" s="60">
        <v>45.47</v>
      </c>
      <c r="AM101" s="60">
        <v>0</v>
      </c>
      <c r="AN101" s="60">
        <v>0</v>
      </c>
      <c r="AO101" s="60">
        <v>0</v>
      </c>
      <c r="AP101" s="60">
        <v>0</v>
      </c>
      <c r="AQ101" s="60">
        <v>0</v>
      </c>
      <c r="AR101" s="60">
        <v>0</v>
      </c>
      <c r="AS101" s="60">
        <v>0.18</v>
      </c>
      <c r="AT101" s="60">
        <v>0.18</v>
      </c>
      <c r="AU101" s="60">
        <v>0.394304490690032</v>
      </c>
      <c r="AV101" s="60">
        <v>0.0001</v>
      </c>
      <c r="AW101" s="53"/>
      <c r="AX101" s="53" t="s">
        <v>408</v>
      </c>
      <c r="AY101" s="53" t="s">
        <v>408</v>
      </c>
      <c r="AZ101" s="53" t="s">
        <v>408</v>
      </c>
      <c r="BA101" s="109" t="s">
        <v>408</v>
      </c>
      <c r="BB101" s="53" t="s">
        <v>411</v>
      </c>
      <c r="BC101" s="56">
        <v>4</v>
      </c>
      <c r="BD101" s="56">
        <v>4.93827160493827</v>
      </c>
      <c r="BE101" s="96">
        <f>U101/((VLOOKUP(B101,'Cell-Characteristics'!$B$4:$E$34,3,FALSE)*VLOOKUP(B101,'Cell-Characteristics'!$B$4:$E$34,4,FALSE)*3600)/1000)</f>
        <v>0.054174829774414</v>
      </c>
      <c r="BF101" s="90">
        <f t="shared" si="23"/>
        <v>12271.0471875119</v>
      </c>
      <c r="BG101" s="90">
        <f t="shared" si="21"/>
        <v>0.777741073845724</v>
      </c>
      <c r="BH101" s="90" t="e">
        <f t="shared" si="22"/>
        <v>#DIV/0!</v>
      </c>
      <c r="BI101" s="90">
        <f t="shared" si="24"/>
        <v>18679.2851982371</v>
      </c>
      <c r="BJ101" s="90">
        <f>BF101/((VLOOKUP(B101,'Cell-Characteristics'!$B$4:$Q$34,13,FALSE)))</f>
        <v>334.015112077737</v>
      </c>
      <c r="BK101" s="90">
        <f>BG101/((VLOOKUP(B101,'Cell-Characteristics'!$B$4:$Q$34,14,FALSE)))</f>
        <v>0.305787950713896</v>
      </c>
      <c r="BL101" s="90" t="e">
        <f>BH101/((VLOOKUP(B101,'Cell-Characteristics'!$B$4:$Q$34,15,FALSE)))</f>
        <v>#DIV/0!</v>
      </c>
      <c r="BM101" s="90">
        <f>BI101/((VLOOKUP(B101,'Cell-Characteristics'!$B$4:$Q$34,16,FALSE)))</f>
        <v>446.607878537066</v>
      </c>
      <c r="BN101" s="50">
        <f t="shared" si="25"/>
        <v>0.132599999999999</v>
      </c>
    </row>
    <row r="102" s="50" customFormat="1" ht="16.5" customHeight="1" spans="2:66">
      <c r="B102" s="53" t="s">
        <v>140</v>
      </c>
      <c r="C102" s="53" t="s">
        <v>485</v>
      </c>
      <c r="D102" s="53" t="s">
        <v>405</v>
      </c>
      <c r="E102" s="55" t="s">
        <v>265</v>
      </c>
      <c r="F102" s="56" t="s">
        <v>195</v>
      </c>
      <c r="G102" s="56" t="s">
        <v>196</v>
      </c>
      <c r="H102" s="57">
        <v>44258</v>
      </c>
      <c r="I102" s="58" t="s">
        <v>484</v>
      </c>
      <c r="J102" s="58">
        <v>0</v>
      </c>
      <c r="K102" s="59">
        <v>2.2</v>
      </c>
      <c r="L102" s="60">
        <v>45.64</v>
      </c>
      <c r="M102" s="60">
        <v>49.5</v>
      </c>
      <c r="N102" s="60">
        <v>51.4</v>
      </c>
      <c r="O102" s="59" t="s">
        <v>198</v>
      </c>
      <c r="P102" s="59" t="s">
        <v>198</v>
      </c>
      <c r="Q102" s="61" t="s">
        <v>424</v>
      </c>
      <c r="R102" s="62">
        <v>2.18861176821194</v>
      </c>
      <c r="S102" s="63">
        <v>0.0001</v>
      </c>
      <c r="T102" s="63">
        <v>2.22479553821194</v>
      </c>
      <c r="U102" s="60">
        <v>2.22479686087954</v>
      </c>
      <c r="V102" s="60">
        <v>2.22187127839286</v>
      </c>
      <c r="W102" s="60">
        <v>0.000436671141774282</v>
      </c>
      <c r="X102" s="60">
        <v>0.00248891134491299</v>
      </c>
      <c r="Y102" s="60">
        <v>99.8685011410196</v>
      </c>
      <c r="Z102" s="60">
        <v>0.0196274612506262</v>
      </c>
      <c r="AA102" s="60">
        <v>0.111871397729725</v>
      </c>
      <c r="AB102" s="60">
        <v>1.32266760000016e-6</v>
      </c>
      <c r="AC102" s="60">
        <v>0</v>
      </c>
      <c r="AD102" s="97">
        <v>0.7026</v>
      </c>
      <c r="AE102" s="97">
        <v>0.301500000000001</v>
      </c>
      <c r="AF102" s="97">
        <v>0.7026</v>
      </c>
      <c r="AG102" s="60">
        <v>0</v>
      </c>
      <c r="AH102" s="60">
        <v>0</v>
      </c>
      <c r="AI102" s="60">
        <v>0</v>
      </c>
      <c r="AJ102" s="60">
        <v>10.2279</v>
      </c>
      <c r="AK102" s="55">
        <v>20.643665</v>
      </c>
      <c r="AL102" s="60">
        <v>45.62</v>
      </c>
      <c r="AM102" s="60">
        <v>0</v>
      </c>
      <c r="AN102" s="60">
        <v>0</v>
      </c>
      <c r="AO102" s="60">
        <v>0</v>
      </c>
      <c r="AP102" s="60">
        <v>0</v>
      </c>
      <c r="AQ102" s="60">
        <v>0</v>
      </c>
      <c r="AR102" s="60">
        <v>0</v>
      </c>
      <c r="AS102" s="60">
        <v>0.0200000000000031</v>
      </c>
      <c r="AT102" s="60">
        <v>0.0200000000000031</v>
      </c>
      <c r="AU102" s="60">
        <v>0.0438212094653881</v>
      </c>
      <c r="AV102" s="60">
        <v>0.0001</v>
      </c>
      <c r="AW102" s="53"/>
      <c r="AX102" s="53" t="s">
        <v>408</v>
      </c>
      <c r="AY102" s="53" t="s">
        <v>408</v>
      </c>
      <c r="AZ102" s="53" t="s">
        <v>408</v>
      </c>
      <c r="BA102" s="109" t="s">
        <v>408</v>
      </c>
      <c r="BB102" s="53" t="s">
        <v>411</v>
      </c>
      <c r="BC102" s="56">
        <v>3</v>
      </c>
      <c r="BD102" s="56">
        <v>3.7037037037037</v>
      </c>
      <c r="BE102" s="96">
        <f>U102/((VLOOKUP(B102,'Cell-Characteristics'!$B$4:$E$34,3,FALSE)*VLOOKUP(B102,'Cell-Characteristics'!$B$4:$E$34,4,FALSE)*3600)/1000)</f>
        <v>0.048661348663157</v>
      </c>
      <c r="BF102" s="90">
        <f t="shared" si="23"/>
        <v>3162.35593281079</v>
      </c>
      <c r="BG102" s="90">
        <f t="shared" si="21"/>
        <v>1.44832882843874</v>
      </c>
      <c r="BH102" s="90">
        <f t="shared" si="22"/>
        <v>3.54243003830485</v>
      </c>
      <c r="BI102" s="90">
        <f t="shared" si="24"/>
        <v>3910.69935116811</v>
      </c>
      <c r="BJ102" s="90">
        <f>BF102/((VLOOKUP(B102,'Cell-Characteristics'!$B$4:$Q$34,13,FALSE)))</f>
        <v>86.0786088739395</v>
      </c>
      <c r="BK102" s="90">
        <f>BG102/((VLOOKUP(B102,'Cell-Characteristics'!$B$4:$Q$34,14,FALSE)))</f>
        <v>0.569445949688897</v>
      </c>
      <c r="BL102" s="90">
        <f>BH102/((VLOOKUP(B102,'Cell-Characteristics'!$B$4:$Q$34,15,FALSE)))</f>
        <v>1.39279312664341</v>
      </c>
      <c r="BM102" s="90">
        <f>BI102/((VLOOKUP(B102,'Cell-Characteristics'!$B$4:$Q$34,16,FALSE)))</f>
        <v>93.5019259187877</v>
      </c>
      <c r="BN102" s="50">
        <f t="shared" si="25"/>
        <v>0.5689</v>
      </c>
    </row>
    <row r="103" s="50" customFormat="1" ht="16.5" customHeight="1" spans="2:66">
      <c r="B103" s="53" t="s">
        <v>140</v>
      </c>
      <c r="C103" s="53" t="s">
        <v>486</v>
      </c>
      <c r="D103" s="53" t="s">
        <v>405</v>
      </c>
      <c r="E103" s="55" t="s">
        <v>265</v>
      </c>
      <c r="F103" s="56" t="s">
        <v>195</v>
      </c>
      <c r="G103" s="56" t="s">
        <v>196</v>
      </c>
      <c r="H103" s="57">
        <v>44259</v>
      </c>
      <c r="I103" s="58" t="s">
        <v>484</v>
      </c>
      <c r="J103" s="58">
        <v>0</v>
      </c>
      <c r="K103" s="59">
        <v>2.203</v>
      </c>
      <c r="L103" s="60">
        <v>45.65</v>
      </c>
      <c r="M103" s="60">
        <v>49.5</v>
      </c>
      <c r="N103" s="60">
        <v>51.4</v>
      </c>
      <c r="O103" s="59" t="s">
        <v>198</v>
      </c>
      <c r="P103" s="59" t="s">
        <v>198</v>
      </c>
      <c r="Q103" s="61" t="s">
        <v>424</v>
      </c>
      <c r="R103" s="62">
        <v>1.32002664692339</v>
      </c>
      <c r="S103" s="63">
        <v>0.0001</v>
      </c>
      <c r="T103" s="63">
        <v>1.37034593692339</v>
      </c>
      <c r="U103" s="60">
        <v>1.37037133012639</v>
      </c>
      <c r="V103" s="60">
        <v>1.05313584873128</v>
      </c>
      <c r="W103" s="60">
        <v>0.131060028521438</v>
      </c>
      <c r="X103" s="60">
        <v>0.18617545287367</v>
      </c>
      <c r="Y103" s="60">
        <v>76.8504000031984</v>
      </c>
      <c r="Z103" s="60">
        <v>9.5638332209818</v>
      </c>
      <c r="AA103" s="60">
        <v>13.5857667758197</v>
      </c>
      <c r="AB103" s="60">
        <v>2.5393202999999e-5</v>
      </c>
      <c r="AC103" s="60">
        <v>0</v>
      </c>
      <c r="AD103" s="97">
        <v>1.5563</v>
      </c>
      <c r="AE103" s="97">
        <v>1.5563</v>
      </c>
      <c r="AF103" s="97">
        <v>0</v>
      </c>
      <c r="AG103" s="60">
        <v>0</v>
      </c>
      <c r="AH103" s="60">
        <v>0</v>
      </c>
      <c r="AI103" s="60">
        <v>0</v>
      </c>
      <c r="AJ103" s="60">
        <v>5.5098</v>
      </c>
      <c r="AK103" s="55">
        <v>12.215195</v>
      </c>
      <c r="AL103" s="60">
        <v>45.56</v>
      </c>
      <c r="AM103" s="60">
        <v>0</v>
      </c>
      <c r="AN103" s="60">
        <v>0</v>
      </c>
      <c r="AO103" s="60">
        <v>0</v>
      </c>
      <c r="AP103" s="60">
        <v>0</v>
      </c>
      <c r="AQ103" s="60">
        <v>0</v>
      </c>
      <c r="AR103" s="60">
        <v>0</v>
      </c>
      <c r="AS103" s="60">
        <v>0.0899999999999963</v>
      </c>
      <c r="AT103" s="60">
        <v>0.0899999999999963</v>
      </c>
      <c r="AU103" s="60">
        <v>0.197152245345008</v>
      </c>
      <c r="AV103" s="60">
        <v>0.0001</v>
      </c>
      <c r="AW103" s="53"/>
      <c r="AX103" s="53" t="s">
        <v>408</v>
      </c>
      <c r="AY103" s="53" t="s">
        <v>408</v>
      </c>
      <c r="AZ103" s="53" t="s">
        <v>408</v>
      </c>
      <c r="BA103" s="109" t="s">
        <v>408</v>
      </c>
      <c r="BB103" s="53" t="s">
        <v>411</v>
      </c>
      <c r="BC103" s="56">
        <v>4</v>
      </c>
      <c r="BD103" s="56">
        <v>4.93827160493827</v>
      </c>
      <c r="BE103" s="96">
        <f>U103/((VLOOKUP(B103,'Cell-Characteristics'!$B$4:$E$34,3,FALSE)*VLOOKUP(B103,'Cell-Characteristics'!$B$4:$E$34,4,FALSE)*3600)/1000)</f>
        <v>0.0299731262057391</v>
      </c>
      <c r="BF103" s="90">
        <f t="shared" si="23"/>
        <v>676.692057271272</v>
      </c>
      <c r="BG103" s="90">
        <f t="shared" si="21"/>
        <v>84.2125737463458</v>
      </c>
      <c r="BH103" s="90" t="e">
        <f t="shared" si="22"/>
        <v>#DIV/0!</v>
      </c>
      <c r="BI103" s="90">
        <f t="shared" si="24"/>
        <v>1320.79740100854</v>
      </c>
      <c r="BJ103" s="90">
        <f>BF103/((VLOOKUP(B103,'Cell-Characteristics'!$B$4:$Q$34,13,FALSE)))</f>
        <v>18.4194038127081</v>
      </c>
      <c r="BK103" s="90">
        <f>BG103/((VLOOKUP(B103,'Cell-Characteristics'!$B$4:$Q$34,14,FALSE)))</f>
        <v>33.1102358049641</v>
      </c>
      <c r="BL103" s="90" t="e">
        <f>BH103/((VLOOKUP(B103,'Cell-Characteristics'!$B$4:$Q$34,15,FALSE)))</f>
        <v>#DIV/0!</v>
      </c>
      <c r="BM103" s="90">
        <f>BI103/((VLOOKUP(B103,'Cell-Characteristics'!$B$4:$Q$34,16,FALSE)))</f>
        <v>31.5792879107261</v>
      </c>
      <c r="BN103" s="50">
        <f t="shared" si="25"/>
        <v>1.03753333333333</v>
      </c>
    </row>
    <row r="104" s="50" customFormat="1" ht="16.5" customHeight="1" spans="2:66">
      <c r="B104" s="53" t="s">
        <v>140</v>
      </c>
      <c r="C104" s="53" t="s">
        <v>487</v>
      </c>
      <c r="D104" s="53" t="s">
        <v>405</v>
      </c>
      <c r="E104" s="55" t="s">
        <v>265</v>
      </c>
      <c r="F104" s="56" t="s">
        <v>195</v>
      </c>
      <c r="G104" s="56" t="s">
        <v>196</v>
      </c>
      <c r="H104" s="57">
        <v>44259</v>
      </c>
      <c r="I104" s="58" t="s">
        <v>484</v>
      </c>
      <c r="J104" s="58">
        <v>0</v>
      </c>
      <c r="K104" s="59">
        <v>2.202</v>
      </c>
      <c r="L104" s="60">
        <v>45.55</v>
      </c>
      <c r="M104" s="60">
        <v>49.5</v>
      </c>
      <c r="N104" s="60">
        <v>51.4</v>
      </c>
      <c r="O104" s="59" t="s">
        <v>198</v>
      </c>
      <c r="P104" s="59" t="s">
        <v>198</v>
      </c>
      <c r="Q104" s="61" t="s">
        <v>424</v>
      </c>
      <c r="R104" s="62">
        <v>2.78912375552842</v>
      </c>
      <c r="S104" s="63">
        <v>0.0001</v>
      </c>
      <c r="T104" s="63">
        <v>2.85042789384248</v>
      </c>
      <c r="U104" s="60">
        <v>2.85062065533308</v>
      </c>
      <c r="V104" s="60">
        <v>2.75461222142136</v>
      </c>
      <c r="W104" s="60">
        <v>0.0358258597686152</v>
      </c>
      <c r="X104" s="60">
        <v>0.0601825741431094</v>
      </c>
      <c r="Y104" s="60">
        <v>96.6320164792145</v>
      </c>
      <c r="Z104" s="60">
        <v>1.25677401872432</v>
      </c>
      <c r="AA104" s="60">
        <v>2.11120950206113</v>
      </c>
      <c r="AB104" s="60">
        <v>0.000192761490599995</v>
      </c>
      <c r="AC104" s="60">
        <v>0</v>
      </c>
      <c r="AD104" s="97">
        <v>9.3588</v>
      </c>
      <c r="AE104" s="97">
        <v>9.3588</v>
      </c>
      <c r="AF104" s="97">
        <v>7.2039</v>
      </c>
      <c r="AG104" s="60">
        <v>0</v>
      </c>
      <c r="AH104" s="60">
        <v>0</v>
      </c>
      <c r="AI104" s="60">
        <v>0</v>
      </c>
      <c r="AJ104" s="60">
        <v>6.3935</v>
      </c>
      <c r="AK104" s="55">
        <v>19.78651</v>
      </c>
      <c r="AL104" s="60">
        <v>45.34</v>
      </c>
      <c r="AM104" s="60">
        <v>0</v>
      </c>
      <c r="AN104" s="60">
        <v>0</v>
      </c>
      <c r="AO104" s="60">
        <v>0</v>
      </c>
      <c r="AP104" s="60">
        <v>0</v>
      </c>
      <c r="AQ104" s="60">
        <v>0</v>
      </c>
      <c r="AR104" s="60">
        <v>0</v>
      </c>
      <c r="AS104" s="60">
        <v>0.209999999999994</v>
      </c>
      <c r="AT104" s="60">
        <v>0.209999999999994</v>
      </c>
      <c r="AU104" s="60">
        <v>0.46103183315037</v>
      </c>
      <c r="AV104" s="60">
        <v>0</v>
      </c>
      <c r="AW104" s="53"/>
      <c r="AX104" s="53" t="s">
        <v>408</v>
      </c>
      <c r="AY104" s="53" t="s">
        <v>408</v>
      </c>
      <c r="AZ104" s="53" t="s">
        <v>408</v>
      </c>
      <c r="BA104" s="109" t="s">
        <v>408</v>
      </c>
      <c r="BB104" s="53" t="s">
        <v>411</v>
      </c>
      <c r="BC104" s="56">
        <v>0</v>
      </c>
      <c r="BD104" s="56">
        <v>0</v>
      </c>
      <c r="BE104" s="96">
        <f>U104/((VLOOKUP(B104,'Cell-Characteristics'!$B$4:$E$34,3,FALSE)*VLOOKUP(B104,'Cell-Characteristics'!$B$4:$E$34,4,FALSE)*3600)/1000)</f>
        <v>0.0623495331437682</v>
      </c>
      <c r="BF104" s="90">
        <f t="shared" si="23"/>
        <v>294.333912619285</v>
      </c>
      <c r="BG104" s="90">
        <f t="shared" si="21"/>
        <v>3.82803989492405</v>
      </c>
      <c r="BH104" s="90">
        <f t="shared" si="22"/>
        <v>8.3541656801329</v>
      </c>
      <c r="BI104" s="90">
        <f t="shared" si="24"/>
        <v>329.913853982186</v>
      </c>
      <c r="BJ104" s="90">
        <f>BF104/((VLOOKUP(B104,'Cell-Characteristics'!$B$4:$Q$34,13,FALSE)))</f>
        <v>8.01170212366717</v>
      </c>
      <c r="BK104" s="90">
        <f>BG104/((VLOOKUP(B104,'Cell-Characteristics'!$B$4:$Q$34,14,FALSE)))</f>
        <v>1.50508763659827</v>
      </c>
      <c r="BL104" s="90">
        <f>BH104/((VLOOKUP(B104,'Cell-Characteristics'!$B$4:$Q$34,15,FALSE)))</f>
        <v>3.28464483767119</v>
      </c>
      <c r="BM104" s="90">
        <f>BI104/((VLOOKUP(B104,'Cell-Characteristics'!$B$4:$Q$34,16,FALSE)))</f>
        <v>7.88799597325477</v>
      </c>
      <c r="BN104" s="50">
        <f t="shared" si="25"/>
        <v>8.6405</v>
      </c>
    </row>
    <row r="105" s="50" customFormat="1" ht="16.5" customHeight="1" spans="2:66">
      <c r="B105" s="53" t="s">
        <v>140</v>
      </c>
      <c r="C105" s="53" t="s">
        <v>488</v>
      </c>
      <c r="D105" s="53" t="s">
        <v>405</v>
      </c>
      <c r="E105" s="55" t="s">
        <v>265</v>
      </c>
      <c r="F105" s="56" t="s">
        <v>195</v>
      </c>
      <c r="G105" s="56" t="s">
        <v>196</v>
      </c>
      <c r="H105" s="57">
        <v>44259</v>
      </c>
      <c r="I105" s="58" t="s">
        <v>484</v>
      </c>
      <c r="J105" s="58">
        <v>0</v>
      </c>
      <c r="K105" s="59">
        <v>2.204</v>
      </c>
      <c r="L105" s="60">
        <v>45.57</v>
      </c>
      <c r="M105" s="60">
        <v>49.5</v>
      </c>
      <c r="N105" s="60">
        <v>51.4</v>
      </c>
      <c r="O105" s="59" t="s">
        <v>198</v>
      </c>
      <c r="P105" s="59" t="s">
        <v>198</v>
      </c>
      <c r="Q105" s="61" t="s">
        <v>424</v>
      </c>
      <c r="R105" s="62">
        <v>2.50841851389315</v>
      </c>
      <c r="S105" s="63">
        <v>0.0004</v>
      </c>
      <c r="T105" s="63">
        <v>2.67234306329297</v>
      </c>
      <c r="U105" s="60">
        <v>2.67244699981457</v>
      </c>
      <c r="V105" s="60">
        <v>2.61518865003906</v>
      </c>
      <c r="W105" s="60">
        <v>0.0506836660959647</v>
      </c>
      <c r="X105" s="60">
        <v>0.00657468367954359</v>
      </c>
      <c r="Y105" s="60">
        <v>97.8574561149582</v>
      </c>
      <c r="Z105" s="60">
        <v>1.89652652043171</v>
      </c>
      <c r="AA105" s="60">
        <v>0.246017364610029</v>
      </c>
      <c r="AB105" s="60">
        <v>0.0001039365216</v>
      </c>
      <c r="AC105" s="60">
        <v>0</v>
      </c>
      <c r="AD105" s="97">
        <v>3.7663</v>
      </c>
      <c r="AE105" s="97">
        <v>0.807</v>
      </c>
      <c r="AF105" s="97">
        <v>3.7663</v>
      </c>
      <c r="AG105" s="60">
        <v>0</v>
      </c>
      <c r="AH105" s="60">
        <v>0</v>
      </c>
      <c r="AI105" s="60">
        <v>0</v>
      </c>
      <c r="AJ105" s="60">
        <v>7.4627</v>
      </c>
      <c r="AK105" s="55">
        <v>21.67787</v>
      </c>
      <c r="AL105" s="60">
        <v>45.39</v>
      </c>
      <c r="AM105" s="60">
        <v>0</v>
      </c>
      <c r="AN105" s="60">
        <v>0</v>
      </c>
      <c r="AO105" s="60">
        <v>0</v>
      </c>
      <c r="AP105" s="60">
        <v>0</v>
      </c>
      <c r="AQ105" s="60">
        <v>0</v>
      </c>
      <c r="AR105" s="60">
        <v>0</v>
      </c>
      <c r="AS105" s="60">
        <v>0.18</v>
      </c>
      <c r="AT105" s="60">
        <v>0.18</v>
      </c>
      <c r="AU105" s="60">
        <v>0.394996708360763</v>
      </c>
      <c r="AV105" s="60">
        <v>0</v>
      </c>
      <c r="AW105" s="53"/>
      <c r="AX105" s="53" t="s">
        <v>408</v>
      </c>
      <c r="AY105" s="53" t="s">
        <v>408</v>
      </c>
      <c r="AZ105" s="53" t="s">
        <v>408</v>
      </c>
      <c r="BA105" s="109" t="s">
        <v>408</v>
      </c>
      <c r="BB105" s="53" t="s">
        <v>411</v>
      </c>
      <c r="BC105" s="56">
        <v>5</v>
      </c>
      <c r="BD105" s="56">
        <v>6.17283950617284</v>
      </c>
      <c r="BE105" s="96">
        <f>U105/((VLOOKUP(B105,'Cell-Characteristics'!$B$4:$E$34,3,FALSE)*VLOOKUP(B105,'Cell-Characteristics'!$B$4:$E$34,4,FALSE)*3600)/1000)</f>
        <v>0.0584524715619985</v>
      </c>
      <c r="BF105" s="90">
        <f t="shared" si="23"/>
        <v>694.365464790128</v>
      </c>
      <c r="BG105" s="90">
        <f t="shared" si="21"/>
        <v>62.8050385327939</v>
      </c>
      <c r="BH105" s="90">
        <f t="shared" si="22"/>
        <v>1.74566117397541</v>
      </c>
      <c r="BI105" s="90">
        <f t="shared" si="24"/>
        <v>961.357978733238</v>
      </c>
      <c r="BJ105" s="90">
        <f>BF105/((VLOOKUP(B105,'Cell-Characteristics'!$B$4:$Q$34,13,FALSE)))</f>
        <v>18.9004699436586</v>
      </c>
      <c r="BK105" s="90">
        <f>BG105/((VLOOKUP(B105,'Cell-Characteristics'!$B$4:$Q$34,14,FALSE)))</f>
        <v>24.6933390472572</v>
      </c>
      <c r="BL105" s="90">
        <f>BH105/((VLOOKUP(B105,'Cell-Characteristics'!$B$4:$Q$34,15,FALSE)))</f>
        <v>0.686349443255253</v>
      </c>
      <c r="BM105" s="90">
        <f>BI105/((VLOOKUP(B105,'Cell-Characteristics'!$B$4:$Q$34,16,FALSE)))</f>
        <v>22.9853574609619</v>
      </c>
      <c r="BN105" s="50">
        <f t="shared" si="25"/>
        <v>2.77986666666667</v>
      </c>
    </row>
    <row r="106" s="50" customFormat="1" ht="16.5" customHeight="1" spans="2:66">
      <c r="B106" s="53" t="s">
        <v>140</v>
      </c>
      <c r="C106" s="53" t="s">
        <v>489</v>
      </c>
      <c r="D106" s="53" t="s">
        <v>405</v>
      </c>
      <c r="E106" s="55" t="s">
        <v>265</v>
      </c>
      <c r="F106" s="56" t="s">
        <v>195</v>
      </c>
      <c r="G106" s="56" t="s">
        <v>196</v>
      </c>
      <c r="H106" s="57">
        <v>44259</v>
      </c>
      <c r="I106" s="58" t="s">
        <v>480</v>
      </c>
      <c r="J106" s="58">
        <v>40</v>
      </c>
      <c r="K106" s="59">
        <v>3.601</v>
      </c>
      <c r="L106" s="60">
        <v>45.52</v>
      </c>
      <c r="M106" s="60">
        <v>47.7</v>
      </c>
      <c r="N106" s="60">
        <v>50.7</v>
      </c>
      <c r="O106" s="59" t="s">
        <v>198</v>
      </c>
      <c r="P106" s="59" t="s">
        <v>198</v>
      </c>
      <c r="Q106" s="61" t="s">
        <v>381</v>
      </c>
      <c r="R106" s="62">
        <v>37.9900466805886</v>
      </c>
      <c r="S106" s="63">
        <v>0.018</v>
      </c>
      <c r="T106" s="63">
        <v>39.5340978862125</v>
      </c>
      <c r="U106" s="60">
        <v>40.4851552098572</v>
      </c>
      <c r="V106" s="60">
        <v>9.79554917692799</v>
      </c>
      <c r="W106" s="60">
        <v>30.686595788734</v>
      </c>
      <c r="X106" s="60">
        <v>0.00301024419527913</v>
      </c>
      <c r="Y106" s="60">
        <v>24.1954097153689</v>
      </c>
      <c r="Z106" s="60">
        <v>75.7971548575476</v>
      </c>
      <c r="AA106" s="60">
        <v>0.00743542708352072</v>
      </c>
      <c r="AB106" s="60">
        <v>0.9510573236448</v>
      </c>
      <c r="AC106" s="60">
        <v>0</v>
      </c>
      <c r="AD106" s="97">
        <v>4.97</v>
      </c>
      <c r="AE106" s="97">
        <v>0.6516</v>
      </c>
      <c r="AF106" s="97">
        <v>0</v>
      </c>
      <c r="AG106" s="60">
        <v>0</v>
      </c>
      <c r="AH106" s="60">
        <v>0</v>
      </c>
      <c r="AI106" s="60">
        <v>0</v>
      </c>
      <c r="AJ106" s="60">
        <v>9.6629</v>
      </c>
      <c r="AK106" s="55">
        <v>23.50079</v>
      </c>
      <c r="AL106" s="60">
        <v>10.68</v>
      </c>
      <c r="AM106" s="60">
        <v>6.94</v>
      </c>
      <c r="AN106" s="60">
        <v>18.34</v>
      </c>
      <c r="AO106" s="60">
        <v>0.84</v>
      </c>
      <c r="AP106" s="60">
        <v>0</v>
      </c>
      <c r="AQ106" s="60">
        <v>0</v>
      </c>
      <c r="AR106" s="60">
        <v>0</v>
      </c>
      <c r="AS106" s="60">
        <v>8.72</v>
      </c>
      <c r="AT106" s="60">
        <v>34.84</v>
      </c>
      <c r="AU106" s="60">
        <v>76.5377855887522</v>
      </c>
      <c r="AV106" s="60">
        <v>0</v>
      </c>
      <c r="AW106" s="53" t="s">
        <v>490</v>
      </c>
      <c r="AX106" s="53" t="s">
        <v>408</v>
      </c>
      <c r="AY106" s="53" t="s">
        <v>408</v>
      </c>
      <c r="AZ106" s="53" t="s">
        <v>408</v>
      </c>
      <c r="BA106" s="109" t="s">
        <v>408</v>
      </c>
      <c r="BB106" s="53" t="s">
        <v>411</v>
      </c>
      <c r="BC106" s="56">
        <v>4</v>
      </c>
      <c r="BD106" s="56">
        <v>4.93827160493827</v>
      </c>
      <c r="BE106" s="96">
        <f>U106/((VLOOKUP(B106,'Cell-Characteristics'!$B$4:$E$34,3,FALSE)*VLOOKUP(B106,'Cell-Characteristics'!$B$4:$E$34,4,FALSE)*3600)/1000)</f>
        <v>0.885502082455319</v>
      </c>
      <c r="BF106" s="90">
        <f t="shared" ref="BF106:BH113" si="34">(1000*V106)/AD106</f>
        <v>1970.93544807404</v>
      </c>
      <c r="BG106" s="90">
        <f t="shared" si="34"/>
        <v>47094.2231257428</v>
      </c>
      <c r="BH106" s="90" t="e">
        <f t="shared" si="34"/>
        <v>#DIV/0!</v>
      </c>
      <c r="BI106" s="90">
        <f t="shared" ref="BI106:BI113" si="35">(1000*U106)/AVERAGE(AD106:AF106)</f>
        <v>21605.1418865753</v>
      </c>
      <c r="BJ106" s="90">
        <f>BF106/((VLOOKUP(B106,'Cell-Characteristics'!$B$4:$Q$34,13,FALSE)))</f>
        <v>53.6484143958311</v>
      </c>
      <c r="BK106" s="90">
        <f>BG106/((VLOOKUP(B106,'Cell-Characteristics'!$B$4:$Q$34,14,FALSE)))</f>
        <v>18516.2471989238</v>
      </c>
      <c r="BL106" s="90" t="e">
        <f>BH106/((VLOOKUP(B106,'Cell-Characteristics'!$B$4:$Q$34,15,FALSE)))</f>
        <v>#DIV/0!</v>
      </c>
      <c r="BM106" s="90">
        <f>BI106/((VLOOKUP(B106,'Cell-Characteristics'!$B$4:$Q$34,16,FALSE)))</f>
        <v>516.562945586716</v>
      </c>
      <c r="BN106" s="50">
        <f t="shared" ref="BN106:BN113" si="36">AVERAGE(AD106:AF106)</f>
        <v>1.87386666666667</v>
      </c>
    </row>
    <row r="107" s="52" customFormat="1" ht="16.5" customHeight="1" spans="2:66">
      <c r="B107" s="110" t="s">
        <v>140</v>
      </c>
      <c r="C107" s="110" t="s">
        <v>491</v>
      </c>
      <c r="D107" s="110" t="s">
        <v>405</v>
      </c>
      <c r="E107" s="111" t="s">
        <v>265</v>
      </c>
      <c r="F107" s="112" t="s">
        <v>195</v>
      </c>
      <c r="G107" s="112" t="s">
        <v>196</v>
      </c>
      <c r="H107" s="113">
        <v>44258</v>
      </c>
      <c r="I107" s="114" t="s">
        <v>480</v>
      </c>
      <c r="J107" s="114">
        <v>40</v>
      </c>
      <c r="K107" s="115">
        <v>3.62</v>
      </c>
      <c r="L107" s="116">
        <v>45.62</v>
      </c>
      <c r="M107" s="116">
        <v>49.5</v>
      </c>
      <c r="N107" s="116">
        <v>52.4</v>
      </c>
      <c r="O107" s="115" t="s">
        <v>198</v>
      </c>
      <c r="P107" s="115" t="s">
        <v>198</v>
      </c>
      <c r="Q107" s="117" t="s">
        <v>481</v>
      </c>
      <c r="R107" s="118">
        <v>42.973107237633</v>
      </c>
      <c r="S107" s="119">
        <v>0.0123</v>
      </c>
      <c r="T107" s="119">
        <v>44.7099288301058</v>
      </c>
      <c r="U107" s="116">
        <v>44.9447789201522</v>
      </c>
      <c r="V107" s="116">
        <v>31.7758627997792</v>
      </c>
      <c r="W107" s="116">
        <v>1.02314776825016</v>
      </c>
      <c r="X107" s="116">
        <v>12.1457683521228</v>
      </c>
      <c r="Y107" s="116">
        <v>70.6997866342417</v>
      </c>
      <c r="Z107" s="116">
        <v>2.27645522535077</v>
      </c>
      <c r="AA107" s="116">
        <v>27.0237581404075</v>
      </c>
      <c r="AB107" s="116">
        <v>0</v>
      </c>
      <c r="AC107" s="116">
        <v>0.2348500900464</v>
      </c>
      <c r="AD107" s="120">
        <v>2.5562</v>
      </c>
      <c r="AE107" s="120">
        <v>0</v>
      </c>
      <c r="AF107" s="120">
        <v>2.5562</v>
      </c>
      <c r="AG107" s="116">
        <v>0</v>
      </c>
      <c r="AH107" s="116">
        <v>0</v>
      </c>
      <c r="AI107" s="116">
        <v>0</v>
      </c>
      <c r="AJ107" s="116">
        <v>10.3527</v>
      </c>
      <c r="AK107" s="111">
        <v>18.95347</v>
      </c>
      <c r="AL107" s="116">
        <v>36.19</v>
      </c>
      <c r="AM107" s="116">
        <v>0</v>
      </c>
      <c r="AN107" s="116">
        <v>0</v>
      </c>
      <c r="AO107" s="116">
        <v>0</v>
      </c>
      <c r="AP107" s="116">
        <v>0.68</v>
      </c>
      <c r="AQ107" s="116">
        <v>2.11</v>
      </c>
      <c r="AR107" s="116">
        <v>0.52</v>
      </c>
      <c r="AS107" s="116">
        <v>6.12</v>
      </c>
      <c r="AT107" s="116">
        <v>9.43</v>
      </c>
      <c r="AU107" s="116">
        <v>20.670758439281</v>
      </c>
      <c r="AV107" s="116">
        <v>0</v>
      </c>
      <c r="AW107" s="110" t="s">
        <v>492</v>
      </c>
      <c r="AX107" s="110" t="s">
        <v>408</v>
      </c>
      <c r="AY107" s="110" t="s">
        <v>408</v>
      </c>
      <c r="AZ107" s="110" t="s">
        <v>408</v>
      </c>
      <c r="BA107" s="121" t="s">
        <v>408</v>
      </c>
      <c r="BB107" s="110" t="s">
        <v>411</v>
      </c>
      <c r="BC107" s="112">
        <v>3</v>
      </c>
      <c r="BD107" s="112">
        <v>3.7037037037037</v>
      </c>
      <c r="BE107" s="122">
        <f>U107/((VLOOKUP(B107,'Cell-Characteristics'!$B$4:$E$34,3,FALSE)*VLOOKUP(B107,'Cell-Characteristics'!$B$4:$E$34,4,FALSE)*3600)/1000)</f>
        <v>0.983044158358535</v>
      </c>
      <c r="BF107" s="123">
        <f t="shared" si="34"/>
        <v>12430.8985211561</v>
      </c>
      <c r="BG107" s="123" t="e">
        <f t="shared" si="34"/>
        <v>#DIV/0!</v>
      </c>
      <c r="BH107" s="123">
        <f t="shared" si="34"/>
        <v>4751.4937610996</v>
      </c>
      <c r="BI107" s="123">
        <f t="shared" si="35"/>
        <v>26373.9802754981</v>
      </c>
      <c r="BJ107" s="123">
        <f>BF107/((VLOOKUP(B107,'Cell-Characteristics'!$B$4:$Q$34,13,FALSE)))</f>
        <v>338.366229004194</v>
      </c>
      <c r="BK107" s="123" t="e">
        <f>BG107/((VLOOKUP(B107,'Cell-Characteristics'!$B$4:$Q$34,14,FALSE)))</f>
        <v>#DIV/0!</v>
      </c>
      <c r="BL107" s="123">
        <f>BH107/((VLOOKUP(B107,'Cell-Characteristics'!$B$4:$Q$34,15,FALSE)))</f>
        <v>1868.16614024518</v>
      </c>
      <c r="BM107" s="123">
        <f>BI107/((VLOOKUP(B107,'Cell-Characteristics'!$B$4:$Q$34,16,FALSE)))</f>
        <v>630.582340513239</v>
      </c>
      <c r="BN107" s="52">
        <f t="shared" si="36"/>
        <v>1.70413333333333</v>
      </c>
    </row>
    <row r="108" s="50" customFormat="1" ht="16.5" customHeight="1" spans="2:66">
      <c r="B108" s="53" t="s">
        <v>140</v>
      </c>
      <c r="C108" s="53" t="s">
        <v>493</v>
      </c>
      <c r="D108" s="53" t="s">
        <v>405</v>
      </c>
      <c r="E108" s="55" t="s">
        <v>265</v>
      </c>
      <c r="F108" s="56" t="s">
        <v>195</v>
      </c>
      <c r="G108" s="56" t="s">
        <v>196</v>
      </c>
      <c r="H108" s="57">
        <v>44258</v>
      </c>
      <c r="I108" s="58" t="s">
        <v>480</v>
      </c>
      <c r="J108" s="58">
        <v>40</v>
      </c>
      <c r="K108" s="59">
        <v>3.621</v>
      </c>
      <c r="L108" s="60">
        <v>45.64</v>
      </c>
      <c r="M108" s="60">
        <v>50.2</v>
      </c>
      <c r="N108" s="60">
        <v>47.7</v>
      </c>
      <c r="O108" s="59" t="s">
        <v>198</v>
      </c>
      <c r="P108" s="59" t="s">
        <v>198</v>
      </c>
      <c r="Q108" s="61" t="s">
        <v>381</v>
      </c>
      <c r="R108" s="62">
        <v>18.0803011317676</v>
      </c>
      <c r="S108" s="63">
        <v>0.0041</v>
      </c>
      <c r="T108" s="63">
        <v>18.9373123692524</v>
      </c>
      <c r="U108" s="60">
        <v>19.0459257146006</v>
      </c>
      <c r="V108" s="60">
        <v>6.97053819690725</v>
      </c>
      <c r="W108" s="60">
        <v>11.8529377987687</v>
      </c>
      <c r="X108" s="60">
        <v>0.222449718924637</v>
      </c>
      <c r="Y108" s="60">
        <v>36.5985791468443</v>
      </c>
      <c r="Z108" s="60">
        <v>62.233455996745</v>
      </c>
      <c r="AA108" s="60">
        <v>1.16796485641077</v>
      </c>
      <c r="AB108" s="60">
        <v>0.1086133453482</v>
      </c>
      <c r="AC108" s="60">
        <v>0</v>
      </c>
      <c r="AD108" s="97">
        <v>2.2075</v>
      </c>
      <c r="AE108" s="97">
        <v>2.2075</v>
      </c>
      <c r="AF108" s="97">
        <v>0</v>
      </c>
      <c r="AG108" s="60">
        <v>0</v>
      </c>
      <c r="AH108" s="60">
        <v>0</v>
      </c>
      <c r="AI108" s="60">
        <v>0</v>
      </c>
      <c r="AJ108" s="60">
        <v>7.5241</v>
      </c>
      <c r="AK108" s="55">
        <v>20.75295</v>
      </c>
      <c r="AL108" s="60">
        <v>27.47</v>
      </c>
      <c r="AM108" s="60">
        <v>7.14</v>
      </c>
      <c r="AN108" s="60">
        <v>8.75</v>
      </c>
      <c r="AO108" s="60">
        <v>0.41</v>
      </c>
      <c r="AP108" s="60">
        <v>0</v>
      </c>
      <c r="AQ108" s="60">
        <v>0</v>
      </c>
      <c r="AR108" s="60">
        <v>0</v>
      </c>
      <c r="AS108" s="60">
        <v>1.87</v>
      </c>
      <c r="AT108" s="60">
        <v>18.17</v>
      </c>
      <c r="AU108" s="60">
        <v>39.8115687992989</v>
      </c>
      <c r="AV108" s="60">
        <v>0</v>
      </c>
      <c r="AW108" s="53" t="s">
        <v>492</v>
      </c>
      <c r="AX108" s="53" t="s">
        <v>408</v>
      </c>
      <c r="AY108" s="53" t="s">
        <v>408</v>
      </c>
      <c r="AZ108" s="53" t="s">
        <v>408</v>
      </c>
      <c r="BA108" s="109" t="s">
        <v>408</v>
      </c>
      <c r="BB108" s="53" t="s">
        <v>411</v>
      </c>
      <c r="BC108" s="56">
        <v>3</v>
      </c>
      <c r="BD108" s="56">
        <v>3.7037037037037</v>
      </c>
      <c r="BE108" s="96">
        <f>U108/((VLOOKUP(B108,'Cell-Characteristics'!$B$4:$E$34,3,FALSE)*VLOOKUP(B108,'Cell-Characteristics'!$B$4:$E$34,4,FALSE)*3600)/1000)</f>
        <v>0.416577552812787</v>
      </c>
      <c r="BF108" s="90">
        <f t="shared" si="34"/>
        <v>3157.66169735323</v>
      </c>
      <c r="BG108" s="90">
        <f t="shared" si="34"/>
        <v>5369.39424632784</v>
      </c>
      <c r="BH108" s="90" t="e">
        <f t="shared" si="34"/>
        <v>#DIV/0!</v>
      </c>
      <c r="BI108" s="90">
        <f t="shared" si="35"/>
        <v>12941.7388774183</v>
      </c>
      <c r="BJ108" s="90">
        <f>BF108/((VLOOKUP(B108,'Cell-Characteristics'!$B$4:$Q$34,13,FALSE)))</f>
        <v>85.9508328529922</v>
      </c>
      <c r="BK108" s="90">
        <f>BG108/((VLOOKUP(B108,'Cell-Characteristics'!$B$4:$Q$34,14,FALSE)))</f>
        <v>2111.10884891399</v>
      </c>
      <c r="BL108" s="90" t="e">
        <f>BH108/((VLOOKUP(B108,'Cell-Characteristics'!$B$4:$Q$34,15,FALSE)))</f>
        <v>#DIV/0!</v>
      </c>
      <c r="BM108" s="90">
        <f>BI108/((VLOOKUP(B108,'Cell-Characteristics'!$B$4:$Q$34,16,FALSE)))</f>
        <v>309.427394211528</v>
      </c>
      <c r="BN108" s="50">
        <f t="shared" si="36"/>
        <v>1.47166666666667</v>
      </c>
    </row>
    <row r="109" s="50" customFormat="1" ht="16.5" customHeight="1" spans="2:66">
      <c r="B109" s="53" t="s">
        <v>140</v>
      </c>
      <c r="C109" s="53" t="s">
        <v>494</v>
      </c>
      <c r="D109" s="53" t="s">
        <v>405</v>
      </c>
      <c r="E109" s="55" t="s">
        <v>265</v>
      </c>
      <c r="F109" s="56" t="s">
        <v>195</v>
      </c>
      <c r="G109" s="56" t="s">
        <v>196</v>
      </c>
      <c r="H109" s="57">
        <v>44259</v>
      </c>
      <c r="I109" s="58" t="s">
        <v>495</v>
      </c>
      <c r="J109" s="58">
        <v>60</v>
      </c>
      <c r="K109" s="59">
        <v>3.789</v>
      </c>
      <c r="L109" s="60">
        <v>45.54</v>
      </c>
      <c r="M109" s="60">
        <v>49.1</v>
      </c>
      <c r="N109" s="60">
        <v>47.7</v>
      </c>
      <c r="O109" s="59" t="s">
        <v>198</v>
      </c>
      <c r="P109" s="59" t="s">
        <v>198</v>
      </c>
      <c r="Q109" s="61" t="s">
        <v>381</v>
      </c>
      <c r="R109" s="62">
        <v>53.7103950989507</v>
      </c>
      <c r="S109" s="63">
        <v>0.0001</v>
      </c>
      <c r="T109" s="63">
        <v>53.7195579389507</v>
      </c>
      <c r="U109" s="60">
        <v>54.8416240631843</v>
      </c>
      <c r="V109" s="60">
        <v>22.4085200500699</v>
      </c>
      <c r="W109" s="60">
        <v>32.4157030711165</v>
      </c>
      <c r="X109" s="60">
        <v>0.0174009419978634</v>
      </c>
      <c r="Y109" s="60">
        <v>40.8604238712052</v>
      </c>
      <c r="Z109" s="60">
        <v>59.1078466855205</v>
      </c>
      <c r="AA109" s="60">
        <v>0.0317294432743557</v>
      </c>
      <c r="AB109" s="60">
        <v>1.1220661242336</v>
      </c>
      <c r="AC109" s="60">
        <v>0</v>
      </c>
      <c r="AD109" s="97">
        <v>2.3072</v>
      </c>
      <c r="AE109" s="97">
        <v>2.3072</v>
      </c>
      <c r="AF109" s="97">
        <v>0</v>
      </c>
      <c r="AG109" s="60">
        <v>0</v>
      </c>
      <c r="AH109" s="60">
        <v>0</v>
      </c>
      <c r="AI109" s="60">
        <v>0</v>
      </c>
      <c r="AJ109" s="60">
        <v>7.8374</v>
      </c>
      <c r="AK109" s="55">
        <v>15.48344</v>
      </c>
      <c r="AL109" s="60">
        <v>25.96</v>
      </c>
      <c r="AM109" s="60">
        <v>0</v>
      </c>
      <c r="AN109" s="60">
        <v>10.02</v>
      </c>
      <c r="AO109" s="60">
        <v>0.72</v>
      </c>
      <c r="AP109" s="60">
        <v>0</v>
      </c>
      <c r="AQ109" s="60">
        <v>0</v>
      </c>
      <c r="AR109" s="60">
        <v>0</v>
      </c>
      <c r="AS109" s="60">
        <v>8.84</v>
      </c>
      <c r="AT109" s="60">
        <v>19.58</v>
      </c>
      <c r="AU109" s="60">
        <v>42.9951690821256</v>
      </c>
      <c r="AV109" s="60">
        <v>0</v>
      </c>
      <c r="AW109" s="53" t="s">
        <v>496</v>
      </c>
      <c r="AX109" s="53" t="s">
        <v>408</v>
      </c>
      <c r="AY109" s="53" t="s">
        <v>408</v>
      </c>
      <c r="AZ109" s="53" t="s">
        <v>408</v>
      </c>
      <c r="BA109" s="109" t="s">
        <v>408</v>
      </c>
      <c r="BB109" s="53" t="s">
        <v>411</v>
      </c>
      <c r="BC109" s="56">
        <v>9</v>
      </c>
      <c r="BD109" s="56">
        <v>11.1111111111111</v>
      </c>
      <c r="BE109" s="96">
        <f>U109/((VLOOKUP(B109,'Cell-Characteristics'!$B$4:$E$34,3,FALSE)*VLOOKUP(B109,'Cell-Characteristics'!$B$4:$E$34,4,FALSE)*3600)/1000)</f>
        <v>1.19951058755871</v>
      </c>
      <c r="BF109" s="90">
        <f t="shared" si="34"/>
        <v>9712.43067357399</v>
      </c>
      <c r="BG109" s="90">
        <f t="shared" si="34"/>
        <v>14049.8019552343</v>
      </c>
      <c r="BH109" s="90" t="e">
        <f t="shared" si="34"/>
        <v>#DIV/0!</v>
      </c>
      <c r="BI109" s="90">
        <f t="shared" si="35"/>
        <v>35654.6619689565</v>
      </c>
      <c r="BJ109" s="90">
        <f>BF109/((VLOOKUP(B109,'Cell-Characteristics'!$B$4:$Q$34,13,FALSE)))</f>
        <v>264.370152800206</v>
      </c>
      <c r="BK109" s="90">
        <f>BG109/((VLOOKUP(B109,'Cell-Characteristics'!$B$4:$Q$34,14,FALSE)))</f>
        <v>5524.0237301385</v>
      </c>
      <c r="BL109" s="90" t="e">
        <f>BH109/((VLOOKUP(B109,'Cell-Characteristics'!$B$4:$Q$34,15,FALSE)))</f>
        <v>#DIV/0!</v>
      </c>
      <c r="BM109" s="90">
        <f>BI109/((VLOOKUP(B109,'Cell-Characteristics'!$B$4:$Q$34,16,FALSE)))</f>
        <v>852.476568183387</v>
      </c>
      <c r="BN109" s="50">
        <f t="shared" si="36"/>
        <v>1.53813333333333</v>
      </c>
    </row>
    <row r="110" s="50" customFormat="1" ht="16.5" customHeight="1" spans="2:66">
      <c r="B110" s="53" t="s">
        <v>140</v>
      </c>
      <c r="C110" s="53" t="s">
        <v>497</v>
      </c>
      <c r="D110" s="53" t="s">
        <v>405</v>
      </c>
      <c r="E110" s="55" t="s">
        <v>265</v>
      </c>
      <c r="F110" s="56" t="s">
        <v>195</v>
      </c>
      <c r="G110" s="56" t="s">
        <v>196</v>
      </c>
      <c r="H110" s="57">
        <v>44259</v>
      </c>
      <c r="I110" s="58" t="s">
        <v>495</v>
      </c>
      <c r="J110" s="58">
        <v>60</v>
      </c>
      <c r="K110" s="59">
        <v>3.79</v>
      </c>
      <c r="L110" s="60">
        <v>45.64</v>
      </c>
      <c r="M110" s="60">
        <v>49.5</v>
      </c>
      <c r="N110" s="60">
        <v>51.4</v>
      </c>
      <c r="O110" s="59" t="s">
        <v>198</v>
      </c>
      <c r="P110" s="59" t="s">
        <v>198</v>
      </c>
      <c r="Q110" s="61" t="s">
        <v>381</v>
      </c>
      <c r="R110" s="62">
        <v>52.3861045327298</v>
      </c>
      <c r="S110" s="63">
        <v>0.0152</v>
      </c>
      <c r="T110" s="63">
        <v>53.9851737181828</v>
      </c>
      <c r="U110" s="60">
        <v>55.1920636421068</v>
      </c>
      <c r="V110" s="60">
        <v>26.2886397214649</v>
      </c>
      <c r="W110" s="60">
        <v>28.8980598987363</v>
      </c>
      <c r="X110" s="60">
        <v>0.0053640219055258</v>
      </c>
      <c r="Y110" s="60">
        <v>47.6311954775486</v>
      </c>
      <c r="Z110" s="60">
        <v>52.3590856941425</v>
      </c>
      <c r="AA110" s="60">
        <v>0.00971882830891925</v>
      </c>
      <c r="AB110" s="60">
        <v>1.206889923924</v>
      </c>
      <c r="AC110" s="60">
        <v>0</v>
      </c>
      <c r="AD110" s="97">
        <v>3.6294</v>
      </c>
      <c r="AE110" s="97">
        <v>1.3418</v>
      </c>
      <c r="AF110" s="97">
        <v>0</v>
      </c>
      <c r="AG110" s="60">
        <v>0</v>
      </c>
      <c r="AH110" s="60">
        <v>0</v>
      </c>
      <c r="AI110" s="60">
        <v>0</v>
      </c>
      <c r="AJ110" s="60">
        <v>6.7869</v>
      </c>
      <c r="AK110" s="55">
        <v>26.935945</v>
      </c>
      <c r="AL110" s="60">
        <v>25.71</v>
      </c>
      <c r="AM110" s="60">
        <v>1.09</v>
      </c>
      <c r="AN110" s="60">
        <v>8</v>
      </c>
      <c r="AO110" s="60">
        <v>0.82</v>
      </c>
      <c r="AP110" s="60">
        <v>0</v>
      </c>
      <c r="AQ110" s="60">
        <v>0</v>
      </c>
      <c r="AR110" s="60">
        <v>0</v>
      </c>
      <c r="AS110" s="60">
        <v>10.02</v>
      </c>
      <c r="AT110" s="60">
        <v>19.93</v>
      </c>
      <c r="AU110" s="60">
        <v>43.6678352322524</v>
      </c>
      <c r="AV110" s="60">
        <v>0</v>
      </c>
      <c r="AW110" s="53"/>
      <c r="AX110" s="53" t="s">
        <v>408</v>
      </c>
      <c r="AY110" s="53" t="s">
        <v>408</v>
      </c>
      <c r="AZ110" s="53" t="s">
        <v>408</v>
      </c>
      <c r="BA110" s="109" t="s">
        <v>408</v>
      </c>
      <c r="BB110" s="53" t="s">
        <v>411</v>
      </c>
      <c r="BC110" s="56">
        <v>3</v>
      </c>
      <c r="BD110" s="56">
        <v>3.7037037037037</v>
      </c>
      <c r="BE110" s="96">
        <f>U110/((VLOOKUP(B110,'Cell-Characteristics'!$B$4:$E$34,3,FALSE)*VLOOKUP(B110,'Cell-Characteristics'!$B$4:$E$34,4,FALSE)*3600)/1000)</f>
        <v>1.20717549523418</v>
      </c>
      <c r="BF110" s="90">
        <f t="shared" si="34"/>
        <v>7243.24674091169</v>
      </c>
      <c r="BG110" s="90">
        <f t="shared" si="34"/>
        <v>21536.7863308513</v>
      </c>
      <c r="BH110" s="90" t="e">
        <f t="shared" si="34"/>
        <v>#DIV/0!</v>
      </c>
      <c r="BI110" s="90">
        <f t="shared" si="35"/>
        <v>33307.0870064211</v>
      </c>
      <c r="BJ110" s="90">
        <f>BF110/((VLOOKUP(B110,'Cell-Characteristics'!$B$4:$Q$34,13,FALSE)))</f>
        <v>197.159528033962</v>
      </c>
      <c r="BK110" s="90">
        <f>BG110/((VLOOKUP(B110,'Cell-Characteristics'!$B$4:$Q$34,14,FALSE)))</f>
        <v>8467.71499994154</v>
      </c>
      <c r="BL110" s="90" t="e">
        <f>BH110/((VLOOKUP(B110,'Cell-Characteristics'!$B$4:$Q$34,15,FALSE)))</f>
        <v>#DIV/0!</v>
      </c>
      <c r="BM110" s="90">
        <f>BI110/((VLOOKUP(B110,'Cell-Characteristics'!$B$4:$Q$34,16,FALSE)))</f>
        <v>796.347789025197</v>
      </c>
      <c r="BN110" s="50">
        <f t="shared" si="36"/>
        <v>1.65706666666667</v>
      </c>
    </row>
    <row r="111" s="50" customFormat="1" ht="14.1" customHeight="1" spans="2:66">
      <c r="B111" s="53" t="s">
        <v>140</v>
      </c>
      <c r="C111" s="53" t="s">
        <v>498</v>
      </c>
      <c r="D111" s="53" t="s">
        <v>405</v>
      </c>
      <c r="E111" s="55" t="s">
        <v>265</v>
      </c>
      <c r="F111" s="56" t="s">
        <v>195</v>
      </c>
      <c r="G111" s="56" t="s">
        <v>196</v>
      </c>
      <c r="H111" s="57">
        <v>44259</v>
      </c>
      <c r="I111" s="58" t="s">
        <v>495</v>
      </c>
      <c r="J111" s="58">
        <v>60</v>
      </c>
      <c r="K111" s="59">
        <v>3.792</v>
      </c>
      <c r="L111" s="60">
        <v>45.6</v>
      </c>
      <c r="M111" s="60">
        <v>49.8</v>
      </c>
      <c r="N111" s="60">
        <v>47.7</v>
      </c>
      <c r="O111" s="59" t="s">
        <v>198</v>
      </c>
      <c r="P111" s="59" t="s">
        <v>198</v>
      </c>
      <c r="Q111" s="61" t="s">
        <v>381</v>
      </c>
      <c r="R111" s="62">
        <v>51.6703339393098</v>
      </c>
      <c r="S111" s="63">
        <v>0.014</v>
      </c>
      <c r="T111" s="63">
        <v>53.0623038436728</v>
      </c>
      <c r="U111" s="60">
        <v>53.8897357605606</v>
      </c>
      <c r="V111" s="60">
        <v>17.1252056224949</v>
      </c>
      <c r="W111" s="60">
        <v>36.7344635609807</v>
      </c>
      <c r="X111" s="60">
        <v>0.0300665770849735</v>
      </c>
      <c r="Y111" s="60">
        <v>31.7782326834641</v>
      </c>
      <c r="Z111" s="60">
        <v>68.1659745451285</v>
      </c>
      <c r="AA111" s="60">
        <v>0.0557927714074595</v>
      </c>
      <c r="AB111" s="60">
        <v>0.8274319168878</v>
      </c>
      <c r="AC111" s="60">
        <v>0</v>
      </c>
      <c r="AD111" s="97">
        <v>2.9642</v>
      </c>
      <c r="AE111" s="97">
        <v>2.9642</v>
      </c>
      <c r="AF111" s="97">
        <v>0</v>
      </c>
      <c r="AG111" s="60">
        <v>0</v>
      </c>
      <c r="AH111" s="60">
        <v>0</v>
      </c>
      <c r="AI111" s="60">
        <v>0</v>
      </c>
      <c r="AJ111" s="60">
        <v>5.7211</v>
      </c>
      <c r="AK111" s="55">
        <v>23.60412</v>
      </c>
      <c r="AL111" s="60">
        <v>20.77</v>
      </c>
      <c r="AM111" s="60">
        <v>2.44</v>
      </c>
      <c r="AN111" s="60">
        <v>15.05</v>
      </c>
      <c r="AO111" s="60">
        <v>1.11</v>
      </c>
      <c r="AP111" s="60">
        <v>0</v>
      </c>
      <c r="AQ111" s="60">
        <v>0</v>
      </c>
      <c r="AR111" s="60">
        <v>0</v>
      </c>
      <c r="AS111" s="60">
        <v>6.23</v>
      </c>
      <c r="AT111" s="60">
        <v>24.83</v>
      </c>
      <c r="AU111" s="60">
        <v>54.4517543859649</v>
      </c>
      <c r="AV111" s="60">
        <v>0</v>
      </c>
      <c r="AW111" s="53"/>
      <c r="AX111" s="53" t="s">
        <v>408</v>
      </c>
      <c r="AY111" s="53" t="s">
        <v>408</v>
      </c>
      <c r="AZ111" s="53" t="s">
        <v>408</v>
      </c>
      <c r="BA111" s="109" t="s">
        <v>408</v>
      </c>
      <c r="BB111" s="53" t="s">
        <v>411</v>
      </c>
      <c r="BC111" s="56">
        <v>4</v>
      </c>
      <c r="BD111" s="56">
        <v>4.93827160493827</v>
      </c>
      <c r="BE111" s="96">
        <f>U111/((VLOOKUP(B111,'Cell-Characteristics'!$B$4:$E$34,3,FALSE)*VLOOKUP(B111,'Cell-Characteristics'!$B$4:$E$34,4,FALSE)*3600)/1000)</f>
        <v>1.17869063343308</v>
      </c>
      <c r="BF111" s="90">
        <f t="shared" si="34"/>
        <v>5777.3448561146</v>
      </c>
      <c r="BG111" s="90">
        <f t="shared" si="34"/>
        <v>12392.7074964512</v>
      </c>
      <c r="BH111" s="90" t="e">
        <f t="shared" si="34"/>
        <v>#DIV/0!</v>
      </c>
      <c r="BI111" s="90">
        <f t="shared" si="35"/>
        <v>27270.2933812971</v>
      </c>
      <c r="BJ111" s="90">
        <f>BF111/((VLOOKUP(B111,'Cell-Characteristics'!$B$4:$Q$34,13,FALSE)))</f>
        <v>157.258012306457</v>
      </c>
      <c r="BK111" s="90">
        <f>BG111/((VLOOKUP(B111,'Cell-Characteristics'!$B$4:$Q$34,14,FALSE)))</f>
        <v>4872.49646003429</v>
      </c>
      <c r="BL111" s="90" t="e">
        <f>BH111/((VLOOKUP(B111,'Cell-Characteristics'!$B$4:$Q$34,15,FALSE)))</f>
        <v>#DIV/0!</v>
      </c>
      <c r="BM111" s="90">
        <f>BI111/((VLOOKUP(B111,'Cell-Characteristics'!$B$4:$Q$34,16,FALSE)))</f>
        <v>652.012523222995</v>
      </c>
      <c r="BN111" s="50">
        <f t="shared" si="36"/>
        <v>1.97613333333333</v>
      </c>
    </row>
    <row r="112" s="50" customFormat="1" ht="14.1" customHeight="1" spans="2:66">
      <c r="B112" s="53" t="s">
        <v>140</v>
      </c>
      <c r="C112" s="53" t="s">
        <v>499</v>
      </c>
      <c r="D112" s="53" t="s">
        <v>405</v>
      </c>
      <c r="E112" s="55" t="s">
        <v>265</v>
      </c>
      <c r="F112" s="56" t="s">
        <v>195</v>
      </c>
      <c r="G112" s="56" t="s">
        <v>196</v>
      </c>
      <c r="H112" s="57">
        <v>44259</v>
      </c>
      <c r="I112" s="58" t="s">
        <v>495</v>
      </c>
      <c r="J112" s="58">
        <v>60</v>
      </c>
      <c r="K112" s="59">
        <v>3.794</v>
      </c>
      <c r="L112" s="60">
        <v>45.77</v>
      </c>
      <c r="M112" s="60">
        <v>50.9</v>
      </c>
      <c r="N112" s="60">
        <v>51.4</v>
      </c>
      <c r="O112" s="59" t="s">
        <v>198</v>
      </c>
      <c r="P112" s="59" t="s">
        <v>198</v>
      </c>
      <c r="Q112" s="61" t="s">
        <v>381</v>
      </c>
      <c r="R112" s="62">
        <v>53.5334260236166</v>
      </c>
      <c r="S112" s="63">
        <v>0.0151</v>
      </c>
      <c r="T112" s="63">
        <v>54.9993299842543</v>
      </c>
      <c r="U112" s="60">
        <v>55.9324869130963</v>
      </c>
      <c r="V112" s="60">
        <v>25.6407969994356</v>
      </c>
      <c r="W112" s="60">
        <v>30.2603529433827</v>
      </c>
      <c r="X112" s="60">
        <v>0.0313369702779913</v>
      </c>
      <c r="Y112" s="60">
        <v>45.8424046820488</v>
      </c>
      <c r="Z112" s="60">
        <v>54.1015688975156</v>
      </c>
      <c r="AA112" s="60">
        <v>0.0560264204355517</v>
      </c>
      <c r="AB112" s="60">
        <v>0.933156928842</v>
      </c>
      <c r="AC112" s="60">
        <v>0</v>
      </c>
      <c r="AD112" s="97">
        <v>1.5514</v>
      </c>
      <c r="AE112" s="97">
        <v>1.5514</v>
      </c>
      <c r="AF112" s="97">
        <v>0</v>
      </c>
      <c r="AG112" s="60">
        <v>0</v>
      </c>
      <c r="AH112" s="60">
        <v>0</v>
      </c>
      <c r="AI112" s="60">
        <v>0</v>
      </c>
      <c r="AJ112" s="60">
        <v>7.2714</v>
      </c>
      <c r="AK112" s="55">
        <v>23.85447</v>
      </c>
      <c r="AL112" s="60">
        <v>27.73</v>
      </c>
      <c r="AM112" s="60">
        <v>1.02</v>
      </c>
      <c r="AN112" s="60">
        <v>8.14</v>
      </c>
      <c r="AO112" s="60">
        <v>0.73</v>
      </c>
      <c r="AP112" s="60">
        <v>0</v>
      </c>
      <c r="AQ112" s="60">
        <v>0</v>
      </c>
      <c r="AR112" s="60">
        <v>0</v>
      </c>
      <c r="AS112" s="60">
        <v>8.15</v>
      </c>
      <c r="AT112" s="60">
        <v>18.04</v>
      </c>
      <c r="AU112" s="60">
        <v>39.4144636224601</v>
      </c>
      <c r="AV112" s="60">
        <v>0</v>
      </c>
      <c r="AW112" s="53"/>
      <c r="AX112" s="53" t="s">
        <v>408</v>
      </c>
      <c r="AY112" s="53" t="s">
        <v>408</v>
      </c>
      <c r="AZ112" s="53" t="s">
        <v>408</v>
      </c>
      <c r="BA112" s="109" t="s">
        <v>408</v>
      </c>
      <c r="BB112" s="53" t="s">
        <v>411</v>
      </c>
      <c r="BC112" s="56">
        <v>4</v>
      </c>
      <c r="BD112" s="56">
        <v>4.93827160493827</v>
      </c>
      <c r="BE112" s="96">
        <f>U112/((VLOOKUP(B112,'Cell-Characteristics'!$B$4:$E$34,3,FALSE)*VLOOKUP(B112,'Cell-Characteristics'!$B$4:$E$34,4,FALSE)*3600)/1000)</f>
        <v>1.22337022994524</v>
      </c>
      <c r="BF112" s="90">
        <f t="shared" si="34"/>
        <v>16527.5215930357</v>
      </c>
      <c r="BG112" s="90">
        <f t="shared" si="34"/>
        <v>19505.1907589163</v>
      </c>
      <c r="BH112" s="90" t="e">
        <f t="shared" si="34"/>
        <v>#DIV/0!</v>
      </c>
      <c r="BI112" s="90">
        <f t="shared" si="35"/>
        <v>54079.3672615988</v>
      </c>
      <c r="BJ112" s="90">
        <f>BF112/((VLOOKUP(B112,'Cell-Characteristics'!$B$4:$Q$34,13,FALSE)))</f>
        <v>449.875376804282</v>
      </c>
      <c r="BK112" s="90">
        <f>BG112/((VLOOKUP(B112,'Cell-Characteristics'!$B$4:$Q$34,14,FALSE)))</f>
        <v>7668.94344535514</v>
      </c>
      <c r="BL112" s="90" t="e">
        <f>BH112/((VLOOKUP(B112,'Cell-Characteristics'!$B$4:$Q$34,15,FALSE)))</f>
        <v>#DIV/0!</v>
      </c>
      <c r="BM112" s="90">
        <f>BI112/((VLOOKUP(B112,'Cell-Characteristics'!$B$4:$Q$34,16,FALSE)))</f>
        <v>1292.99762967423</v>
      </c>
      <c r="BN112" s="50">
        <f t="shared" si="36"/>
        <v>1.03426666666667</v>
      </c>
    </row>
    <row r="113" s="52" customFormat="1" ht="16.5" customHeight="1" spans="2:66">
      <c r="B113" s="110" t="s">
        <v>140</v>
      </c>
      <c r="C113" s="110" t="s">
        <v>500</v>
      </c>
      <c r="D113" s="110" t="s">
        <v>405</v>
      </c>
      <c r="E113" s="111" t="s">
        <v>265</v>
      </c>
      <c r="F113" s="112" t="s">
        <v>195</v>
      </c>
      <c r="G113" s="112"/>
      <c r="H113" s="113">
        <v>44259</v>
      </c>
      <c r="I113" s="114" t="s">
        <v>495</v>
      </c>
      <c r="J113" s="114">
        <v>60</v>
      </c>
      <c r="K113" s="115">
        <v>3.797</v>
      </c>
      <c r="L113" s="116">
        <v>45.69</v>
      </c>
      <c r="M113" s="116">
        <v>50.9</v>
      </c>
      <c r="N113" s="116">
        <v>47.7</v>
      </c>
      <c r="O113" s="115" t="s">
        <v>198</v>
      </c>
      <c r="P113" s="115" t="s">
        <v>198</v>
      </c>
      <c r="Q113" s="117" t="s">
        <v>424</v>
      </c>
      <c r="R113" s="118">
        <v>16.1566987358407</v>
      </c>
      <c r="S113" s="119">
        <v>0.001</v>
      </c>
      <c r="T113" s="119">
        <v>16.7216505980815</v>
      </c>
      <c r="U113" s="116">
        <v>16.7228434800523</v>
      </c>
      <c r="V113" s="116">
        <v>16.7228434800523</v>
      </c>
      <c r="W113" s="116">
        <v>0</v>
      </c>
      <c r="X113" s="116">
        <v>0</v>
      </c>
      <c r="Y113" s="116">
        <v>100</v>
      </c>
      <c r="Z113" s="116">
        <v>0</v>
      </c>
      <c r="AA113" s="116">
        <v>0</v>
      </c>
      <c r="AB113" s="116">
        <v>0.0011928819708</v>
      </c>
      <c r="AC113" s="116">
        <v>0</v>
      </c>
      <c r="AD113" s="120">
        <v>2</v>
      </c>
      <c r="AE113" s="120">
        <v>2</v>
      </c>
      <c r="AF113" s="120">
        <v>2</v>
      </c>
      <c r="AG113" s="116">
        <v>0</v>
      </c>
      <c r="AH113" s="116">
        <v>0</v>
      </c>
      <c r="AI113" s="116">
        <v>0</v>
      </c>
      <c r="AJ113" s="116">
        <v>11.2245</v>
      </c>
      <c r="AK113" s="111">
        <v>23.43266</v>
      </c>
      <c r="AL113" s="116">
        <v>45.3</v>
      </c>
      <c r="AM113" s="116">
        <v>0</v>
      </c>
      <c r="AN113" s="116">
        <v>0</v>
      </c>
      <c r="AO113" s="116">
        <v>0</v>
      </c>
      <c r="AP113" s="116">
        <v>0</v>
      </c>
      <c r="AQ113" s="116">
        <v>0</v>
      </c>
      <c r="AR113" s="116">
        <v>0</v>
      </c>
      <c r="AS113" s="116">
        <v>0.390000000000001</v>
      </c>
      <c r="AT113" s="116">
        <v>0.390000000000001</v>
      </c>
      <c r="AU113" s="116">
        <v>0.853578463558767</v>
      </c>
      <c r="AV113" s="116">
        <v>0</v>
      </c>
      <c r="AW113" s="110"/>
      <c r="AX113" s="110" t="s">
        <v>408</v>
      </c>
      <c r="AY113" s="110" t="s">
        <v>408</v>
      </c>
      <c r="AZ113" s="110" t="s">
        <v>408</v>
      </c>
      <c r="BA113" s="121" t="s">
        <v>408</v>
      </c>
      <c r="BB113" s="110" t="s">
        <v>501</v>
      </c>
      <c r="BC113" s="112">
        <v>2</v>
      </c>
      <c r="BD113" s="112">
        <v>2.46913580246914</v>
      </c>
      <c r="BE113" s="122">
        <f>U113/((VLOOKUP(B113,'Cell-Characteristics'!$B$4:$E$34,3,FALSE)*VLOOKUP(B113,'Cell-Characteristics'!$B$4:$E$34,4,FALSE)*3600)/1000)</f>
        <v>0.365766480316105</v>
      </c>
      <c r="BF113" s="123">
        <f t="shared" si="34"/>
        <v>8361.42174002615</v>
      </c>
      <c r="BG113" s="123">
        <f t="shared" si="34"/>
        <v>0</v>
      </c>
      <c r="BH113" s="123">
        <f t="shared" si="34"/>
        <v>0</v>
      </c>
      <c r="BI113" s="123">
        <f t="shared" si="35"/>
        <v>8361.42174002615</v>
      </c>
      <c r="BJ113" s="123">
        <f>BF113/((VLOOKUP(B113,'Cell-Characteristics'!$B$4:$Q$34,13,FALSE)))</f>
        <v>227.595997060976</v>
      </c>
      <c r="BK113" s="123">
        <f>BG113/((VLOOKUP(B113,'Cell-Characteristics'!$B$4:$Q$34,14,FALSE)))</f>
        <v>0</v>
      </c>
      <c r="BL113" s="123">
        <f>BH113/((VLOOKUP(B113,'Cell-Characteristics'!$B$4:$Q$34,15,FALSE)))</f>
        <v>0</v>
      </c>
      <c r="BM113" s="123">
        <f>BI113/((VLOOKUP(B113,'Cell-Characteristics'!$B$4:$Q$34,16,FALSE)))</f>
        <v>199.915402823831</v>
      </c>
      <c r="BN113" s="52">
        <f t="shared" si="36"/>
        <v>2</v>
      </c>
    </row>
    <row r="114" s="50" customFormat="1" ht="16.5" customHeight="1" spans="2:66">
      <c r="B114" s="53" t="s">
        <v>30</v>
      </c>
      <c r="C114" s="108" t="s">
        <v>502</v>
      </c>
      <c r="D114" s="53" t="s">
        <v>503</v>
      </c>
      <c r="E114" s="55" t="s">
        <v>194</v>
      </c>
      <c r="F114" s="56" t="s">
        <v>392</v>
      </c>
      <c r="G114" s="56" t="s">
        <v>393</v>
      </c>
      <c r="H114" s="57">
        <v>43013</v>
      </c>
      <c r="I114" s="58" t="s">
        <v>504</v>
      </c>
      <c r="J114" s="58">
        <v>100</v>
      </c>
      <c r="K114" s="59" t="s">
        <v>134</v>
      </c>
      <c r="L114" s="60">
        <v>47.3</v>
      </c>
      <c r="M114" s="60">
        <v>37</v>
      </c>
      <c r="N114" s="60">
        <v>37</v>
      </c>
      <c r="O114" s="55" t="s">
        <v>197</v>
      </c>
      <c r="P114" s="55" t="s">
        <v>197</v>
      </c>
      <c r="Q114" s="61" t="s">
        <v>209</v>
      </c>
      <c r="R114" s="62">
        <v>66.1385117847041</v>
      </c>
      <c r="S114" s="63">
        <v>0.033</v>
      </c>
      <c r="T114" s="63">
        <v>68.3316738488351</v>
      </c>
      <c r="U114" s="60">
        <v>77.3120247886546</v>
      </c>
      <c r="V114" s="60">
        <v>14.6014226115446</v>
      </c>
      <c r="W114" s="60">
        <v>62.4849518376457</v>
      </c>
      <c r="X114" s="60">
        <v>0.225650339464296</v>
      </c>
      <c r="Y114" s="60">
        <v>18.8863539034969</v>
      </c>
      <c r="Z114" s="60">
        <v>80.8217764422273</v>
      </c>
      <c r="AA114" s="60">
        <v>0.291869654275838</v>
      </c>
      <c r="AB114" s="60">
        <v>8.98035093981948</v>
      </c>
      <c r="AC114" s="60">
        <v>0</v>
      </c>
      <c r="AD114" s="97">
        <v>2.00259971618652</v>
      </c>
      <c r="AE114" s="97">
        <v>2.00259971618652</v>
      </c>
      <c r="AF114" s="97">
        <v>0</v>
      </c>
      <c r="AG114" s="60">
        <v>1107.07736065607</v>
      </c>
      <c r="AH114" s="60">
        <v>39.2605004310608</v>
      </c>
      <c r="AI114" s="60">
        <v>43.4913655306246</v>
      </c>
      <c r="AJ114" s="60" t="s">
        <v>134</v>
      </c>
      <c r="AK114" s="55">
        <v>130.26871</v>
      </c>
      <c r="AL114" s="60">
        <v>23.34</v>
      </c>
      <c r="AM114" s="60">
        <v>0.08</v>
      </c>
      <c r="AN114" s="60">
        <v>11.9</v>
      </c>
      <c r="AO114" s="60">
        <v>0.098</v>
      </c>
      <c r="AP114" s="60">
        <v>0</v>
      </c>
      <c r="AQ114" s="60">
        <v>0</v>
      </c>
      <c r="AR114" s="60">
        <v>0</v>
      </c>
      <c r="AS114" s="60">
        <v>11.882</v>
      </c>
      <c r="AT114" s="60">
        <f t="shared" ref="AT114:AT145" si="37">L114-AL114</f>
        <v>23.96</v>
      </c>
      <c r="AU114" s="60">
        <f t="shared" ref="AU114:AU145" si="38">100*(AT114/L114)</f>
        <v>50.6553911205074</v>
      </c>
      <c r="AV114" s="97">
        <v>0</v>
      </c>
      <c r="AW114" s="53" t="s">
        <v>505</v>
      </c>
      <c r="AX114" s="53" t="s">
        <v>506</v>
      </c>
      <c r="AY114" s="53" t="s">
        <v>134</v>
      </c>
      <c r="AZ114" s="53" t="s">
        <v>212</v>
      </c>
      <c r="BA114" s="102" t="s">
        <v>322</v>
      </c>
      <c r="BB114" s="53" t="s">
        <v>507</v>
      </c>
      <c r="BC114" s="56">
        <v>4</v>
      </c>
      <c r="BD114" s="56">
        <v>8</v>
      </c>
      <c r="BE114" s="96">
        <f>U114/((VLOOKUP(B114,'Cell-Characteristics'!$B$4:$E$34,3,FALSE)*VLOOKUP(B114,'Cell-Characteristics'!$B$4:$E$34,4,FALSE)*3600)/1000)</f>
        <v>1.719806076726</v>
      </c>
      <c r="BF114" s="90">
        <f t="shared" si="23"/>
        <v>7291.23373658992</v>
      </c>
      <c r="BG114" s="90">
        <f t="shared" si="21"/>
        <v>31201.9178533759</v>
      </c>
      <c r="BH114" s="90" t="e">
        <f t="shared" si="22"/>
        <v>#DIV/0!</v>
      </c>
      <c r="BI114" s="90">
        <f t="shared" si="24"/>
        <v>57908.74544006</v>
      </c>
      <c r="BJ114" s="90">
        <f>BF114/((VLOOKUP(B114,'Cell-Characteristics'!$B$4:$Q$34,13,FALSE)))</f>
        <v>198.465723136532</v>
      </c>
      <c r="BK114" s="90">
        <f>BG114/((VLOOKUP(B114,'Cell-Characteristics'!$B$4:$Q$34,14,FALSE)))</f>
        <v>12267.7981652024</v>
      </c>
      <c r="BL114" s="90" t="e">
        <f>BH114/((VLOOKUP(B114,'Cell-Characteristics'!$B$4:$Q$34,15,FALSE)))</f>
        <v>#DIV/0!</v>
      </c>
      <c r="BM114" s="90">
        <f>BI114/((VLOOKUP(B114,'Cell-Characteristics'!$B$4:$Q$34,16,FALSE)))</f>
        <v>1384.55522656558</v>
      </c>
      <c r="BN114" s="50">
        <f t="shared" si="25"/>
        <v>1.33506647745768</v>
      </c>
    </row>
    <row r="115" s="50" customFormat="1" ht="16.5" customHeight="1" spans="2:66">
      <c r="B115" s="53" t="s">
        <v>30</v>
      </c>
      <c r="C115" s="108" t="s">
        <v>508</v>
      </c>
      <c r="D115" s="53" t="s">
        <v>503</v>
      </c>
      <c r="E115" s="55" t="s">
        <v>194</v>
      </c>
      <c r="F115" s="56" t="s">
        <v>392</v>
      </c>
      <c r="G115" s="56" t="s">
        <v>393</v>
      </c>
      <c r="H115" s="57">
        <v>43013</v>
      </c>
      <c r="I115" s="58" t="s">
        <v>504</v>
      </c>
      <c r="J115" s="58">
        <v>100</v>
      </c>
      <c r="K115" s="59" t="s">
        <v>134</v>
      </c>
      <c r="L115" s="60">
        <v>47.3</v>
      </c>
      <c r="M115" s="60">
        <v>37</v>
      </c>
      <c r="N115" s="60">
        <v>37</v>
      </c>
      <c r="O115" s="55" t="s">
        <v>197</v>
      </c>
      <c r="P115" s="55" t="s">
        <v>197</v>
      </c>
      <c r="Q115" s="61" t="s">
        <v>199</v>
      </c>
      <c r="R115" s="62">
        <v>59.4191468395285</v>
      </c>
      <c r="S115" s="63">
        <v>0.039</v>
      </c>
      <c r="T115" s="63">
        <v>64.0621591924987</v>
      </c>
      <c r="U115" s="60">
        <v>66.0473838325726</v>
      </c>
      <c r="V115" s="60">
        <v>23.2002242472204</v>
      </c>
      <c r="W115" s="60">
        <v>27.2135368262487</v>
      </c>
      <c r="X115" s="60">
        <v>15.6336227591035</v>
      </c>
      <c r="Y115" s="60">
        <v>35.1266362132253</v>
      </c>
      <c r="Z115" s="60">
        <v>41.2030503664367</v>
      </c>
      <c r="AA115" s="60">
        <v>23.6703134203379</v>
      </c>
      <c r="AB115" s="60">
        <v>0.948739327341966</v>
      </c>
      <c r="AC115" s="60">
        <v>1.03648531273194</v>
      </c>
      <c r="AD115" s="97">
        <v>5.60599994659424</v>
      </c>
      <c r="AE115" s="97">
        <v>2.40199995040894</v>
      </c>
      <c r="AF115" s="97">
        <v>0.499799728393555</v>
      </c>
      <c r="AG115" s="60">
        <v>1104.92305753926</v>
      </c>
      <c r="AH115" s="60">
        <v>29.1417999267578</v>
      </c>
      <c r="AI115" s="60">
        <v>32.2535943353614</v>
      </c>
      <c r="AJ115" s="60" t="s">
        <v>134</v>
      </c>
      <c r="AK115" s="55">
        <v>86.6007</v>
      </c>
      <c r="AL115" s="60">
        <v>26.589</v>
      </c>
      <c r="AM115" s="60">
        <v>0.1605</v>
      </c>
      <c r="AN115" s="60">
        <v>6.8722</v>
      </c>
      <c r="AO115" s="60">
        <v>1.0177</v>
      </c>
      <c r="AP115" s="60">
        <v>0.0313</v>
      </c>
      <c r="AQ115" s="60">
        <v>2.279</v>
      </c>
      <c r="AR115" s="60">
        <v>0.204</v>
      </c>
      <c r="AS115" s="60">
        <v>10.1463</v>
      </c>
      <c r="AT115" s="60">
        <f t="shared" si="37"/>
        <v>20.711</v>
      </c>
      <c r="AU115" s="60">
        <f t="shared" si="38"/>
        <v>43.7864693446089</v>
      </c>
      <c r="AV115" s="97">
        <v>0</v>
      </c>
      <c r="AW115" s="53" t="s">
        <v>509</v>
      </c>
      <c r="AX115" s="53" t="s">
        <v>506</v>
      </c>
      <c r="AY115" s="53" t="s">
        <v>134</v>
      </c>
      <c r="AZ115" s="53" t="s">
        <v>212</v>
      </c>
      <c r="BA115" s="102" t="s">
        <v>322</v>
      </c>
      <c r="BB115" s="53" t="s">
        <v>510</v>
      </c>
      <c r="BC115" s="56">
        <v>4</v>
      </c>
      <c r="BD115" s="56">
        <v>8</v>
      </c>
      <c r="BE115" s="96">
        <f>U115/((VLOOKUP(B115,'Cell-Characteristics'!$B$4:$E$34,3,FALSE)*VLOOKUP(B115,'Cell-Characteristics'!$B$4:$E$34,4,FALSE)*3600)/1000)</f>
        <v>1.4692241262291</v>
      </c>
      <c r="BF115" s="90">
        <f t="shared" si="23"/>
        <v>4138.46315880096</v>
      </c>
      <c r="BG115" s="90">
        <f t="shared" si="21"/>
        <v>11329.5326345097</v>
      </c>
      <c r="BH115" s="90">
        <f t="shared" si="22"/>
        <v>31279.7744195515</v>
      </c>
      <c r="BI115" s="90">
        <f t="shared" si="24"/>
        <v>23289.4708646219</v>
      </c>
      <c r="BJ115" s="90">
        <f>BF115/((VLOOKUP(B115,'Cell-Characteristics'!$B$4:$Q$34,13,FALSE)))</f>
        <v>112.648025445069</v>
      </c>
      <c r="BK115" s="90">
        <f>BG115/((VLOOKUP(B115,'Cell-Characteristics'!$B$4:$Q$34,14,FALSE)))</f>
        <v>4454.48322501757</v>
      </c>
      <c r="BL115" s="90">
        <f>BH115/((VLOOKUP(B115,'Cell-Characteristics'!$B$4:$Q$34,15,FALSE)))</f>
        <v>12298.409380967</v>
      </c>
      <c r="BM115" s="90">
        <f>BI115/((VLOOKUP(B115,'Cell-Characteristics'!$B$4:$Q$34,16,FALSE)))</f>
        <v>556.834004337663</v>
      </c>
      <c r="BN115" s="50">
        <f t="shared" si="25"/>
        <v>2.83593320846558</v>
      </c>
    </row>
    <row r="116" s="50" customFormat="1" spans="2:66">
      <c r="B116" s="53" t="s">
        <v>30</v>
      </c>
      <c r="C116" s="107" t="s">
        <v>511</v>
      </c>
      <c r="D116" s="53" t="s">
        <v>503</v>
      </c>
      <c r="E116" s="55" t="s">
        <v>194</v>
      </c>
      <c r="F116" s="56" t="s">
        <v>392</v>
      </c>
      <c r="G116" s="56" t="s">
        <v>393</v>
      </c>
      <c r="H116" s="57">
        <v>43013</v>
      </c>
      <c r="I116" s="58" t="s">
        <v>512</v>
      </c>
      <c r="J116" s="58">
        <v>100</v>
      </c>
      <c r="K116" s="59" t="s">
        <v>134</v>
      </c>
      <c r="L116" s="60">
        <v>47.3</v>
      </c>
      <c r="M116" s="60">
        <v>37</v>
      </c>
      <c r="N116" s="60">
        <v>37</v>
      </c>
      <c r="O116" s="55" t="s">
        <v>197</v>
      </c>
      <c r="P116" s="55" t="s">
        <v>197</v>
      </c>
      <c r="Q116" s="61" t="s">
        <v>199</v>
      </c>
      <c r="R116" s="62">
        <v>64.0743725314996</v>
      </c>
      <c r="S116" s="63">
        <v>0.035</v>
      </c>
      <c r="T116" s="63">
        <v>67.1086691923581</v>
      </c>
      <c r="U116" s="60">
        <v>69.4805857266894</v>
      </c>
      <c r="V116" s="60">
        <v>22.2888298836906</v>
      </c>
      <c r="W116" s="60">
        <v>26.1125529260845</v>
      </c>
      <c r="X116" s="60">
        <v>21.0792029169142</v>
      </c>
      <c r="Y116" s="60">
        <v>32.0792199008894</v>
      </c>
      <c r="Z116" s="60">
        <v>37.582516976471</v>
      </c>
      <c r="AA116" s="60">
        <v>30.3382631226396</v>
      </c>
      <c r="AB116" s="60">
        <v>1.57938042161889</v>
      </c>
      <c r="AC116" s="60">
        <v>0.79253611271244</v>
      </c>
      <c r="AD116" s="97">
        <v>2.30430030822754</v>
      </c>
      <c r="AE116" s="97">
        <v>1.00200033187866</v>
      </c>
      <c r="AF116" s="97">
        <v>2.30430030822754</v>
      </c>
      <c r="AG116" s="60">
        <v>1100.04494397826</v>
      </c>
      <c r="AH116" s="60">
        <v>25.8359999656677</v>
      </c>
      <c r="AI116" s="60">
        <v>28.5129930731395</v>
      </c>
      <c r="AJ116" s="60" t="s">
        <v>134</v>
      </c>
      <c r="AK116" s="55">
        <v>98.7952</v>
      </c>
      <c r="AL116" s="60">
        <v>28.446</v>
      </c>
      <c r="AM116" s="60">
        <v>0.712</v>
      </c>
      <c r="AN116" s="60">
        <v>3.456</v>
      </c>
      <c r="AO116" s="60">
        <v>0.963</v>
      </c>
      <c r="AP116" s="60">
        <v>1.486</v>
      </c>
      <c r="AQ116" s="60">
        <v>1.518</v>
      </c>
      <c r="AR116" s="60">
        <v>0.648</v>
      </c>
      <c r="AS116" s="60">
        <v>10.071</v>
      </c>
      <c r="AT116" s="60">
        <f t="shared" si="37"/>
        <v>18.854</v>
      </c>
      <c r="AU116" s="60">
        <f t="shared" si="38"/>
        <v>39.8604651162791</v>
      </c>
      <c r="AV116" s="97">
        <v>0</v>
      </c>
      <c r="AW116" s="53" t="s">
        <v>513</v>
      </c>
      <c r="AX116" s="53" t="s">
        <v>514</v>
      </c>
      <c r="AY116" s="53" t="s">
        <v>134</v>
      </c>
      <c r="AZ116" s="53" t="s">
        <v>212</v>
      </c>
      <c r="BA116" s="53" t="s">
        <v>204</v>
      </c>
      <c r="BB116" s="53" t="s">
        <v>510</v>
      </c>
      <c r="BC116" s="56">
        <v>6</v>
      </c>
      <c r="BD116" s="56">
        <v>12</v>
      </c>
      <c r="BE116" s="96">
        <f>U116/((VLOOKUP(B116,'Cell-Characteristics'!$B$4:$E$34,3,FALSE)*VLOOKUP(B116,'Cell-Characteristics'!$B$4:$E$34,4,FALSE)*3600)/1000)</f>
        <v>1.54559570615175</v>
      </c>
      <c r="BF116" s="90">
        <f t="shared" si="23"/>
        <v>9672.71054215809</v>
      </c>
      <c r="BG116" s="90">
        <f t="shared" si="21"/>
        <v>26060.4234303254</v>
      </c>
      <c r="BH116" s="90">
        <f t="shared" si="22"/>
        <v>9147.76726004446</v>
      </c>
      <c r="BI116" s="90">
        <f t="shared" si="24"/>
        <v>37151.4137432947</v>
      </c>
      <c r="BJ116" s="90">
        <f>BF116/((VLOOKUP(B116,'Cell-Characteristics'!$B$4:$Q$34,13,FALSE)))</f>
        <v>263.288979861672</v>
      </c>
      <c r="BK116" s="90">
        <f>BG116/((VLOOKUP(B116,'Cell-Characteristics'!$B$4:$Q$34,14,FALSE)))</f>
        <v>10246.2937132678</v>
      </c>
      <c r="BL116" s="90">
        <f>BH116/((VLOOKUP(B116,'Cell-Characteristics'!$B$4:$Q$34,15,FALSE)))</f>
        <v>3596.66873478197</v>
      </c>
      <c r="BM116" s="90">
        <f>BI116/((VLOOKUP(B116,'Cell-Characteristics'!$B$4:$Q$34,16,FALSE)))</f>
        <v>888.262794879944</v>
      </c>
      <c r="BN116" s="50">
        <f t="shared" si="25"/>
        <v>1.87020031611125</v>
      </c>
    </row>
    <row r="117" s="50" customFormat="1" ht="16.5" customHeight="1" spans="2:66">
      <c r="B117" s="53" t="s">
        <v>30</v>
      </c>
      <c r="C117" s="108" t="s">
        <v>515</v>
      </c>
      <c r="D117" s="53" t="s">
        <v>503</v>
      </c>
      <c r="E117" s="55" t="s">
        <v>194</v>
      </c>
      <c r="F117" s="56" t="s">
        <v>392</v>
      </c>
      <c r="G117" s="56" t="s">
        <v>393</v>
      </c>
      <c r="H117" s="57">
        <v>43013</v>
      </c>
      <c r="I117" s="58" t="s">
        <v>512</v>
      </c>
      <c r="J117" s="58">
        <v>100</v>
      </c>
      <c r="K117" s="59" t="s">
        <v>134</v>
      </c>
      <c r="L117" s="60">
        <v>47.3</v>
      </c>
      <c r="M117" s="60">
        <v>37</v>
      </c>
      <c r="N117" s="60">
        <v>37</v>
      </c>
      <c r="O117" s="55" t="s">
        <v>197</v>
      </c>
      <c r="P117" s="55" t="s">
        <v>197</v>
      </c>
      <c r="Q117" s="61" t="s">
        <v>209</v>
      </c>
      <c r="R117" s="62">
        <v>66.7344399989988</v>
      </c>
      <c r="S117" s="63">
        <v>0.049</v>
      </c>
      <c r="T117" s="63">
        <v>67.634393357897</v>
      </c>
      <c r="U117" s="60">
        <v>76.937176732161</v>
      </c>
      <c r="V117" s="60">
        <v>12.8804102676967</v>
      </c>
      <c r="W117" s="60">
        <v>62.2196798620159</v>
      </c>
      <c r="X117" s="60">
        <v>1.83708660244834</v>
      </c>
      <c r="Y117" s="60">
        <v>16.7414646790809</v>
      </c>
      <c r="Z117" s="60">
        <v>80.8707604109511</v>
      </c>
      <c r="AA117" s="60">
        <v>2.38777490996809</v>
      </c>
      <c r="AB117" s="60">
        <v>9.30278337426395</v>
      </c>
      <c r="AC117" s="60">
        <v>0</v>
      </c>
      <c r="AD117" s="97">
        <v>3.50220012664795</v>
      </c>
      <c r="AE117" s="97">
        <v>3.50220012664795</v>
      </c>
      <c r="AF117" s="97">
        <v>0</v>
      </c>
      <c r="AG117" s="60">
        <v>1114.28418697496</v>
      </c>
      <c r="AH117" s="60">
        <v>54.0728001594543</v>
      </c>
      <c r="AI117" s="60">
        <v>60.3143144297594</v>
      </c>
      <c r="AJ117" s="60" t="s">
        <v>134</v>
      </c>
      <c r="AK117" s="55">
        <v>186.41081</v>
      </c>
      <c r="AL117" s="60">
        <v>23.94</v>
      </c>
      <c r="AM117" s="60">
        <v>0.417</v>
      </c>
      <c r="AN117" s="60">
        <v>10.188</v>
      </c>
      <c r="AO117" s="60">
        <v>2.079</v>
      </c>
      <c r="AP117" s="60">
        <v>0</v>
      </c>
      <c r="AQ117" s="60">
        <v>0.261</v>
      </c>
      <c r="AR117" s="60">
        <v>0.116</v>
      </c>
      <c r="AS117" s="60">
        <v>10.299</v>
      </c>
      <c r="AT117" s="60">
        <f t="shared" si="37"/>
        <v>23.36</v>
      </c>
      <c r="AU117" s="60">
        <f t="shared" si="38"/>
        <v>49.3868921775898</v>
      </c>
      <c r="AV117" s="97">
        <v>0</v>
      </c>
      <c r="AW117" s="53" t="s">
        <v>516</v>
      </c>
      <c r="AX117" s="53" t="s">
        <v>506</v>
      </c>
      <c r="AY117" s="53" t="s">
        <v>134</v>
      </c>
      <c r="AZ117" s="53" t="s">
        <v>212</v>
      </c>
      <c r="BA117" s="102" t="s">
        <v>322</v>
      </c>
      <c r="BB117" s="53" t="s">
        <v>507</v>
      </c>
      <c r="BC117" s="56">
        <v>6</v>
      </c>
      <c r="BD117" s="56">
        <v>12</v>
      </c>
      <c r="BE117" s="96">
        <f>U117/((VLOOKUP(B117,'Cell-Characteristics'!$B$4:$E$34,3,FALSE)*VLOOKUP(B117,'Cell-Characteristics'!$B$4:$E$34,4,FALSE)*3600)/1000)</f>
        <v>1.71146758129571</v>
      </c>
      <c r="BF117" s="90">
        <f t="shared" si="23"/>
        <v>3677.80532291424</v>
      </c>
      <c r="BG117" s="90">
        <f t="shared" si="21"/>
        <v>17765.8836194401</v>
      </c>
      <c r="BH117" s="90" t="e">
        <f t="shared" si="22"/>
        <v>#DIV/0!</v>
      </c>
      <c r="BI117" s="90">
        <f t="shared" si="24"/>
        <v>32952.3616369403</v>
      </c>
      <c r="BJ117" s="90">
        <f>BF117/((VLOOKUP(B117,'Cell-Characteristics'!$B$4:$Q$34,13,FALSE)))</f>
        <v>100.109023978285</v>
      </c>
      <c r="BK117" s="90">
        <f>BG117/((VLOOKUP(B117,'Cell-Characteristics'!$B$4:$Q$34,14,FALSE)))</f>
        <v>6985.09224637891</v>
      </c>
      <c r="BL117" s="90" t="e">
        <f>BH117/((VLOOKUP(B117,'Cell-Characteristics'!$B$4:$Q$34,15,FALSE)))</f>
        <v>#DIV/0!</v>
      </c>
      <c r="BM117" s="90">
        <f>BI117/((VLOOKUP(B117,'Cell-Characteristics'!$B$4:$Q$34,16,FALSE)))</f>
        <v>787.866568087363</v>
      </c>
      <c r="BN117" s="50">
        <f t="shared" si="25"/>
        <v>2.33480008443197</v>
      </c>
    </row>
    <row r="118" s="50" customFormat="1" ht="16.5" customHeight="1" spans="2:66">
      <c r="B118" s="53" t="s">
        <v>30</v>
      </c>
      <c r="C118" s="107" t="s">
        <v>517</v>
      </c>
      <c r="D118" s="53" t="s">
        <v>503</v>
      </c>
      <c r="E118" s="55" t="s">
        <v>194</v>
      </c>
      <c r="F118" s="56" t="s">
        <v>392</v>
      </c>
      <c r="G118" s="56" t="s">
        <v>393</v>
      </c>
      <c r="H118" s="57">
        <v>43013</v>
      </c>
      <c r="I118" s="58" t="s">
        <v>518</v>
      </c>
      <c r="J118" s="58">
        <v>100</v>
      </c>
      <c r="K118" s="59" t="s">
        <v>134</v>
      </c>
      <c r="L118" s="60">
        <v>47.3</v>
      </c>
      <c r="M118" s="60">
        <v>37</v>
      </c>
      <c r="N118" s="60">
        <v>37</v>
      </c>
      <c r="O118" s="55" t="s">
        <v>197</v>
      </c>
      <c r="P118" s="55" t="s">
        <v>197</v>
      </c>
      <c r="Q118" s="61" t="s">
        <v>199</v>
      </c>
      <c r="R118" s="62">
        <v>55.7701596509198</v>
      </c>
      <c r="S118" s="63">
        <v>0.03</v>
      </c>
      <c r="T118" s="63">
        <v>57.7143817496318</v>
      </c>
      <c r="U118" s="60">
        <v>60.2048570087908</v>
      </c>
      <c r="V118" s="60">
        <v>17.9866070487703</v>
      </c>
      <c r="W118" s="60">
        <v>19.2784932790643</v>
      </c>
      <c r="X118" s="60">
        <v>22.9397566809561</v>
      </c>
      <c r="Y118" s="60">
        <v>29.8756743930876</v>
      </c>
      <c r="Z118" s="60">
        <v>32.0214916817249</v>
      </c>
      <c r="AA118" s="60">
        <v>38.1028339251874</v>
      </c>
      <c r="AB118" s="60">
        <v>0.595140387070536</v>
      </c>
      <c r="AC118" s="60">
        <v>1.89533487208843</v>
      </c>
      <c r="AD118" s="97">
        <v>3.40219974517822</v>
      </c>
      <c r="AE118" s="97">
        <v>3.00139999389648</v>
      </c>
      <c r="AF118" s="97">
        <v>0.399199962615967</v>
      </c>
      <c r="AG118" s="60">
        <v>1134.13169424133</v>
      </c>
      <c r="AH118" s="60">
        <v>58.8587002754211</v>
      </c>
      <c r="AI118" s="60">
        <v>66.8681520941839</v>
      </c>
      <c r="AJ118" s="60" t="s">
        <v>134</v>
      </c>
      <c r="AK118" s="55">
        <v>179.16148</v>
      </c>
      <c r="AL118" s="60">
        <v>26.5823</v>
      </c>
      <c r="AM118" s="60">
        <v>0.101</v>
      </c>
      <c r="AN118" s="60">
        <v>4.198</v>
      </c>
      <c r="AO118" s="60">
        <v>1.344</v>
      </c>
      <c r="AP118" s="60">
        <v>1.238</v>
      </c>
      <c r="AQ118" s="60">
        <v>3.126</v>
      </c>
      <c r="AR118" s="60">
        <v>2.1293</v>
      </c>
      <c r="AS118" s="60">
        <v>8.5814</v>
      </c>
      <c r="AT118" s="60">
        <f t="shared" si="37"/>
        <v>20.7177</v>
      </c>
      <c r="AU118" s="60">
        <f t="shared" si="38"/>
        <v>43.8006342494715</v>
      </c>
      <c r="AV118" s="97">
        <v>0</v>
      </c>
      <c r="AW118" s="53" t="s">
        <v>519</v>
      </c>
      <c r="AX118" s="53" t="s">
        <v>506</v>
      </c>
      <c r="AY118" s="53" t="s">
        <v>134</v>
      </c>
      <c r="AZ118" s="53" t="s">
        <v>212</v>
      </c>
      <c r="BA118" s="53" t="s">
        <v>204</v>
      </c>
      <c r="BB118" s="53" t="s">
        <v>520</v>
      </c>
      <c r="BC118" s="56">
        <v>8</v>
      </c>
      <c r="BD118" s="56">
        <v>16</v>
      </c>
      <c r="BE118" s="96">
        <f>U118/((VLOOKUP(B118,'Cell-Characteristics'!$B$4:$E$34,3,FALSE)*VLOOKUP(B118,'Cell-Characteristics'!$B$4:$E$34,4,FALSE)*3600)/1000)</f>
        <v>1.3392571105877</v>
      </c>
      <c r="BF118" s="90">
        <f t="shared" si="23"/>
        <v>5286.7580965115</v>
      </c>
      <c r="BG118" s="90">
        <f t="shared" si="21"/>
        <v>6423.16696150738</v>
      </c>
      <c r="BH118" s="90">
        <f t="shared" si="22"/>
        <v>57464.3257244599</v>
      </c>
      <c r="BI118" s="90">
        <f t="shared" si="24"/>
        <v>26550.0351247274</v>
      </c>
      <c r="BJ118" s="90">
        <f>BF118/((VLOOKUP(B118,'Cell-Characteristics'!$B$4:$Q$34,13,FALSE)))</f>
        <v>143.904352346658</v>
      </c>
      <c r="BK118" s="90">
        <f>BG118/((VLOOKUP(B118,'Cell-Characteristics'!$B$4:$Q$34,14,FALSE)))</f>
        <v>2525.42539966477</v>
      </c>
      <c r="BL118" s="90">
        <f>BH118/((VLOOKUP(B118,'Cell-Characteristics'!$B$4:$Q$34,15,FALSE)))</f>
        <v>22593.5070081229</v>
      </c>
      <c r="BM118" s="90">
        <f>BI118/((VLOOKUP(B118,'Cell-Characteristics'!$B$4:$Q$34,16,FALSE)))</f>
        <v>634.791681603436</v>
      </c>
      <c r="BN118" s="50">
        <f t="shared" si="25"/>
        <v>2.26759990056356</v>
      </c>
    </row>
    <row r="119" s="50" customFormat="1" ht="16.5" customHeight="1" spans="2:66">
      <c r="B119" s="53" t="s">
        <v>30</v>
      </c>
      <c r="C119" s="107" t="s">
        <v>521</v>
      </c>
      <c r="D119" s="53" t="s">
        <v>503</v>
      </c>
      <c r="E119" s="55" t="s">
        <v>194</v>
      </c>
      <c r="F119" s="56" t="s">
        <v>392</v>
      </c>
      <c r="G119" s="56" t="s">
        <v>393</v>
      </c>
      <c r="H119" s="57">
        <v>43013</v>
      </c>
      <c r="I119" s="58" t="s">
        <v>518</v>
      </c>
      <c r="J119" s="58">
        <v>100</v>
      </c>
      <c r="K119" s="59" t="s">
        <v>134</v>
      </c>
      <c r="L119" s="60">
        <v>47.3</v>
      </c>
      <c r="M119" s="60">
        <v>37</v>
      </c>
      <c r="N119" s="60">
        <v>37</v>
      </c>
      <c r="O119" s="55" t="s">
        <v>197</v>
      </c>
      <c r="P119" s="55" t="s">
        <v>197</v>
      </c>
      <c r="Q119" s="61" t="s">
        <v>199</v>
      </c>
      <c r="R119" s="62">
        <v>60.1982957671235</v>
      </c>
      <c r="S119" s="63">
        <v>0.035</v>
      </c>
      <c r="T119" s="63">
        <v>63.9844453863728</v>
      </c>
      <c r="U119" s="60">
        <v>68.506993108007</v>
      </c>
      <c r="V119" s="60">
        <v>19.0772225473179</v>
      </c>
      <c r="W119" s="60">
        <v>27.4201276266229</v>
      </c>
      <c r="X119" s="60">
        <v>22.0096429340662</v>
      </c>
      <c r="Y119" s="60">
        <v>27.847117034083</v>
      </c>
      <c r="Z119" s="60">
        <v>40.0252972472354</v>
      </c>
      <c r="AA119" s="60">
        <v>32.1275857186815</v>
      </c>
      <c r="AB119" s="60">
        <v>3.1065436874646</v>
      </c>
      <c r="AC119" s="60">
        <v>1.4160040341696</v>
      </c>
      <c r="AD119" s="97">
        <v>2.60339975357056</v>
      </c>
      <c r="AE119" s="97">
        <v>0.701900005340576</v>
      </c>
      <c r="AF119" s="97">
        <v>2.60339975357056</v>
      </c>
      <c r="AG119" s="60">
        <v>1125.300555765</v>
      </c>
      <c r="AH119" s="60">
        <v>52.5641002655029</v>
      </c>
      <c r="AI119" s="60">
        <v>59.2414030935307</v>
      </c>
      <c r="AJ119" s="60" t="s">
        <v>134</v>
      </c>
      <c r="AK119" s="55">
        <v>188.57491</v>
      </c>
      <c r="AL119" s="60">
        <v>28.043</v>
      </c>
      <c r="AM119" s="60">
        <v>0.519</v>
      </c>
      <c r="AN119" s="60">
        <v>3.691</v>
      </c>
      <c r="AO119" s="60">
        <v>1.278</v>
      </c>
      <c r="AP119" s="60">
        <v>0.075</v>
      </c>
      <c r="AQ119" s="60">
        <v>2.643</v>
      </c>
      <c r="AR119" s="60">
        <v>0.311</v>
      </c>
      <c r="AS119" s="60">
        <v>10.74</v>
      </c>
      <c r="AT119" s="60">
        <f t="shared" si="37"/>
        <v>19.257</v>
      </c>
      <c r="AU119" s="60">
        <f t="shared" si="38"/>
        <v>40.7124735729387</v>
      </c>
      <c r="AV119" s="97">
        <v>0</v>
      </c>
      <c r="AW119" s="53" t="s">
        <v>522</v>
      </c>
      <c r="AX119" s="53" t="s">
        <v>506</v>
      </c>
      <c r="AY119" s="53" t="s">
        <v>134</v>
      </c>
      <c r="AZ119" s="53" t="s">
        <v>212</v>
      </c>
      <c r="BA119" s="53" t="s">
        <v>204</v>
      </c>
      <c r="BB119" s="53" t="s">
        <v>510</v>
      </c>
      <c r="BC119" s="56">
        <v>3</v>
      </c>
      <c r="BD119" s="56">
        <v>6</v>
      </c>
      <c r="BE119" s="96">
        <f>U119/((VLOOKUP(B119,'Cell-Characteristics'!$B$4:$E$34,3,FALSE)*VLOOKUP(B119,'Cell-Characteristics'!$B$4:$E$34,4,FALSE)*3600)/1000)</f>
        <v>1.52393813727495</v>
      </c>
      <c r="BF119" s="90">
        <f t="shared" si="23"/>
        <v>7327.81145928646</v>
      </c>
      <c r="BG119" s="90">
        <f t="shared" si="21"/>
        <v>39065.5754637273</v>
      </c>
      <c r="BH119" s="90">
        <f t="shared" si="22"/>
        <v>8454.19260099416</v>
      </c>
      <c r="BI119" s="90">
        <f t="shared" si="24"/>
        <v>34782.7773082509</v>
      </c>
      <c r="BJ119" s="90">
        <f>BF119/((VLOOKUP(B119,'Cell-Characteristics'!$B$4:$Q$34,13,FALSE)))</f>
        <v>199.461360424804</v>
      </c>
      <c r="BK119" s="90">
        <f>BG119/((VLOOKUP(B119,'Cell-Characteristics'!$B$4:$Q$34,14,FALSE)))</f>
        <v>15359.5877422849</v>
      </c>
      <c r="BL119" s="90">
        <f>BH119/((VLOOKUP(B119,'Cell-Characteristics'!$B$4:$Q$34,15,FALSE)))</f>
        <v>3323.97287135101</v>
      </c>
      <c r="BM119" s="90">
        <f>BI119/((VLOOKUP(B119,'Cell-Characteristics'!$B$4:$Q$34,16,FALSE)))</f>
        <v>831.630451508456</v>
      </c>
      <c r="BN119" s="50">
        <f t="shared" si="25"/>
        <v>1.96956650416056</v>
      </c>
    </row>
    <row r="120" s="50" customFormat="1" ht="16.5" customHeight="1" spans="2:66">
      <c r="B120" s="53" t="s">
        <v>30</v>
      </c>
      <c r="C120" s="107" t="s">
        <v>523</v>
      </c>
      <c r="D120" s="53" t="s">
        <v>503</v>
      </c>
      <c r="E120" s="55" t="s">
        <v>194</v>
      </c>
      <c r="F120" s="56" t="s">
        <v>392</v>
      </c>
      <c r="G120" s="56" t="s">
        <v>393</v>
      </c>
      <c r="H120" s="57">
        <v>43013</v>
      </c>
      <c r="I120" s="58" t="s">
        <v>524</v>
      </c>
      <c r="J120" s="58">
        <v>100</v>
      </c>
      <c r="K120" s="59" t="s">
        <v>134</v>
      </c>
      <c r="L120" s="60">
        <v>47.3</v>
      </c>
      <c r="M120" s="60">
        <v>37</v>
      </c>
      <c r="N120" s="60">
        <v>37</v>
      </c>
      <c r="O120" s="55" t="s">
        <v>197</v>
      </c>
      <c r="P120" s="55" t="s">
        <v>197</v>
      </c>
      <c r="Q120" s="61" t="s">
        <v>199</v>
      </c>
      <c r="R120" s="62">
        <v>63.2218663167683</v>
      </c>
      <c r="S120" s="63">
        <v>0.032</v>
      </c>
      <c r="T120" s="63">
        <v>66.0322973773457</v>
      </c>
      <c r="U120" s="60">
        <v>69.8504814177744</v>
      </c>
      <c r="V120" s="60">
        <v>23.1343607324249</v>
      </c>
      <c r="W120" s="60">
        <v>25.0124371425182</v>
      </c>
      <c r="X120" s="60">
        <v>21.7036835428314</v>
      </c>
      <c r="Y120" s="60">
        <v>33.1198300467805</v>
      </c>
      <c r="Z120" s="60">
        <v>35.8085393755832</v>
      </c>
      <c r="AA120" s="60">
        <v>31.0716305776364</v>
      </c>
      <c r="AB120" s="60">
        <v>1.60290802612497</v>
      </c>
      <c r="AC120" s="60">
        <v>2.21527601430375</v>
      </c>
      <c r="AD120" s="97">
        <v>3.20409965515137</v>
      </c>
      <c r="AE120" s="97">
        <v>1.80329990386963</v>
      </c>
      <c r="AF120" s="97">
        <v>2.00349998474121</v>
      </c>
      <c r="AG120" s="60">
        <v>1121.7840127076</v>
      </c>
      <c r="AH120" s="60">
        <v>43.6582002639771</v>
      </c>
      <c r="AI120" s="60">
        <v>49.0059921566522</v>
      </c>
      <c r="AJ120" s="60" t="s">
        <v>134</v>
      </c>
      <c r="AK120" s="55">
        <v>141.00023</v>
      </c>
      <c r="AL120" s="60">
        <v>28.372</v>
      </c>
      <c r="AM120" s="60">
        <v>0.204</v>
      </c>
      <c r="AN120" s="60">
        <v>3.688</v>
      </c>
      <c r="AO120" s="60">
        <v>0.683</v>
      </c>
      <c r="AP120" s="60">
        <v>0.295</v>
      </c>
      <c r="AQ120" s="60">
        <v>3.9</v>
      </c>
      <c r="AR120" s="60">
        <v>0.457</v>
      </c>
      <c r="AS120" s="60">
        <v>9.70099999999999</v>
      </c>
      <c r="AT120" s="60">
        <f t="shared" si="37"/>
        <v>18.928</v>
      </c>
      <c r="AU120" s="60">
        <f t="shared" si="38"/>
        <v>40.0169133192389</v>
      </c>
      <c r="AV120" s="97">
        <v>0</v>
      </c>
      <c r="AW120" s="53" t="s">
        <v>525</v>
      </c>
      <c r="AX120" s="53" t="s">
        <v>506</v>
      </c>
      <c r="AY120" s="53" t="s">
        <v>134</v>
      </c>
      <c r="AZ120" s="53" t="s">
        <v>212</v>
      </c>
      <c r="BA120" s="53" t="s">
        <v>204</v>
      </c>
      <c r="BB120" s="53" t="s">
        <v>526</v>
      </c>
      <c r="BC120" s="56">
        <v>5</v>
      </c>
      <c r="BD120" s="56">
        <v>10</v>
      </c>
      <c r="BE120" s="96">
        <f>U120/((VLOOKUP(B120,'Cell-Characteristics'!$B$4:$E$34,3,FALSE)*VLOOKUP(B120,'Cell-Characteristics'!$B$4:$E$34,4,FALSE)*3600)/1000)</f>
        <v>1.55382403620806</v>
      </c>
      <c r="BF120" s="90">
        <f t="shared" si="23"/>
        <v>7220.23757757683</v>
      </c>
      <c r="BG120" s="90">
        <f t="shared" si="21"/>
        <v>13870.370141342</v>
      </c>
      <c r="BH120" s="90">
        <f t="shared" si="22"/>
        <v>10832.8843065276</v>
      </c>
      <c r="BI120" s="90">
        <f t="shared" si="24"/>
        <v>29889.380520331</v>
      </c>
      <c r="BJ120" s="90">
        <f>BF120/((VLOOKUP(B120,'Cell-Characteristics'!$B$4:$Q$34,13,FALSE)))</f>
        <v>196.53322384389</v>
      </c>
      <c r="BK120" s="90">
        <f>BG120/((VLOOKUP(B120,'Cell-Characteristics'!$B$4:$Q$34,14,FALSE)))</f>
        <v>5453.47571807108</v>
      </c>
      <c r="BL120" s="90">
        <f>BH120/((VLOOKUP(B120,'Cell-Characteristics'!$B$4:$Q$34,15,FALSE)))</f>
        <v>4259.21377153717</v>
      </c>
      <c r="BM120" s="90">
        <f>BI120/((VLOOKUP(B120,'Cell-Characteristics'!$B$4:$Q$34,16,FALSE)))</f>
        <v>714.632957487686</v>
      </c>
      <c r="BN120" s="50">
        <f t="shared" si="25"/>
        <v>2.3369665145874</v>
      </c>
    </row>
    <row r="121" s="50" customFormat="1" ht="16.5" customHeight="1" spans="2:66">
      <c r="B121" s="53" t="s">
        <v>30</v>
      </c>
      <c r="C121" s="108" t="s">
        <v>527</v>
      </c>
      <c r="D121" s="53" t="s">
        <v>503</v>
      </c>
      <c r="E121" s="55" t="s">
        <v>194</v>
      </c>
      <c r="F121" s="56" t="s">
        <v>392</v>
      </c>
      <c r="G121" s="56" t="s">
        <v>393</v>
      </c>
      <c r="H121" s="57">
        <v>43014</v>
      </c>
      <c r="I121" s="58" t="s">
        <v>524</v>
      </c>
      <c r="J121" s="58">
        <v>100</v>
      </c>
      <c r="K121" s="59" t="s">
        <v>134</v>
      </c>
      <c r="L121" s="60">
        <v>47.3</v>
      </c>
      <c r="M121" s="60">
        <v>37</v>
      </c>
      <c r="N121" s="60">
        <v>37</v>
      </c>
      <c r="O121" s="55" t="s">
        <v>197</v>
      </c>
      <c r="P121" s="55" t="s">
        <v>197</v>
      </c>
      <c r="Q121" s="61" t="s">
        <v>209</v>
      </c>
      <c r="R121" s="62">
        <v>65.3392154547038</v>
      </c>
      <c r="S121" s="63">
        <v>0.038</v>
      </c>
      <c r="T121" s="63">
        <v>68.0519288582634</v>
      </c>
      <c r="U121" s="60">
        <v>75.5571293372847</v>
      </c>
      <c r="V121" s="60">
        <v>21.0320945811598</v>
      </c>
      <c r="W121" s="60">
        <v>54.4874661745949</v>
      </c>
      <c r="X121" s="60">
        <v>0.0375685815300175</v>
      </c>
      <c r="Y121" s="60">
        <v>27.836015959888</v>
      </c>
      <c r="Z121" s="60">
        <v>72.1142619531831</v>
      </c>
      <c r="AA121" s="60">
        <v>0.0497220869288357</v>
      </c>
      <c r="AB121" s="60">
        <v>7.5052004790213</v>
      </c>
      <c r="AC121" s="60">
        <v>0</v>
      </c>
      <c r="AD121" s="97">
        <v>2.70089960098267</v>
      </c>
      <c r="AE121" s="97">
        <v>1.80139970779419</v>
      </c>
      <c r="AF121" s="97">
        <v>0</v>
      </c>
      <c r="AG121" s="60">
        <v>1118.60102901878</v>
      </c>
      <c r="AH121" s="60">
        <v>27.7113003730774</v>
      </c>
      <c r="AI121" s="60">
        <v>30.7993645824368</v>
      </c>
      <c r="AJ121" s="60" t="s">
        <v>134</v>
      </c>
      <c r="AK121" s="55">
        <v>82.532695</v>
      </c>
      <c r="AL121" s="60">
        <v>23.821</v>
      </c>
      <c r="AM121" s="60">
        <v>0.161</v>
      </c>
      <c r="AN121" s="60">
        <v>11.518</v>
      </c>
      <c r="AO121" s="60">
        <v>0.937</v>
      </c>
      <c r="AP121" s="60">
        <v>0</v>
      </c>
      <c r="AQ121" s="60">
        <v>0</v>
      </c>
      <c r="AR121" s="60">
        <v>0</v>
      </c>
      <c r="AS121" s="60">
        <v>10.863</v>
      </c>
      <c r="AT121" s="60">
        <f t="shared" si="37"/>
        <v>23.479</v>
      </c>
      <c r="AU121" s="60">
        <f t="shared" si="38"/>
        <v>49.6384778012685</v>
      </c>
      <c r="AV121" s="97">
        <v>0</v>
      </c>
      <c r="AW121" s="53" t="s">
        <v>528</v>
      </c>
      <c r="AX121" s="53" t="s">
        <v>506</v>
      </c>
      <c r="AY121" s="53" t="s">
        <v>134</v>
      </c>
      <c r="AZ121" s="53" t="s">
        <v>212</v>
      </c>
      <c r="BA121" s="102" t="s">
        <v>322</v>
      </c>
      <c r="BB121" s="53" t="s">
        <v>529</v>
      </c>
      <c r="BC121" s="56">
        <v>7</v>
      </c>
      <c r="BD121" s="56">
        <v>14</v>
      </c>
      <c r="BE121" s="96">
        <f>U121/((VLOOKUP(B121,'Cell-Characteristics'!$B$4:$E$34,3,FALSE)*VLOOKUP(B121,'Cell-Characteristics'!$B$4:$E$34,4,FALSE)*3600)/1000)</f>
        <v>1.68076842547401</v>
      </c>
      <c r="BF121" s="90">
        <f t="shared" si="23"/>
        <v>7787.07012045458</v>
      </c>
      <c r="BG121" s="90">
        <f t="shared" si="21"/>
        <v>30247.2937787442</v>
      </c>
      <c r="BH121" s="90" t="e">
        <f t="shared" si="22"/>
        <v>#DIV/0!</v>
      </c>
      <c r="BI121" s="90">
        <f t="shared" si="24"/>
        <v>50345.6950474122</v>
      </c>
      <c r="BJ121" s="90">
        <f>BF121/((VLOOKUP(B121,'Cell-Characteristics'!$B$4:$Q$34,13,FALSE)))</f>
        <v>211.962276674141</v>
      </c>
      <c r="BK121" s="90">
        <f>BG121/((VLOOKUP(B121,'Cell-Characteristics'!$B$4:$Q$34,14,FALSE)))</f>
        <v>11892.4643307165</v>
      </c>
      <c r="BL121" s="90" t="e">
        <f>BH121/((VLOOKUP(B121,'Cell-Characteristics'!$B$4:$Q$34,15,FALSE)))</f>
        <v>#DIV/0!</v>
      </c>
      <c r="BM121" s="90">
        <f>BI121/((VLOOKUP(B121,'Cell-Characteristics'!$B$4:$Q$34,16,FALSE)))</f>
        <v>1203.72829152589</v>
      </c>
      <c r="BN121" s="50">
        <f t="shared" si="25"/>
        <v>1.50076643625895</v>
      </c>
    </row>
    <row r="122" s="50" customFormat="1" ht="16.5" customHeight="1" spans="2:66">
      <c r="B122" s="53" t="s">
        <v>30</v>
      </c>
      <c r="C122" s="108" t="s">
        <v>530</v>
      </c>
      <c r="D122" s="53" t="s">
        <v>503</v>
      </c>
      <c r="E122" s="55" t="s">
        <v>194</v>
      </c>
      <c r="F122" s="56" t="s">
        <v>392</v>
      </c>
      <c r="G122" s="56" t="s">
        <v>393</v>
      </c>
      <c r="H122" s="57">
        <v>43014</v>
      </c>
      <c r="I122" s="58" t="s">
        <v>512</v>
      </c>
      <c r="J122" s="58">
        <v>100</v>
      </c>
      <c r="K122" s="59" t="s">
        <v>134</v>
      </c>
      <c r="L122" s="60">
        <v>47.3</v>
      </c>
      <c r="M122" s="60">
        <v>37</v>
      </c>
      <c r="N122" s="60">
        <v>37</v>
      </c>
      <c r="O122" s="55" t="s">
        <v>197</v>
      </c>
      <c r="P122" s="55" t="s">
        <v>197</v>
      </c>
      <c r="Q122" s="61" t="s">
        <v>199</v>
      </c>
      <c r="R122" s="62">
        <v>61.5598454529925</v>
      </c>
      <c r="S122" s="63">
        <v>0.034</v>
      </c>
      <c r="T122" s="63">
        <v>62.6159179593383</v>
      </c>
      <c r="U122" s="60">
        <v>66.865191717519</v>
      </c>
      <c r="V122" s="60">
        <v>17.7828983761748</v>
      </c>
      <c r="W122" s="60">
        <v>26.0742351006156</v>
      </c>
      <c r="X122" s="60">
        <v>23.0080582407285</v>
      </c>
      <c r="Y122" s="60">
        <v>26.5951505101505</v>
      </c>
      <c r="Z122" s="60">
        <v>38.995229701531</v>
      </c>
      <c r="AA122" s="60">
        <v>34.4096197883185</v>
      </c>
      <c r="AB122" s="60">
        <v>2.18025754979478</v>
      </c>
      <c r="AC122" s="60">
        <v>2.06901620838588</v>
      </c>
      <c r="AD122" s="97">
        <v>3.80219984054565</v>
      </c>
      <c r="AE122" s="97">
        <v>0.600599765777588</v>
      </c>
      <c r="AF122" s="97">
        <v>3.80219984054565</v>
      </c>
      <c r="AG122" s="60">
        <v>923.042693456854</v>
      </c>
      <c r="AH122" s="60">
        <v>96.5412001609802</v>
      </c>
      <c r="AI122" s="60">
        <v>88.9161826190803</v>
      </c>
      <c r="AJ122" s="60" t="s">
        <v>134</v>
      </c>
      <c r="AK122" s="55">
        <v>256.84693</v>
      </c>
      <c r="AL122" s="60">
        <v>25.318</v>
      </c>
      <c r="AM122" s="60">
        <v>0.309</v>
      </c>
      <c r="AN122" s="60">
        <v>3.882</v>
      </c>
      <c r="AO122" s="60">
        <v>1.415</v>
      </c>
      <c r="AP122" s="60">
        <v>0.19</v>
      </c>
      <c r="AQ122" s="60">
        <v>5.065</v>
      </c>
      <c r="AR122" s="60">
        <v>0.94</v>
      </c>
      <c r="AS122" s="60">
        <v>10.181</v>
      </c>
      <c r="AT122" s="60">
        <f t="shared" si="37"/>
        <v>21.982</v>
      </c>
      <c r="AU122" s="60">
        <f t="shared" si="38"/>
        <v>46.4735729386892</v>
      </c>
      <c r="AV122" s="97">
        <v>0</v>
      </c>
      <c r="AW122" s="53" t="s">
        <v>531</v>
      </c>
      <c r="AX122" s="53" t="s">
        <v>506</v>
      </c>
      <c r="AY122" s="53" t="s">
        <v>134</v>
      </c>
      <c r="AZ122" s="53" t="s">
        <v>212</v>
      </c>
      <c r="BA122" s="102" t="s">
        <v>322</v>
      </c>
      <c r="BB122" s="53" t="s">
        <v>532</v>
      </c>
      <c r="BC122" s="56">
        <v>8</v>
      </c>
      <c r="BD122" s="56">
        <v>16</v>
      </c>
      <c r="BE122" s="96">
        <f>U122/((VLOOKUP(B122,'Cell-Characteristics'!$B$4:$E$34,3,FALSE)*VLOOKUP(B122,'Cell-Characteristics'!$B$4:$E$34,4,FALSE)*3600)/1000)</f>
        <v>1.48741626353206</v>
      </c>
      <c r="BF122" s="90">
        <f t="shared" si="23"/>
        <v>4677.00255692579</v>
      </c>
      <c r="BG122" s="90">
        <f t="shared" si="21"/>
        <v>43413.6617866603</v>
      </c>
      <c r="BH122" s="90">
        <f t="shared" si="22"/>
        <v>6051.24906780982</v>
      </c>
      <c r="BI122" s="90">
        <f t="shared" si="24"/>
        <v>24447.9693693466</v>
      </c>
      <c r="BJ122" s="90">
        <f>BF122/((VLOOKUP(B122,'Cell-Characteristics'!$B$4:$Q$34,13,FALSE)))</f>
        <v>127.306945313457</v>
      </c>
      <c r="BK122" s="90">
        <f>BG122/((VLOOKUP(B122,'Cell-Characteristics'!$B$4:$Q$34,14,FALSE)))</f>
        <v>17069.1443684282</v>
      </c>
      <c r="BL122" s="90">
        <f>BH122/((VLOOKUP(B122,'Cell-Characteristics'!$B$4:$Q$34,15,FALSE)))</f>
        <v>2379.19677117631</v>
      </c>
      <c r="BM122" s="90">
        <f>BI122/((VLOOKUP(B122,'Cell-Characteristics'!$B$4:$Q$34,16,FALSE)))</f>
        <v>584.532845807909</v>
      </c>
      <c r="BN122" s="50">
        <f t="shared" si="25"/>
        <v>2.73499981562297</v>
      </c>
    </row>
    <row r="123" s="50" customFormat="1" ht="16.5" customHeight="1" spans="2:66">
      <c r="B123" s="53" t="s">
        <v>30</v>
      </c>
      <c r="C123" s="108" t="s">
        <v>533</v>
      </c>
      <c r="D123" s="53" t="s">
        <v>503</v>
      </c>
      <c r="E123" s="55" t="s">
        <v>194</v>
      </c>
      <c r="F123" s="56" t="s">
        <v>392</v>
      </c>
      <c r="G123" s="56" t="s">
        <v>393</v>
      </c>
      <c r="H123" s="57">
        <v>43014</v>
      </c>
      <c r="I123" s="58" t="s">
        <v>534</v>
      </c>
      <c r="J123" s="58">
        <v>100</v>
      </c>
      <c r="K123" s="59" t="s">
        <v>134</v>
      </c>
      <c r="L123" s="60">
        <v>47.3</v>
      </c>
      <c r="M123" s="60">
        <v>37</v>
      </c>
      <c r="N123" s="60">
        <v>37</v>
      </c>
      <c r="O123" s="55" t="s">
        <v>197</v>
      </c>
      <c r="P123" s="55" t="s">
        <v>197</v>
      </c>
      <c r="Q123" s="61" t="s">
        <v>199</v>
      </c>
      <c r="R123" s="62">
        <v>63.4111964420433</v>
      </c>
      <c r="S123" s="63">
        <v>0.035</v>
      </c>
      <c r="T123" s="63">
        <v>67.3974643945073</v>
      </c>
      <c r="U123" s="60">
        <v>72.5776500420098</v>
      </c>
      <c r="V123" s="60">
        <v>20.9711575984607</v>
      </c>
      <c r="W123" s="60">
        <v>23.2548300576996</v>
      </c>
      <c r="X123" s="60">
        <v>28.3516623858494</v>
      </c>
      <c r="Y123" s="60">
        <v>28.8947872882659</v>
      </c>
      <c r="Z123" s="60">
        <v>32.0413102990234</v>
      </c>
      <c r="AA123" s="60">
        <v>39.0639024127107</v>
      </c>
      <c r="AB123" s="60">
        <v>2.1777399545475</v>
      </c>
      <c r="AC123" s="60">
        <v>3.002445692955</v>
      </c>
      <c r="AD123" s="97">
        <v>3.99989986419678</v>
      </c>
      <c r="AE123" s="97">
        <v>1.59910011291504</v>
      </c>
      <c r="AF123" s="97">
        <v>1.80000019073486</v>
      </c>
      <c r="AG123" s="60">
        <v>1147.19247312088</v>
      </c>
      <c r="AH123" s="60">
        <v>58.3281002044678</v>
      </c>
      <c r="AI123" s="60">
        <v>66.7376757982919</v>
      </c>
      <c r="AJ123" s="60" t="s">
        <v>134</v>
      </c>
      <c r="AK123" s="55">
        <v>189.07643</v>
      </c>
      <c r="AL123" s="60">
        <v>27.254</v>
      </c>
      <c r="AM123" s="60">
        <v>0.323</v>
      </c>
      <c r="AN123" s="60">
        <v>3.305</v>
      </c>
      <c r="AO123" s="60">
        <v>1.208</v>
      </c>
      <c r="AP123" s="60">
        <v>0.022</v>
      </c>
      <c r="AQ123" s="60">
        <v>3.859</v>
      </c>
      <c r="AR123" s="60">
        <v>1.079</v>
      </c>
      <c r="AS123" s="60">
        <v>10.25</v>
      </c>
      <c r="AT123" s="60">
        <f t="shared" si="37"/>
        <v>20.046</v>
      </c>
      <c r="AU123" s="60">
        <f t="shared" si="38"/>
        <v>42.3805496828753</v>
      </c>
      <c r="AV123" s="97">
        <v>0</v>
      </c>
      <c r="AW123" s="53" t="s">
        <v>535</v>
      </c>
      <c r="AX123" s="53" t="s">
        <v>506</v>
      </c>
      <c r="AY123" s="53" t="s">
        <v>134</v>
      </c>
      <c r="AZ123" s="53" t="s">
        <v>212</v>
      </c>
      <c r="BA123" s="102" t="s">
        <v>322</v>
      </c>
      <c r="BB123" s="53" t="s">
        <v>536</v>
      </c>
      <c r="BC123" s="56">
        <v>2</v>
      </c>
      <c r="BD123" s="56">
        <v>4</v>
      </c>
      <c r="BE123" s="96">
        <f>U123/((VLOOKUP(B123,'Cell-Characteristics'!$B$4:$E$34,3,FALSE)*VLOOKUP(B123,'Cell-Characteristics'!$B$4:$E$34,4,FALSE)*3600)/1000)</f>
        <v>1.61448990526321</v>
      </c>
      <c r="BF123" s="90">
        <f t="shared" si="23"/>
        <v>5242.92065063283</v>
      </c>
      <c r="BG123" s="90">
        <f t="shared" si="21"/>
        <v>14542.4478867104</v>
      </c>
      <c r="BH123" s="90">
        <f t="shared" si="22"/>
        <v>15750.9218786664</v>
      </c>
      <c r="BI123" s="90">
        <f t="shared" si="24"/>
        <v>29427.347639782</v>
      </c>
      <c r="BJ123" s="90">
        <f>BF123/((VLOOKUP(B123,'Cell-Characteristics'!$B$4:$Q$34,13,FALSE)))</f>
        <v>142.711107045371</v>
      </c>
      <c r="BK123" s="90">
        <f>BG123/((VLOOKUP(B123,'Cell-Characteristics'!$B$4:$Q$34,14,FALSE)))</f>
        <v>5717.71954341054</v>
      </c>
      <c r="BL123" s="90">
        <f>BH123/((VLOOKUP(B123,'Cell-Characteristics'!$B$4:$Q$34,15,FALSE)))</f>
        <v>6192.86068989005</v>
      </c>
      <c r="BM123" s="90">
        <f>BI123/((VLOOKUP(B123,'Cell-Characteristics'!$B$4:$Q$34,16,FALSE)))</f>
        <v>703.586093413046</v>
      </c>
      <c r="BN123" s="50">
        <f t="shared" si="25"/>
        <v>2.46633338928223</v>
      </c>
    </row>
    <row r="124" s="50" customFormat="1" ht="16.5" customHeight="1" spans="2:66">
      <c r="B124" s="53" t="s">
        <v>30</v>
      </c>
      <c r="C124" s="107" t="s">
        <v>537</v>
      </c>
      <c r="D124" s="53" t="s">
        <v>391</v>
      </c>
      <c r="E124" s="55" t="s">
        <v>194</v>
      </c>
      <c r="F124" s="56" t="s">
        <v>392</v>
      </c>
      <c r="G124" s="56" t="s">
        <v>393</v>
      </c>
      <c r="H124" s="57">
        <v>43139</v>
      </c>
      <c r="I124" s="58" t="s">
        <v>134</v>
      </c>
      <c r="J124" s="58">
        <v>100</v>
      </c>
      <c r="K124" s="59" t="s">
        <v>134</v>
      </c>
      <c r="L124" s="60">
        <v>47.5</v>
      </c>
      <c r="M124" s="60">
        <v>37</v>
      </c>
      <c r="N124" s="60">
        <v>37</v>
      </c>
      <c r="O124" s="55" t="s">
        <v>197</v>
      </c>
      <c r="P124" s="55" t="s">
        <v>197</v>
      </c>
      <c r="Q124" s="61" t="s">
        <v>209</v>
      </c>
      <c r="R124" s="62">
        <v>65.6414973943717</v>
      </c>
      <c r="S124" s="63">
        <v>0.03</v>
      </c>
      <c r="T124" s="63">
        <v>66.8784425787889</v>
      </c>
      <c r="U124" s="60">
        <v>73.7854544184049</v>
      </c>
      <c r="V124" s="60">
        <v>15.4675429807603</v>
      </c>
      <c r="W124" s="60">
        <v>58.0497563849193</v>
      </c>
      <c r="X124" s="60">
        <v>0.268155052725304</v>
      </c>
      <c r="Y124" s="60">
        <v>20.9628619931656</v>
      </c>
      <c r="Z124" s="60">
        <v>78.673712647678</v>
      </c>
      <c r="AA124" s="60">
        <v>0.363425359156446</v>
      </c>
      <c r="AB124" s="60">
        <v>6.907011839616</v>
      </c>
      <c r="AC124" s="60">
        <v>0</v>
      </c>
      <c r="AD124" s="97">
        <v>2.60519981384277</v>
      </c>
      <c r="AE124" s="97">
        <v>2.00359964370728</v>
      </c>
      <c r="AF124" s="97">
        <v>0</v>
      </c>
      <c r="AG124" s="60">
        <v>905.853628258062</v>
      </c>
      <c r="AH124" s="60">
        <v>55.1684999465942</v>
      </c>
      <c r="AI124" s="60">
        <v>50.0563658763644</v>
      </c>
      <c r="AJ124" s="60" t="s">
        <v>134</v>
      </c>
      <c r="AK124" s="55">
        <v>185.887595</v>
      </c>
      <c r="AL124" s="60">
        <v>20.7</v>
      </c>
      <c r="AM124" s="60">
        <v>0.6</v>
      </c>
      <c r="AN124" s="60">
        <v>12.4</v>
      </c>
      <c r="AO124" s="60">
        <v>1.4</v>
      </c>
      <c r="AP124" s="60">
        <v>0</v>
      </c>
      <c r="AQ124" s="60">
        <v>0</v>
      </c>
      <c r="AR124" s="60">
        <v>0</v>
      </c>
      <c r="AS124" s="60">
        <v>12.4</v>
      </c>
      <c r="AT124" s="60">
        <f t="shared" si="37"/>
        <v>26.8</v>
      </c>
      <c r="AU124" s="60">
        <f t="shared" si="38"/>
        <v>56.421052631579</v>
      </c>
      <c r="AV124" s="97">
        <v>0</v>
      </c>
      <c r="AW124" s="53" t="s">
        <v>538</v>
      </c>
      <c r="AX124" s="53" t="s">
        <v>395</v>
      </c>
      <c r="AY124" s="53" t="s">
        <v>539</v>
      </c>
      <c r="AZ124" s="53" t="s">
        <v>203</v>
      </c>
      <c r="BA124" s="53" t="s">
        <v>204</v>
      </c>
      <c r="BB124" s="53" t="s">
        <v>540</v>
      </c>
      <c r="BC124" s="56">
        <v>7</v>
      </c>
      <c r="BD124" s="56">
        <v>14</v>
      </c>
      <c r="BE124" s="96">
        <f>U124/((VLOOKUP(B124,'Cell-Characteristics'!$B$4:$E$34,3,FALSE)*VLOOKUP(B124,'Cell-Characteristics'!$B$4:$E$34,4,FALSE)*3600)/1000)</f>
        <v>1.64135751494875</v>
      </c>
      <c r="BF124" s="90">
        <f t="shared" si="23"/>
        <v>5937.18105558479</v>
      </c>
      <c r="BG124" s="90">
        <f t="shared" si="21"/>
        <v>28972.7324354627</v>
      </c>
      <c r="BH124" s="90" t="e">
        <f t="shared" si="22"/>
        <v>#DIV/0!</v>
      </c>
      <c r="BI124" s="90">
        <f t="shared" si="24"/>
        <v>48029.0724936172</v>
      </c>
      <c r="BJ124" s="90">
        <f>BF124/((VLOOKUP(B124,'Cell-Characteristics'!$B$4:$Q$34,13,FALSE)))</f>
        <v>161.608717284141</v>
      </c>
      <c r="BK124" s="90">
        <f>BG124/((VLOOKUP(B124,'Cell-Characteristics'!$B$4:$Q$34,14,FALSE)))</f>
        <v>11391.3393235286</v>
      </c>
      <c r="BL124" s="90" t="e">
        <f>BH124/((VLOOKUP(B124,'Cell-Characteristics'!$B$4:$Q$34,15,FALSE)))</f>
        <v>#DIV/0!</v>
      </c>
      <c r="BM124" s="90">
        <f>BI124/((VLOOKUP(B124,'Cell-Characteristics'!$B$4:$Q$34,16,FALSE)))</f>
        <v>1148.33956154284</v>
      </c>
      <c r="BN124" s="50">
        <f t="shared" si="25"/>
        <v>1.53626648585002</v>
      </c>
    </row>
    <row r="125" s="50" customFormat="1" ht="16.5" customHeight="1" spans="2:66">
      <c r="B125" s="53" t="s">
        <v>30</v>
      </c>
      <c r="C125" s="107" t="s">
        <v>541</v>
      </c>
      <c r="D125" s="53" t="s">
        <v>391</v>
      </c>
      <c r="E125" s="55" t="s">
        <v>194</v>
      </c>
      <c r="F125" s="56" t="s">
        <v>392</v>
      </c>
      <c r="G125" s="56" t="s">
        <v>393</v>
      </c>
      <c r="H125" s="57">
        <v>43139</v>
      </c>
      <c r="I125" s="58" t="s">
        <v>134</v>
      </c>
      <c r="J125" s="58">
        <v>100</v>
      </c>
      <c r="K125" s="59" t="s">
        <v>134</v>
      </c>
      <c r="L125" s="60">
        <v>47.5</v>
      </c>
      <c r="M125" s="60">
        <v>37</v>
      </c>
      <c r="N125" s="60">
        <v>37</v>
      </c>
      <c r="O125" s="55" t="s">
        <v>197</v>
      </c>
      <c r="P125" s="55" t="s">
        <v>197</v>
      </c>
      <c r="Q125" s="61" t="s">
        <v>199</v>
      </c>
      <c r="R125" s="62">
        <v>61.0790571038095</v>
      </c>
      <c r="S125" s="63">
        <v>0.028</v>
      </c>
      <c r="T125" s="63">
        <v>62.6131860250857</v>
      </c>
      <c r="U125" s="60">
        <v>64.2716007579357</v>
      </c>
      <c r="V125" s="60">
        <v>16.6191200652463</v>
      </c>
      <c r="W125" s="60">
        <v>36.4768717700264</v>
      </c>
      <c r="X125" s="60">
        <v>11.1756089226629</v>
      </c>
      <c r="Y125" s="60">
        <v>25.8576414299038</v>
      </c>
      <c r="Z125" s="60">
        <v>56.754260575224</v>
      </c>
      <c r="AA125" s="60">
        <v>17.3880979948722</v>
      </c>
      <c r="AB125" s="60">
        <v>1.233158017926</v>
      </c>
      <c r="AC125" s="60">
        <v>0.425256714924</v>
      </c>
      <c r="AD125" s="97">
        <v>6.5064001083374</v>
      </c>
      <c r="AE125" s="97">
        <v>1.89930009841919</v>
      </c>
      <c r="AF125" s="97">
        <v>1.5999002456665</v>
      </c>
      <c r="AG125" s="60">
        <v>906.96701345977</v>
      </c>
      <c r="AH125" s="60">
        <v>68.4871001243591</v>
      </c>
      <c r="AI125" s="60">
        <v>62.2112726906562</v>
      </c>
      <c r="AJ125" s="60" t="s">
        <v>134</v>
      </c>
      <c r="AK125" s="55">
        <v>220.14285</v>
      </c>
      <c r="AL125" s="60">
        <v>25</v>
      </c>
      <c r="AM125" s="60">
        <v>1</v>
      </c>
      <c r="AN125" s="60">
        <v>8.5</v>
      </c>
      <c r="AO125" s="60">
        <v>1.1</v>
      </c>
      <c r="AP125" s="60">
        <v>0.2</v>
      </c>
      <c r="AQ125" s="60">
        <v>1.3</v>
      </c>
      <c r="AR125" s="60">
        <v>0.3</v>
      </c>
      <c r="AS125" s="60">
        <v>10.1</v>
      </c>
      <c r="AT125" s="60">
        <f t="shared" si="37"/>
        <v>22.5</v>
      </c>
      <c r="AU125" s="60">
        <f t="shared" si="38"/>
        <v>47.3684210526316</v>
      </c>
      <c r="AV125" s="97">
        <v>0</v>
      </c>
      <c r="AW125" s="53" t="s">
        <v>542</v>
      </c>
      <c r="AX125" s="53" t="s">
        <v>395</v>
      </c>
      <c r="AY125" s="53" t="s">
        <v>543</v>
      </c>
      <c r="AZ125" s="53" t="s">
        <v>212</v>
      </c>
      <c r="BA125" s="53" t="s">
        <v>204</v>
      </c>
      <c r="BB125" s="53" t="s">
        <v>403</v>
      </c>
      <c r="BC125" s="56">
        <v>7</v>
      </c>
      <c r="BD125" s="56">
        <v>14</v>
      </c>
      <c r="BE125" s="96">
        <f>U125/((VLOOKUP(B125,'Cell-Characteristics'!$B$4:$E$34,3,FALSE)*VLOOKUP(B125,'Cell-Characteristics'!$B$4:$E$34,4,FALSE)*3600)/1000)</f>
        <v>1.42972182977448</v>
      </c>
      <c r="BF125" s="90">
        <f t="shared" si="23"/>
        <v>2554.27268359201</v>
      </c>
      <c r="BG125" s="90">
        <f t="shared" si="21"/>
        <v>19205.4282524318</v>
      </c>
      <c r="BH125" s="90">
        <f t="shared" si="22"/>
        <v>6985.19107858955</v>
      </c>
      <c r="BI125" s="90">
        <f t="shared" si="24"/>
        <v>19270.6877703789</v>
      </c>
      <c r="BJ125" s="90">
        <f>BF125/((VLOOKUP(B125,'Cell-Characteristics'!$B$4:$Q$34,13,FALSE)))</f>
        <v>69.5267212039853</v>
      </c>
      <c r="BK125" s="90">
        <f>BG125/((VLOOKUP(B125,'Cell-Characteristics'!$B$4:$Q$34,14,FALSE)))</f>
        <v>7551.08447449549</v>
      </c>
      <c r="BL125" s="90">
        <f>BH125/((VLOOKUP(B125,'Cell-Characteristics'!$B$4:$Q$34,15,FALSE)))</f>
        <v>2746.39894573781</v>
      </c>
      <c r="BM125" s="90">
        <f>BI125/((VLOOKUP(B125,'Cell-Characteristics'!$B$4:$Q$34,16,FALSE)))</f>
        <v>460.74787614953</v>
      </c>
      <c r="BN125" s="50">
        <f t="shared" si="25"/>
        <v>3.3352001508077</v>
      </c>
    </row>
    <row r="126" s="50" customFormat="1" ht="16.5" customHeight="1" spans="2:66">
      <c r="B126" s="53" t="s">
        <v>30</v>
      </c>
      <c r="C126" s="108" t="s">
        <v>544</v>
      </c>
      <c r="D126" s="53" t="s">
        <v>503</v>
      </c>
      <c r="E126" s="55" t="s">
        <v>228</v>
      </c>
      <c r="F126" s="56" t="s">
        <v>392</v>
      </c>
      <c r="G126" s="56" t="s">
        <v>393</v>
      </c>
      <c r="H126" s="57">
        <v>43014</v>
      </c>
      <c r="I126" s="58" t="s">
        <v>545</v>
      </c>
      <c r="J126" s="58">
        <v>100</v>
      </c>
      <c r="K126" s="59" t="s">
        <v>134</v>
      </c>
      <c r="L126" s="60">
        <v>47.18</v>
      </c>
      <c r="M126" s="60">
        <v>37</v>
      </c>
      <c r="N126" s="60">
        <v>37</v>
      </c>
      <c r="O126" s="55" t="s">
        <v>197</v>
      </c>
      <c r="P126" s="55" t="s">
        <v>197</v>
      </c>
      <c r="Q126" s="61" t="s">
        <v>199</v>
      </c>
      <c r="R126" s="62">
        <v>66.5034744568457</v>
      </c>
      <c r="S126" s="63">
        <v>0.075</v>
      </c>
      <c r="T126" s="63">
        <v>67.8338474729921</v>
      </c>
      <c r="U126" s="60">
        <v>71.1856168439657</v>
      </c>
      <c r="V126" s="60">
        <v>19.9785176151109</v>
      </c>
      <c r="W126" s="60">
        <v>18.7071675465653</v>
      </c>
      <c r="X126" s="60">
        <v>32.4999316822896</v>
      </c>
      <c r="Y126" s="60">
        <v>28.0653852573934</v>
      </c>
      <c r="Z126" s="60">
        <v>26.2794204446808</v>
      </c>
      <c r="AA126" s="60">
        <v>45.6551942979259</v>
      </c>
      <c r="AB126" s="60">
        <v>0.43209757733142</v>
      </c>
      <c r="AC126" s="60">
        <v>2.91967179364224</v>
      </c>
      <c r="AD126" s="97">
        <v>1.90190029144287</v>
      </c>
      <c r="AE126" s="97">
        <v>2.40320014953613</v>
      </c>
      <c r="AF126" s="97">
        <v>3.00409984588623</v>
      </c>
      <c r="AG126" s="60">
        <v>1141.12763586986</v>
      </c>
      <c r="AH126" s="60">
        <v>83.104799747467</v>
      </c>
      <c r="AI126" s="60">
        <v>94.8688306853202</v>
      </c>
      <c r="AJ126" s="60" t="s">
        <v>134</v>
      </c>
      <c r="AK126" s="55">
        <v>250.99828</v>
      </c>
      <c r="AL126" s="60">
        <v>23.93</v>
      </c>
      <c r="AM126" s="60">
        <v>3.447</v>
      </c>
      <c r="AN126" s="60">
        <v>2.611</v>
      </c>
      <c r="AO126" s="60">
        <v>0.331</v>
      </c>
      <c r="AP126" s="60">
        <v>0.15</v>
      </c>
      <c r="AQ126" s="60">
        <v>7.847</v>
      </c>
      <c r="AR126" s="60">
        <v>0.765</v>
      </c>
      <c r="AS126" s="60">
        <v>8.099</v>
      </c>
      <c r="AT126" s="60">
        <f t="shared" si="37"/>
        <v>23.25</v>
      </c>
      <c r="AU126" s="60">
        <f t="shared" si="38"/>
        <v>49.2793556591776</v>
      </c>
      <c r="AV126" s="97">
        <v>0</v>
      </c>
      <c r="AW126" s="53" t="s">
        <v>546</v>
      </c>
      <c r="AX126" s="53" t="s">
        <v>506</v>
      </c>
      <c r="AY126" s="53" t="s">
        <v>134</v>
      </c>
      <c r="AZ126" s="53" t="s">
        <v>212</v>
      </c>
      <c r="BA126" s="102" t="s">
        <v>322</v>
      </c>
      <c r="BB126" s="53" t="s">
        <v>526</v>
      </c>
      <c r="BC126" s="56">
        <v>5</v>
      </c>
      <c r="BD126" s="56">
        <v>10</v>
      </c>
      <c r="BE126" s="96">
        <f>U126/((VLOOKUP(B126,'Cell-Characteristics'!$B$4:$E$34,3,FALSE)*VLOOKUP(B126,'Cell-Characteristics'!$B$4:$E$34,4,FALSE)*3600)/1000)</f>
        <v>1.58352412523681</v>
      </c>
      <c r="BF126" s="90">
        <f t="shared" si="23"/>
        <v>10504.5031566582</v>
      </c>
      <c r="BG126" s="90">
        <f t="shared" si="21"/>
        <v>7784.27362788578</v>
      </c>
      <c r="BH126" s="90">
        <f t="shared" si="22"/>
        <v>10818.525797934</v>
      </c>
      <c r="BI126" s="90">
        <f t="shared" si="24"/>
        <v>29217.5398334155</v>
      </c>
      <c r="BJ126" s="90">
        <f>BF126/((VLOOKUP(B126,'Cell-Characteristics'!$B$4:$Q$34,13,FALSE)))</f>
        <v>285.930185547886</v>
      </c>
      <c r="BK126" s="90">
        <f>BG126/((VLOOKUP(B126,'Cell-Characteristics'!$B$4:$Q$34,14,FALSE)))</f>
        <v>3060.57782019571</v>
      </c>
      <c r="BL126" s="90">
        <f>BH126/((VLOOKUP(B126,'Cell-Characteristics'!$B$4:$Q$34,15,FALSE)))</f>
        <v>4253.56837223164</v>
      </c>
      <c r="BM126" s="90">
        <f>BI126/((VLOOKUP(B126,'Cell-Characteristics'!$B$4:$Q$34,16,FALSE)))</f>
        <v>698.56974410913</v>
      </c>
      <c r="BN126" s="50">
        <f t="shared" si="25"/>
        <v>2.43640009562174</v>
      </c>
    </row>
    <row r="127" s="50" customFormat="1" ht="16.5" customHeight="1" spans="2:66">
      <c r="B127" s="53" t="s">
        <v>30</v>
      </c>
      <c r="C127" s="107" t="s">
        <v>547</v>
      </c>
      <c r="D127" s="53" t="s">
        <v>503</v>
      </c>
      <c r="E127" s="55" t="s">
        <v>228</v>
      </c>
      <c r="F127" s="56" t="s">
        <v>392</v>
      </c>
      <c r="G127" s="56" t="s">
        <v>393</v>
      </c>
      <c r="H127" s="57">
        <v>43014</v>
      </c>
      <c r="I127" s="58" t="s">
        <v>548</v>
      </c>
      <c r="J127" s="58">
        <v>100</v>
      </c>
      <c r="K127" s="59" t="s">
        <v>134</v>
      </c>
      <c r="L127" s="60">
        <v>47.9</v>
      </c>
      <c r="M127" s="60">
        <v>37</v>
      </c>
      <c r="N127" s="60">
        <v>37</v>
      </c>
      <c r="O127" s="55" t="s">
        <v>197</v>
      </c>
      <c r="P127" s="55" t="s">
        <v>197</v>
      </c>
      <c r="Q127" s="61" t="s">
        <v>199</v>
      </c>
      <c r="R127" s="62">
        <v>53.8084062936004</v>
      </c>
      <c r="S127" s="63">
        <v>0.077</v>
      </c>
      <c r="T127" s="63">
        <v>58.1467219711068</v>
      </c>
      <c r="U127" s="60">
        <v>62.6656375987828</v>
      </c>
      <c r="V127" s="60">
        <v>15.1286425596924</v>
      </c>
      <c r="W127" s="60">
        <v>12.2997385194914</v>
      </c>
      <c r="X127" s="60">
        <v>35.237256519599</v>
      </c>
      <c r="Y127" s="60">
        <v>24.1418473335476</v>
      </c>
      <c r="Z127" s="60">
        <v>19.6275646283863</v>
      </c>
      <c r="AA127" s="60">
        <v>56.2305880380661</v>
      </c>
      <c r="AB127" s="60">
        <v>1.11290546100384</v>
      </c>
      <c r="AC127" s="60">
        <v>3.40601016667212</v>
      </c>
      <c r="AD127" s="97">
        <v>4.50469970703125</v>
      </c>
      <c r="AE127" s="97">
        <v>2.60279989242554</v>
      </c>
      <c r="AF127" s="97">
        <v>0.401599884033203</v>
      </c>
      <c r="AG127" s="60">
        <v>1146.7130248131</v>
      </c>
      <c r="AH127" s="60">
        <v>84.9869003295898</v>
      </c>
      <c r="AI127" s="60">
        <v>97.48400601318</v>
      </c>
      <c r="AJ127" s="60" t="s">
        <v>134</v>
      </c>
      <c r="AK127" s="55">
        <v>257.524695</v>
      </c>
      <c r="AL127" s="60">
        <v>25.05</v>
      </c>
      <c r="AM127" s="60">
        <v>0.083</v>
      </c>
      <c r="AN127" s="60">
        <v>3.034</v>
      </c>
      <c r="AO127" s="60">
        <v>0.305</v>
      </c>
      <c r="AP127" s="60">
        <v>0.268</v>
      </c>
      <c r="AQ127" s="60">
        <v>8.164</v>
      </c>
      <c r="AR127" s="60">
        <v>0.664</v>
      </c>
      <c r="AS127" s="60">
        <v>10.332</v>
      </c>
      <c r="AT127" s="60">
        <f t="shared" si="37"/>
        <v>22.85</v>
      </c>
      <c r="AU127" s="60">
        <f t="shared" si="38"/>
        <v>47.7035490605428</v>
      </c>
      <c r="AV127" s="97">
        <v>0</v>
      </c>
      <c r="AW127" s="53" t="s">
        <v>549</v>
      </c>
      <c r="AX127" s="53" t="s">
        <v>514</v>
      </c>
      <c r="AY127" s="53" t="s">
        <v>134</v>
      </c>
      <c r="AZ127" s="53" t="s">
        <v>212</v>
      </c>
      <c r="BA127" s="53" t="s">
        <v>204</v>
      </c>
      <c r="BB127" s="53" t="s">
        <v>550</v>
      </c>
      <c r="BC127" s="56">
        <v>8</v>
      </c>
      <c r="BD127" s="56">
        <v>16</v>
      </c>
      <c r="BE127" s="96">
        <f>U127/((VLOOKUP(B127,'Cell-Characteristics'!$B$4:$E$34,3,FALSE)*VLOOKUP(B127,'Cell-Characteristics'!$B$4:$E$34,4,FALSE)*3600)/1000)</f>
        <v>1.39399717752718</v>
      </c>
      <c r="BF127" s="90">
        <f t="shared" si="23"/>
        <v>3358.4131115507</v>
      </c>
      <c r="BG127" s="90">
        <f t="shared" si="21"/>
        <v>4725.57977095556</v>
      </c>
      <c r="BH127" s="90">
        <f t="shared" si="22"/>
        <v>87742.1979451709</v>
      </c>
      <c r="BI127" s="90">
        <f t="shared" si="24"/>
        <v>25035.8798960769</v>
      </c>
      <c r="BJ127" s="90">
        <f>BF127/((VLOOKUP(B127,'Cell-Characteristics'!$B$4:$Q$34,13,FALSE)))</f>
        <v>91.4152406649981</v>
      </c>
      <c r="BK127" s="90">
        <f>BG127/((VLOOKUP(B127,'Cell-Characteristics'!$B$4:$Q$34,14,FALSE)))</f>
        <v>1857.97742036469</v>
      </c>
      <c r="BL127" s="90">
        <f>BH127/((VLOOKUP(B127,'Cell-Characteristics'!$B$4:$Q$34,15,FALSE)))</f>
        <v>34497.9940021903</v>
      </c>
      <c r="BM127" s="90">
        <f>BI127/((VLOOKUP(B127,'Cell-Characteristics'!$B$4:$Q$34,16,FALSE)))</f>
        <v>598.58935120017</v>
      </c>
      <c r="BN127" s="50">
        <f t="shared" si="25"/>
        <v>2.50303316116333</v>
      </c>
    </row>
    <row r="128" s="50" customFormat="1" ht="16.5" customHeight="1" spans="2:66">
      <c r="B128" s="53" t="s">
        <v>30</v>
      </c>
      <c r="C128" s="108" t="s">
        <v>551</v>
      </c>
      <c r="D128" s="53" t="s">
        <v>503</v>
      </c>
      <c r="E128" s="55" t="s">
        <v>228</v>
      </c>
      <c r="F128" s="56" t="s">
        <v>392</v>
      </c>
      <c r="G128" s="56" t="s">
        <v>393</v>
      </c>
      <c r="H128" s="57">
        <v>43014</v>
      </c>
      <c r="I128" s="58" t="s">
        <v>548</v>
      </c>
      <c r="J128" s="58">
        <v>100</v>
      </c>
      <c r="K128" s="59" t="s">
        <v>134</v>
      </c>
      <c r="L128" s="60">
        <v>47.6</v>
      </c>
      <c r="M128" s="60">
        <v>37</v>
      </c>
      <c r="N128" s="60">
        <v>37</v>
      </c>
      <c r="O128" s="55" t="s">
        <v>197</v>
      </c>
      <c r="P128" s="55" t="s">
        <v>197</v>
      </c>
      <c r="Q128" s="61" t="s">
        <v>199</v>
      </c>
      <c r="R128" s="62">
        <v>62.8725545509228</v>
      </c>
      <c r="S128" s="63">
        <v>0.085</v>
      </c>
      <c r="T128" s="63">
        <v>65.5579320026318</v>
      </c>
      <c r="U128" s="60">
        <v>69.2206638601606</v>
      </c>
      <c r="V128" s="60">
        <v>17.9456860329675</v>
      </c>
      <c r="W128" s="60">
        <v>15.1003111583087</v>
      </c>
      <c r="X128" s="60">
        <v>36.1746666688845</v>
      </c>
      <c r="Y128" s="60">
        <v>25.9253307209265</v>
      </c>
      <c r="Z128" s="60">
        <v>21.8147447831681</v>
      </c>
      <c r="AA128" s="60">
        <v>52.2599244959055</v>
      </c>
      <c r="AB128" s="60">
        <v>0.55971120963879</v>
      </c>
      <c r="AC128" s="60">
        <v>3.10302064789002</v>
      </c>
      <c r="AD128" s="97">
        <v>2.90020036697388</v>
      </c>
      <c r="AE128" s="97">
        <v>2.00080013275146</v>
      </c>
      <c r="AF128" s="97">
        <v>2.90020036697388</v>
      </c>
      <c r="AG128" s="60">
        <v>1135.26090394544</v>
      </c>
      <c r="AH128" s="60">
        <v>83.1211996078491</v>
      </c>
      <c r="AI128" s="60">
        <v>92.6550095177151</v>
      </c>
      <c r="AJ128" s="60" t="s">
        <v>134</v>
      </c>
      <c r="AK128" s="55">
        <v>272.809125</v>
      </c>
      <c r="AL128" s="60">
        <v>22.51</v>
      </c>
      <c r="AM128" s="60">
        <v>1.147</v>
      </c>
      <c r="AN128" s="60">
        <v>2.585</v>
      </c>
      <c r="AO128" s="60">
        <v>0.722</v>
      </c>
      <c r="AP128" s="60">
        <v>0.185</v>
      </c>
      <c r="AQ128" s="60">
        <v>11.27</v>
      </c>
      <c r="AR128" s="60">
        <v>0.502</v>
      </c>
      <c r="AS128" s="60">
        <v>8.679</v>
      </c>
      <c r="AT128" s="60">
        <f t="shared" si="37"/>
        <v>25.09</v>
      </c>
      <c r="AU128" s="60">
        <f t="shared" si="38"/>
        <v>52.7100840336134</v>
      </c>
      <c r="AV128" s="97">
        <v>0</v>
      </c>
      <c r="AW128" s="53" t="s">
        <v>552</v>
      </c>
      <c r="AX128" s="53" t="s">
        <v>514</v>
      </c>
      <c r="AY128" s="53" t="s">
        <v>134</v>
      </c>
      <c r="AZ128" s="53" t="s">
        <v>212</v>
      </c>
      <c r="BA128" s="102" t="s">
        <v>322</v>
      </c>
      <c r="BB128" s="53" t="s">
        <v>553</v>
      </c>
      <c r="BC128" s="56">
        <v>3</v>
      </c>
      <c r="BD128" s="56">
        <v>6</v>
      </c>
      <c r="BE128" s="96">
        <f>U128/((VLOOKUP(B128,'Cell-Characteristics'!$B$4:$E$34,3,FALSE)*VLOOKUP(B128,'Cell-Characteristics'!$B$4:$E$34,4,FALSE)*3600)/1000)</f>
        <v>1.53981374394403</v>
      </c>
      <c r="BF128" s="90">
        <f t="shared" si="23"/>
        <v>6187.7400738668</v>
      </c>
      <c r="BG128" s="90">
        <f t="shared" si="21"/>
        <v>7547.13622371816</v>
      </c>
      <c r="BH128" s="90">
        <f t="shared" si="22"/>
        <v>12473.1611928695</v>
      </c>
      <c r="BI128" s="90">
        <f t="shared" si="24"/>
        <v>26619.2340293304</v>
      </c>
      <c r="BJ128" s="90">
        <f>BF128/((VLOOKUP(B128,'Cell-Characteristics'!$B$4:$Q$34,13,FALSE)))</f>
        <v>168.428876745245</v>
      </c>
      <c r="BK128" s="90">
        <f>BG128/((VLOOKUP(B128,'Cell-Characteristics'!$B$4:$Q$34,14,FALSE)))</f>
        <v>2967.34144205322</v>
      </c>
      <c r="BL128" s="90">
        <f>BH128/((VLOOKUP(B128,'Cell-Characteristics'!$B$4:$Q$34,15,FALSE)))</f>
        <v>4904.12880115967</v>
      </c>
      <c r="BM128" s="90">
        <f>BI128/((VLOOKUP(B128,'Cell-Characteristics'!$B$4:$Q$34,16,FALSE)))</f>
        <v>636.446176176107</v>
      </c>
      <c r="BN128" s="50">
        <f t="shared" si="25"/>
        <v>2.60040028889974</v>
      </c>
    </row>
    <row r="129" s="50" customFormat="1" ht="16.5" customHeight="1" spans="2:66">
      <c r="B129" s="53" t="s">
        <v>30</v>
      </c>
      <c r="C129" s="107" t="s">
        <v>554</v>
      </c>
      <c r="D129" s="53" t="s">
        <v>391</v>
      </c>
      <c r="E129" s="55" t="s">
        <v>228</v>
      </c>
      <c r="F129" s="56" t="s">
        <v>392</v>
      </c>
      <c r="G129" s="56" t="s">
        <v>393</v>
      </c>
      <c r="H129" s="57">
        <v>43141</v>
      </c>
      <c r="I129" s="58" t="s">
        <v>134</v>
      </c>
      <c r="J129" s="58">
        <v>100</v>
      </c>
      <c r="K129" s="59" t="s">
        <v>134</v>
      </c>
      <c r="L129" s="60">
        <v>47.5</v>
      </c>
      <c r="M129" s="60">
        <v>37</v>
      </c>
      <c r="N129" s="60">
        <v>37</v>
      </c>
      <c r="O129" s="55" t="s">
        <v>197</v>
      </c>
      <c r="P129" s="55" t="s">
        <v>197</v>
      </c>
      <c r="Q129" s="61" t="s">
        <v>199</v>
      </c>
      <c r="R129" s="62">
        <v>61.9555301074088</v>
      </c>
      <c r="S129" s="63">
        <v>0.03</v>
      </c>
      <c r="T129" s="63">
        <v>64.2360509088335</v>
      </c>
      <c r="U129" s="60">
        <v>66.8417362050455</v>
      </c>
      <c r="V129" s="60">
        <v>19.9498711027184</v>
      </c>
      <c r="W129" s="60">
        <v>14.2025555821736</v>
      </c>
      <c r="X129" s="60">
        <v>32.6893095201535</v>
      </c>
      <c r="Y129" s="60">
        <v>29.8464286467958</v>
      </c>
      <c r="Z129" s="60">
        <v>21.2480351177675</v>
      </c>
      <c r="AA129" s="60">
        <v>48.9055362354366</v>
      </c>
      <c r="AB129" s="60">
        <v>1.452445016085</v>
      </c>
      <c r="AC129" s="60">
        <v>1.153240280127</v>
      </c>
      <c r="AD129" s="97">
        <v>2.70419979095459</v>
      </c>
      <c r="AE129" s="97">
        <v>1.80079984664917</v>
      </c>
      <c r="AF129" s="97">
        <v>1.60109996795654</v>
      </c>
      <c r="AG129" s="60">
        <v>904.185985903719</v>
      </c>
      <c r="AH129" s="60">
        <v>87.5840001106262</v>
      </c>
      <c r="AI129" s="60">
        <v>79.290297847224</v>
      </c>
      <c r="AJ129" s="60" t="s">
        <v>134</v>
      </c>
      <c r="AK129" s="55">
        <v>253.85303</v>
      </c>
      <c r="AL129" s="60">
        <v>26.5</v>
      </c>
      <c r="AM129" s="60">
        <v>0</v>
      </c>
      <c r="AN129" s="60">
        <v>1.7</v>
      </c>
      <c r="AO129" s="60">
        <v>0</v>
      </c>
      <c r="AP129" s="60">
        <v>0.2</v>
      </c>
      <c r="AQ129" s="60">
        <v>5.7</v>
      </c>
      <c r="AR129" s="60">
        <v>0.3</v>
      </c>
      <c r="AS129" s="60">
        <v>13.1</v>
      </c>
      <c r="AT129" s="60">
        <f t="shared" si="37"/>
        <v>21</v>
      </c>
      <c r="AU129" s="60">
        <f t="shared" si="38"/>
        <v>44.2105263157895</v>
      </c>
      <c r="AV129" s="97">
        <v>0</v>
      </c>
      <c r="AW129" s="53" t="s">
        <v>555</v>
      </c>
      <c r="AX129" s="53" t="s">
        <v>395</v>
      </c>
      <c r="AY129" s="53" t="s">
        <v>556</v>
      </c>
      <c r="AZ129" s="53" t="s">
        <v>296</v>
      </c>
      <c r="BA129" s="53" t="s">
        <v>204</v>
      </c>
      <c r="BB129" s="53" t="s">
        <v>557</v>
      </c>
      <c r="BC129" s="56">
        <v>3</v>
      </c>
      <c r="BD129" s="56">
        <v>6</v>
      </c>
      <c r="BE129" s="96">
        <f>U129/((VLOOKUP(B129,'Cell-Characteristics'!$B$4:$E$34,3,FALSE)*VLOOKUP(B129,'Cell-Characteristics'!$B$4:$E$34,4,FALSE)*3600)/1000)</f>
        <v>1.4868944956312</v>
      </c>
      <c r="BF129" s="90">
        <f t="shared" si="23"/>
        <v>7377.36581795831</v>
      </c>
      <c r="BG129" s="90">
        <f t="shared" si="21"/>
        <v>7886.80408241978</v>
      </c>
      <c r="BH129" s="90">
        <f t="shared" si="22"/>
        <v>20416.7823211403</v>
      </c>
      <c r="BI129" s="90">
        <f t="shared" si="24"/>
        <v>32840.1469953971</v>
      </c>
      <c r="BJ129" s="90">
        <f>BF129/((VLOOKUP(B129,'Cell-Characteristics'!$B$4:$Q$34,13,FALSE)))</f>
        <v>200.810218791396</v>
      </c>
      <c r="BK129" s="90">
        <f>BG129/((VLOOKUP(B129,'Cell-Characteristics'!$B$4:$Q$34,14,FALSE)))</f>
        <v>3100.89017945261</v>
      </c>
      <c r="BL129" s="90">
        <f>BH129/((VLOOKUP(B129,'Cell-Characteristics'!$B$4:$Q$34,15,FALSE)))</f>
        <v>8027.35799368575</v>
      </c>
      <c r="BM129" s="90">
        <f>BI129/((VLOOKUP(B129,'Cell-Characteristics'!$B$4:$Q$34,16,FALSE)))</f>
        <v>785.183599094247</v>
      </c>
      <c r="BN129" s="50">
        <f t="shared" si="25"/>
        <v>2.03536653518677</v>
      </c>
    </row>
    <row r="130" s="50" customFormat="1" ht="16.5" customHeight="1" spans="2:66">
      <c r="B130" s="53" t="s">
        <v>28</v>
      </c>
      <c r="C130" s="107" t="s">
        <v>558</v>
      </c>
      <c r="D130" s="53" t="s">
        <v>227</v>
      </c>
      <c r="E130" s="55" t="s">
        <v>194</v>
      </c>
      <c r="F130" s="56" t="s">
        <v>229</v>
      </c>
      <c r="G130" s="93" t="s">
        <v>230</v>
      </c>
      <c r="H130" s="57">
        <v>43400</v>
      </c>
      <c r="I130" s="58" t="s">
        <v>559</v>
      </c>
      <c r="J130" s="58">
        <v>100</v>
      </c>
      <c r="K130" s="59">
        <v>4.111</v>
      </c>
      <c r="L130" s="60">
        <v>47.787</v>
      </c>
      <c r="M130" s="60">
        <v>46.7</v>
      </c>
      <c r="N130" s="60">
        <v>46</v>
      </c>
      <c r="O130" s="59" t="s">
        <v>198</v>
      </c>
      <c r="P130" s="59" t="s">
        <v>198</v>
      </c>
      <c r="Q130" s="61" t="s">
        <v>199</v>
      </c>
      <c r="R130" s="62">
        <v>56.3718294509521</v>
      </c>
      <c r="S130" s="63">
        <v>0.024</v>
      </c>
      <c r="T130" s="63">
        <v>60.8976111338844</v>
      </c>
      <c r="U130" s="60">
        <v>62.284926241276</v>
      </c>
      <c r="V130" s="60">
        <v>16.4608860681556</v>
      </c>
      <c r="W130" s="60">
        <v>26.2794532585209</v>
      </c>
      <c r="X130" s="60">
        <v>19.5445869145995</v>
      </c>
      <c r="Y130" s="60">
        <v>26.4283624650856</v>
      </c>
      <c r="Z130" s="60">
        <v>42.192316575476</v>
      </c>
      <c r="AA130" s="60">
        <v>31.3793209594385</v>
      </c>
      <c r="AB130" s="60">
        <v>0.76442498921385</v>
      </c>
      <c r="AC130" s="60">
        <v>0.622890118177785</v>
      </c>
      <c r="AD130" s="97">
        <v>2.31139999999999</v>
      </c>
      <c r="AE130" s="97">
        <v>2.31139999999999</v>
      </c>
      <c r="AF130" s="97">
        <v>2.10979999999999</v>
      </c>
      <c r="AG130" s="60">
        <v>948.728156638937</v>
      </c>
      <c r="AH130" s="60">
        <v>75.2749</v>
      </c>
      <c r="AI130" s="60">
        <v>71.4185025834744</v>
      </c>
      <c r="AJ130" s="60" t="s">
        <v>134</v>
      </c>
      <c r="AK130" s="55">
        <v>167.05155</v>
      </c>
      <c r="AL130" s="60">
        <v>26.1614</v>
      </c>
      <c r="AM130" s="60">
        <v>1.9303</v>
      </c>
      <c r="AN130" s="60">
        <v>4.2052</v>
      </c>
      <c r="AO130" s="60">
        <v>0.028</v>
      </c>
      <c r="AP130" s="60">
        <v>0.4701</v>
      </c>
      <c r="AQ130" s="60">
        <v>2.626</v>
      </c>
      <c r="AR130" s="60">
        <v>1.9305</v>
      </c>
      <c r="AS130" s="60">
        <v>10.4355</v>
      </c>
      <c r="AT130" s="60">
        <f t="shared" si="37"/>
        <v>21.6256</v>
      </c>
      <c r="AU130" s="60">
        <f t="shared" si="38"/>
        <v>45.2541486178249</v>
      </c>
      <c r="AV130" s="97">
        <v>0</v>
      </c>
      <c r="AW130" s="53" t="s">
        <v>560</v>
      </c>
      <c r="AX130" s="53" t="s">
        <v>134</v>
      </c>
      <c r="AY130" s="53" t="s">
        <v>134</v>
      </c>
      <c r="AZ130" s="53" t="s">
        <v>212</v>
      </c>
      <c r="BA130" s="53" t="s">
        <v>204</v>
      </c>
      <c r="BB130" s="53" t="s">
        <v>134</v>
      </c>
      <c r="BC130" s="56">
        <v>7</v>
      </c>
      <c r="BD130" s="56">
        <v>14</v>
      </c>
      <c r="BE130" s="96">
        <f>U130/((VLOOKUP(B130,'Cell-Characteristics'!$B$4:$E$34,3,FALSE)*VLOOKUP(B130,'Cell-Characteristics'!$B$4:$E$34,4,FALSE)*3600)/1000)</f>
        <v>1.38552825295939</v>
      </c>
      <c r="BF130" s="90">
        <f t="shared" si="23"/>
        <v>7121.60857841814</v>
      </c>
      <c r="BG130" s="90">
        <f t="shared" si="21"/>
        <v>11369.4960883105</v>
      </c>
      <c r="BH130" s="90">
        <f t="shared" si="22"/>
        <v>9263.71547758062</v>
      </c>
      <c r="BI130" s="90">
        <f t="shared" si="24"/>
        <v>27753.7323951859</v>
      </c>
      <c r="BJ130" s="90">
        <f>BF130/((VLOOKUP(B130,'Cell-Characteristics'!$B$4:$Q$34,13,FALSE)))</f>
        <v>193.848564930539</v>
      </c>
      <c r="BK130" s="90">
        <f>BG130/((VLOOKUP(B130,'Cell-Characteristics'!$B$4:$Q$34,14,FALSE)))</f>
        <v>4470.19583561789</v>
      </c>
      <c r="BL130" s="90">
        <f>BH130/((VLOOKUP(B130,'Cell-Characteristics'!$B$4:$Q$34,15,FALSE)))</f>
        <v>3642.25661617544</v>
      </c>
      <c r="BM130" s="90">
        <f>BI130/((VLOOKUP(B130,'Cell-Characteristics'!$B$4:$Q$34,16,FALSE)))</f>
        <v>663.571192096219</v>
      </c>
      <c r="BN130" s="50">
        <f t="shared" si="25"/>
        <v>2.24419999999999</v>
      </c>
    </row>
    <row r="131" s="50" customFormat="1" ht="16.5" customHeight="1" spans="2:66">
      <c r="B131" s="53" t="s">
        <v>28</v>
      </c>
      <c r="C131" s="107" t="s">
        <v>561</v>
      </c>
      <c r="D131" s="53" t="s">
        <v>227</v>
      </c>
      <c r="E131" s="55" t="s">
        <v>194</v>
      </c>
      <c r="F131" s="56" t="s">
        <v>229</v>
      </c>
      <c r="G131" s="93" t="s">
        <v>230</v>
      </c>
      <c r="H131" s="57">
        <v>43400</v>
      </c>
      <c r="I131" s="58" t="s">
        <v>562</v>
      </c>
      <c r="J131" s="58">
        <v>100</v>
      </c>
      <c r="K131" s="59">
        <v>4.147</v>
      </c>
      <c r="L131" s="60">
        <v>47.7255</v>
      </c>
      <c r="M131" s="60">
        <v>51.4</v>
      </c>
      <c r="N131" s="60">
        <v>47.6</v>
      </c>
      <c r="O131" s="59" t="s">
        <v>197</v>
      </c>
      <c r="P131" s="59" t="s">
        <v>198</v>
      </c>
      <c r="Q131" s="61" t="s">
        <v>199</v>
      </c>
      <c r="R131" s="62">
        <v>60.0245451879749</v>
      </c>
      <c r="S131" s="63">
        <v>0.026</v>
      </c>
      <c r="T131" s="63">
        <v>62.6423097489807</v>
      </c>
      <c r="U131" s="60">
        <v>63.4831458697418</v>
      </c>
      <c r="V131" s="60">
        <v>20.8104682026176</v>
      </c>
      <c r="W131" s="60">
        <v>29.8770865183353</v>
      </c>
      <c r="X131" s="60">
        <v>12.7955911487888</v>
      </c>
      <c r="Y131" s="60">
        <v>32.7810916070821</v>
      </c>
      <c r="Z131" s="60">
        <v>47.0630213878165</v>
      </c>
      <c r="AA131" s="60">
        <v>20.1558870051014</v>
      </c>
      <c r="AB131" s="60">
        <v>0.53127920193156</v>
      </c>
      <c r="AC131" s="60">
        <v>0.30955691882946</v>
      </c>
      <c r="AD131" s="97">
        <v>3.11369999999999</v>
      </c>
      <c r="AE131" s="97">
        <v>2.4069</v>
      </c>
      <c r="AF131" s="97">
        <v>3.11369999999999</v>
      </c>
      <c r="AG131" s="60">
        <v>963.051015421635</v>
      </c>
      <c r="AH131" s="60">
        <v>55.4787</v>
      </c>
      <c r="AI131" s="60">
        <v>53.4668245267517</v>
      </c>
      <c r="AJ131" s="60" t="s">
        <v>134</v>
      </c>
      <c r="AK131" s="55">
        <v>115.70006</v>
      </c>
      <c r="AL131" s="60">
        <v>27.969</v>
      </c>
      <c r="AM131" s="60">
        <v>1.3</v>
      </c>
      <c r="AN131" s="60">
        <v>5.435</v>
      </c>
      <c r="AO131" s="60">
        <v>1.44</v>
      </c>
      <c r="AP131" s="60">
        <v>0.5</v>
      </c>
      <c r="AQ131" s="60">
        <v>2.9</v>
      </c>
      <c r="AR131" s="60">
        <v>0.37</v>
      </c>
      <c r="AS131" s="60">
        <v>7.8115</v>
      </c>
      <c r="AT131" s="60">
        <f t="shared" si="37"/>
        <v>19.7565</v>
      </c>
      <c r="AU131" s="60">
        <f t="shared" si="38"/>
        <v>41.3961089983342</v>
      </c>
      <c r="AV131" s="97">
        <v>0</v>
      </c>
      <c r="AW131" s="53" t="s">
        <v>563</v>
      </c>
      <c r="AX131" s="53" t="s">
        <v>564</v>
      </c>
      <c r="AY131" s="53" t="s">
        <v>564</v>
      </c>
      <c r="AZ131" s="53" t="s">
        <v>203</v>
      </c>
      <c r="BA131" s="53" t="s">
        <v>204</v>
      </c>
      <c r="BB131" s="53" t="s">
        <v>565</v>
      </c>
      <c r="BC131" s="56">
        <v>9</v>
      </c>
      <c r="BD131" s="56">
        <v>18</v>
      </c>
      <c r="BE131" s="96">
        <f>U131/((VLOOKUP(B131,'Cell-Characteristics'!$B$4:$E$34,3,FALSE)*VLOOKUP(B131,'Cell-Characteristics'!$B$4:$E$34,4,FALSE)*3600)/1000)</f>
        <v>1.41218264991666</v>
      </c>
      <c r="BF131" s="90">
        <f t="shared" si="23"/>
        <v>6683.51742384227</v>
      </c>
      <c r="BG131" s="90">
        <f t="shared" si="21"/>
        <v>12413.098391431</v>
      </c>
      <c r="BH131" s="90">
        <f t="shared" si="22"/>
        <v>4109.44893496125</v>
      </c>
      <c r="BI131" s="90">
        <f t="shared" si="24"/>
        <v>22057.3106805677</v>
      </c>
      <c r="BJ131" s="90">
        <f>BF131/((VLOOKUP(B131,'Cell-Characteristics'!$B$4:$Q$34,13,FALSE)))</f>
        <v>181.923823393823</v>
      </c>
      <c r="BK131" s="90">
        <f>BG131/((VLOOKUP(B131,'Cell-Characteristics'!$B$4:$Q$34,14,FALSE)))</f>
        <v>4880.51363978573</v>
      </c>
      <c r="BL131" s="90">
        <f>BH131/((VLOOKUP(B131,'Cell-Characteristics'!$B$4:$Q$34,15,FALSE)))</f>
        <v>1615.7304926324</v>
      </c>
      <c r="BM131" s="90">
        <f>BI131/((VLOOKUP(B131,'Cell-Characteristics'!$B$4:$Q$34,16,FALSE)))</f>
        <v>527.373966655374</v>
      </c>
      <c r="BN131" s="50">
        <f t="shared" si="25"/>
        <v>2.8781</v>
      </c>
    </row>
    <row r="132" s="50" customFormat="1" ht="16.5" customHeight="1" spans="2:66">
      <c r="B132" s="53" t="s">
        <v>28</v>
      </c>
      <c r="C132" s="107" t="s">
        <v>566</v>
      </c>
      <c r="D132" s="53" t="s">
        <v>244</v>
      </c>
      <c r="E132" s="55" t="s">
        <v>194</v>
      </c>
      <c r="F132" s="56" t="s">
        <v>245</v>
      </c>
      <c r="G132" s="93" t="s">
        <v>246</v>
      </c>
      <c r="H132" s="57">
        <v>43511</v>
      </c>
      <c r="I132" s="58" t="s">
        <v>567</v>
      </c>
      <c r="J132" s="58">
        <v>100</v>
      </c>
      <c r="K132" s="59">
        <v>4.136</v>
      </c>
      <c r="L132" s="60">
        <v>47.7765</v>
      </c>
      <c r="M132" s="60">
        <v>48.4</v>
      </c>
      <c r="N132" s="60">
        <v>49.7</v>
      </c>
      <c r="O132" s="55" t="s">
        <v>198</v>
      </c>
      <c r="P132" s="55" t="s">
        <v>198</v>
      </c>
      <c r="Q132" s="61" t="s">
        <v>199</v>
      </c>
      <c r="R132" s="62">
        <v>54.4833855626265</v>
      </c>
      <c r="S132" s="63">
        <v>0.025</v>
      </c>
      <c r="T132" s="63">
        <v>56.3630833205458</v>
      </c>
      <c r="U132" s="60">
        <v>57.2617305239323</v>
      </c>
      <c r="V132" s="60">
        <v>21.1419178481538</v>
      </c>
      <c r="W132" s="60">
        <v>12.3949718320599</v>
      </c>
      <c r="X132" s="60">
        <v>23.7248408437186</v>
      </c>
      <c r="Y132" s="60">
        <v>36.9215489205616</v>
      </c>
      <c r="Z132" s="60">
        <v>21.6461705202561</v>
      </c>
      <c r="AA132" s="60">
        <v>41.4322805591823</v>
      </c>
      <c r="AB132" s="60">
        <v>0.23826648469371</v>
      </c>
      <c r="AC132" s="60">
        <v>0.660380718692805</v>
      </c>
      <c r="AD132" s="97">
        <v>11.7281</v>
      </c>
      <c r="AE132" s="97">
        <v>2.4068</v>
      </c>
      <c r="AF132" s="97">
        <v>11.7281</v>
      </c>
      <c r="AG132" s="60">
        <v>945.033781886466</v>
      </c>
      <c r="AH132" s="60">
        <v>35.1108</v>
      </c>
      <c r="AI132" s="60">
        <v>33.323940453923</v>
      </c>
      <c r="AJ132" s="60" t="s">
        <v>134</v>
      </c>
      <c r="AK132" s="55">
        <v>71.879125</v>
      </c>
      <c r="AL132" s="60">
        <v>25.5</v>
      </c>
      <c r="AM132" s="60">
        <v>1.1</v>
      </c>
      <c r="AN132" s="60">
        <v>2.5</v>
      </c>
      <c r="AO132" s="60">
        <v>0.7</v>
      </c>
      <c r="AP132" s="60">
        <v>2.1</v>
      </c>
      <c r="AQ132" s="60">
        <v>5.4</v>
      </c>
      <c r="AR132" s="60">
        <v>1</v>
      </c>
      <c r="AS132" s="60">
        <v>9.47649999999999</v>
      </c>
      <c r="AT132" s="60">
        <f t="shared" si="37"/>
        <v>22.2765</v>
      </c>
      <c r="AU132" s="60">
        <f t="shared" si="38"/>
        <v>46.6264795453832</v>
      </c>
      <c r="AV132" s="97">
        <v>0</v>
      </c>
      <c r="AW132" s="53" t="s">
        <v>568</v>
      </c>
      <c r="AX132" s="53" t="s">
        <v>248</v>
      </c>
      <c r="AY132" s="53" t="s">
        <v>569</v>
      </c>
      <c r="AZ132" s="53" t="s">
        <v>212</v>
      </c>
      <c r="BA132" s="53" t="s">
        <v>204</v>
      </c>
      <c r="BB132" s="53" t="s">
        <v>570</v>
      </c>
      <c r="BC132" s="56">
        <v>13</v>
      </c>
      <c r="BD132" s="56">
        <v>26</v>
      </c>
      <c r="BE132" s="96">
        <f>U132/((VLOOKUP(B132,'Cell-Characteristics'!$B$4:$E$34,3,FALSE)*VLOOKUP(B132,'Cell-Characteristics'!$B$4:$E$34,4,FALSE)*3600)/1000)</f>
        <v>1.27378725868472</v>
      </c>
      <c r="BF132" s="90">
        <f t="shared" si="23"/>
        <v>1802.6720311179</v>
      </c>
      <c r="BG132" s="90">
        <f t="shared" si="21"/>
        <v>5149.97998672924</v>
      </c>
      <c r="BH132" s="90">
        <f t="shared" si="22"/>
        <v>2022.90574293522</v>
      </c>
      <c r="BI132" s="90">
        <f t="shared" si="24"/>
        <v>6642.12162439767</v>
      </c>
      <c r="BJ132" s="90">
        <f>BF132/((VLOOKUP(B132,'Cell-Characteristics'!$B$4:$Q$34,13,FALSE)))</f>
        <v>49.0683224758533</v>
      </c>
      <c r="BK132" s="90">
        <f>BG132/((VLOOKUP(B132,'Cell-Characteristics'!$B$4:$Q$34,14,FALSE)))</f>
        <v>2024.84075911348</v>
      </c>
      <c r="BL132" s="90">
        <f>BH132/((VLOOKUP(B132,'Cell-Characteristics'!$B$4:$Q$34,15,FALSE)))</f>
        <v>795.354935493914</v>
      </c>
      <c r="BM132" s="90">
        <f>BI132/((VLOOKUP(B132,'Cell-Characteristics'!$B$4:$Q$34,16,FALSE)))</f>
        <v>158.808210066699</v>
      </c>
      <c r="BN132" s="50">
        <f t="shared" si="25"/>
        <v>8.621</v>
      </c>
    </row>
    <row r="133" s="50" customFormat="1" ht="16.5" customHeight="1" spans="2:66">
      <c r="B133" s="53" t="s">
        <v>28</v>
      </c>
      <c r="C133" s="107" t="s">
        <v>571</v>
      </c>
      <c r="D133" s="53" t="s">
        <v>244</v>
      </c>
      <c r="E133" s="55" t="s">
        <v>194</v>
      </c>
      <c r="F133" s="56" t="s">
        <v>245</v>
      </c>
      <c r="G133" s="93" t="s">
        <v>246</v>
      </c>
      <c r="H133" s="57">
        <v>43511</v>
      </c>
      <c r="I133" s="58" t="s">
        <v>572</v>
      </c>
      <c r="J133" s="58">
        <v>100</v>
      </c>
      <c r="K133" s="59">
        <v>4.136</v>
      </c>
      <c r="L133" s="60">
        <v>47.7049</v>
      </c>
      <c r="M133" s="60">
        <v>47.5</v>
      </c>
      <c r="N133" s="60">
        <v>47.7</v>
      </c>
      <c r="O133" s="55" t="s">
        <v>198</v>
      </c>
      <c r="P133" s="55" t="s">
        <v>198</v>
      </c>
      <c r="Q133" s="61" t="s">
        <v>199</v>
      </c>
      <c r="R133" s="62">
        <v>49.3779411377303</v>
      </c>
      <c r="S133" s="63">
        <v>0.025</v>
      </c>
      <c r="T133" s="63">
        <v>50.9051953171112</v>
      </c>
      <c r="U133" s="60">
        <v>51.3665080012502</v>
      </c>
      <c r="V133" s="60">
        <v>14.1433955636636</v>
      </c>
      <c r="W133" s="60">
        <v>12.7455688968852</v>
      </c>
      <c r="X133" s="60">
        <v>24.4775435407014</v>
      </c>
      <c r="Y133" s="60">
        <v>27.534274985793</v>
      </c>
      <c r="Z133" s="60">
        <v>24.8129946785073</v>
      </c>
      <c r="AA133" s="60">
        <v>47.6527303356997</v>
      </c>
      <c r="AB133" s="60">
        <v>0.144682501746195</v>
      </c>
      <c r="AC133" s="60">
        <v>0.316630182392812</v>
      </c>
      <c r="AD133" s="97">
        <v>1.9049</v>
      </c>
      <c r="AE133" s="97">
        <v>1.8032</v>
      </c>
      <c r="AF133" s="97">
        <v>1.9049</v>
      </c>
      <c r="AG133" s="60">
        <v>951.94122138229</v>
      </c>
      <c r="AH133" s="60">
        <v>82.4706</v>
      </c>
      <c r="AI133" s="60">
        <v>78.6444318108854</v>
      </c>
      <c r="AJ133" s="60" t="s">
        <v>134</v>
      </c>
      <c r="AK133" s="55">
        <v>177.70388</v>
      </c>
      <c r="AL133" s="60">
        <v>25.3</v>
      </c>
      <c r="AM133" s="60">
        <v>1.7</v>
      </c>
      <c r="AN133" s="60">
        <v>6.5</v>
      </c>
      <c r="AO133" s="60">
        <v>0.4</v>
      </c>
      <c r="AP133" s="60">
        <v>2.4</v>
      </c>
      <c r="AQ133" s="60">
        <v>6.1</v>
      </c>
      <c r="AR133" s="60">
        <v>1.8</v>
      </c>
      <c r="AS133" s="60">
        <v>3.50490000000001</v>
      </c>
      <c r="AT133" s="60">
        <f t="shared" si="37"/>
        <v>22.4049</v>
      </c>
      <c r="AU133" s="60">
        <f t="shared" si="38"/>
        <v>46.9656156914698</v>
      </c>
      <c r="AV133" s="97">
        <v>0</v>
      </c>
      <c r="AW133" s="53" t="s">
        <v>573</v>
      </c>
      <c r="AX133" s="53" t="s">
        <v>248</v>
      </c>
      <c r="AY133" s="53" t="s">
        <v>574</v>
      </c>
      <c r="AZ133" s="53" t="s">
        <v>212</v>
      </c>
      <c r="BA133" s="53" t="s">
        <v>204</v>
      </c>
      <c r="BB133" s="53" t="s">
        <v>575</v>
      </c>
      <c r="BC133" s="56">
        <v>9</v>
      </c>
      <c r="BD133" s="56">
        <v>18</v>
      </c>
      <c r="BE133" s="96">
        <f>U133/((VLOOKUP(B133,'Cell-Characteristics'!$B$4:$E$34,3,FALSE)*VLOOKUP(B133,'Cell-Characteristics'!$B$4:$E$34,4,FALSE)*3600)/1000)</f>
        <v>1.14264802716315</v>
      </c>
      <c r="BF133" s="90">
        <f t="shared" si="23"/>
        <v>7424.74437695607</v>
      </c>
      <c r="BG133" s="90">
        <f t="shared" si="21"/>
        <v>7068.30573252285</v>
      </c>
      <c r="BH133" s="90">
        <f t="shared" si="22"/>
        <v>12849.7787499089</v>
      </c>
      <c r="BI133" s="90">
        <f t="shared" si="24"/>
        <v>27454.0395517104</v>
      </c>
      <c r="BJ133" s="90">
        <f>BF133/((VLOOKUP(B133,'Cell-Characteristics'!$B$4:$Q$34,13,FALSE)))</f>
        <v>202.099852385978</v>
      </c>
      <c r="BK133" s="90">
        <f>BG133/((VLOOKUP(B133,'Cell-Characteristics'!$B$4:$Q$34,14,FALSE)))</f>
        <v>2779.0775074793</v>
      </c>
      <c r="BL133" s="90">
        <f>BH133/((VLOOKUP(B133,'Cell-Characteristics'!$B$4:$Q$34,15,FALSE)))</f>
        <v>5052.20521738966</v>
      </c>
      <c r="BM133" s="90">
        <f>BI133/((VLOOKUP(B133,'Cell-Characteristics'!$B$4:$Q$34,16,FALSE)))</f>
        <v>656.405758107879</v>
      </c>
      <c r="BN133" s="50">
        <f t="shared" si="25"/>
        <v>1.871</v>
      </c>
    </row>
    <row r="134" s="50" customFormat="1" ht="16.5" customHeight="1" spans="2:66">
      <c r="B134" s="53" t="s">
        <v>28</v>
      </c>
      <c r="C134" s="107" t="s">
        <v>576</v>
      </c>
      <c r="D134" s="53" t="s">
        <v>244</v>
      </c>
      <c r="E134" s="55" t="s">
        <v>194</v>
      </c>
      <c r="F134" s="56" t="s">
        <v>245</v>
      </c>
      <c r="G134" s="93" t="s">
        <v>246</v>
      </c>
      <c r="H134" s="57">
        <v>43511</v>
      </c>
      <c r="I134" s="58" t="s">
        <v>577</v>
      </c>
      <c r="J134" s="58">
        <v>100</v>
      </c>
      <c r="K134" s="59">
        <v>4.136</v>
      </c>
      <c r="L134" s="60">
        <v>47.8188</v>
      </c>
      <c r="M134" s="60">
        <v>47.3</v>
      </c>
      <c r="N134" s="60">
        <v>48.3</v>
      </c>
      <c r="O134" s="55" t="s">
        <v>197</v>
      </c>
      <c r="P134" s="55" t="s">
        <v>198</v>
      </c>
      <c r="Q134" s="61" t="s">
        <v>199</v>
      </c>
      <c r="R134" s="62">
        <v>47.6140966590441</v>
      </c>
      <c r="S134" s="63">
        <v>0.024</v>
      </c>
      <c r="T134" s="63">
        <v>49.5157106796413</v>
      </c>
      <c r="U134" s="60">
        <v>50.3739042299047</v>
      </c>
      <c r="V134" s="60">
        <v>16.1163964955837</v>
      </c>
      <c r="W134" s="60">
        <v>16.6543426259458</v>
      </c>
      <c r="X134" s="60">
        <v>17.6031651083752</v>
      </c>
      <c r="Y134" s="60">
        <v>31.9935425732122</v>
      </c>
      <c r="Z134" s="60">
        <v>33.0614489397843</v>
      </c>
      <c r="AA134" s="60">
        <v>34.9450084870035</v>
      </c>
      <c r="AB134" s="60">
        <v>0.391710140988048</v>
      </c>
      <c r="AC134" s="60">
        <v>0.466483409275356</v>
      </c>
      <c r="AD134" s="97">
        <v>10.7243</v>
      </c>
      <c r="AE134" s="97">
        <v>2.1055</v>
      </c>
      <c r="AF134" s="97">
        <v>10.7243</v>
      </c>
      <c r="AG134" s="60">
        <v>952.246206637397</v>
      </c>
      <c r="AH134" s="60">
        <v>50.7355</v>
      </c>
      <c r="AI134" s="60">
        <v>48.4559119172003</v>
      </c>
      <c r="AJ134" s="60" t="s">
        <v>134</v>
      </c>
      <c r="AK134" s="55">
        <v>196.162595</v>
      </c>
      <c r="AL134" s="60">
        <v>27.6</v>
      </c>
      <c r="AM134" s="60">
        <v>1.4</v>
      </c>
      <c r="AN134" s="60">
        <v>3.2</v>
      </c>
      <c r="AO134" s="60">
        <v>0.4</v>
      </c>
      <c r="AP134" s="60">
        <v>1.1</v>
      </c>
      <c r="AQ134" s="60">
        <v>6.1</v>
      </c>
      <c r="AR134" s="60">
        <v>0.1</v>
      </c>
      <c r="AS134" s="60">
        <v>7.9188</v>
      </c>
      <c r="AT134" s="60">
        <f t="shared" si="37"/>
        <v>20.2188</v>
      </c>
      <c r="AU134" s="60">
        <f t="shared" si="38"/>
        <v>42.2821149840648</v>
      </c>
      <c r="AV134" s="97">
        <v>0</v>
      </c>
      <c r="AW134" s="53" t="s">
        <v>578</v>
      </c>
      <c r="AX134" s="53" t="s">
        <v>248</v>
      </c>
      <c r="AY134" s="53" t="s">
        <v>579</v>
      </c>
      <c r="AZ134" s="53" t="s">
        <v>203</v>
      </c>
      <c r="BA134" s="53" t="s">
        <v>204</v>
      </c>
      <c r="BB134" s="53" t="s">
        <v>379</v>
      </c>
      <c r="BC134" s="56">
        <v>12</v>
      </c>
      <c r="BD134" s="56">
        <v>24</v>
      </c>
      <c r="BE134" s="96">
        <f>U134/((VLOOKUP(B134,'Cell-Characteristics'!$B$4:$E$34,3,FALSE)*VLOOKUP(B134,'Cell-Characteristics'!$B$4:$E$34,4,FALSE)*3600)/1000)</f>
        <v>1.12056755517438</v>
      </c>
      <c r="BF134" s="90">
        <f t="shared" si="23"/>
        <v>1502.79239629475</v>
      </c>
      <c r="BG134" s="90">
        <f t="shared" si="21"/>
        <v>7909.92288100014</v>
      </c>
      <c r="BH134" s="90">
        <f t="shared" si="22"/>
        <v>1641.42788884824</v>
      </c>
      <c r="BI134" s="90">
        <f t="shared" si="24"/>
        <v>6415.94086336197</v>
      </c>
      <c r="BJ134" s="90">
        <f>BF134/((VLOOKUP(B134,'Cell-Characteristics'!$B$4:$Q$34,13,FALSE)))</f>
        <v>40.9056670557664</v>
      </c>
      <c r="BK134" s="90">
        <f>BG134/((VLOOKUP(B134,'Cell-Characteristics'!$B$4:$Q$34,14,FALSE)))</f>
        <v>3109.97990131326</v>
      </c>
      <c r="BL134" s="90">
        <f>BH134/((VLOOKUP(B134,'Cell-Characteristics'!$B$4:$Q$34,15,FALSE)))</f>
        <v>645.367574446899</v>
      </c>
      <c r="BM134" s="90">
        <f>BI134/((VLOOKUP(B134,'Cell-Characteristics'!$B$4:$Q$34,16,FALSE)))</f>
        <v>153.400395539536</v>
      </c>
      <c r="BN134" s="50">
        <f t="shared" si="25"/>
        <v>7.85136666666667</v>
      </c>
    </row>
    <row r="135" s="50" customFormat="1" ht="16.5" customHeight="1" spans="2:66">
      <c r="B135" s="53" t="s">
        <v>28</v>
      </c>
      <c r="C135" s="107" t="s">
        <v>580</v>
      </c>
      <c r="D135" s="53" t="s">
        <v>244</v>
      </c>
      <c r="E135" s="55" t="s">
        <v>194</v>
      </c>
      <c r="F135" s="56" t="s">
        <v>245</v>
      </c>
      <c r="G135" s="93" t="s">
        <v>246</v>
      </c>
      <c r="H135" s="57">
        <v>43511</v>
      </c>
      <c r="I135" s="58" t="s">
        <v>581</v>
      </c>
      <c r="J135" s="58">
        <v>100</v>
      </c>
      <c r="K135" s="59">
        <v>4.135</v>
      </c>
      <c r="L135" s="60">
        <v>47.7914</v>
      </c>
      <c r="M135" s="60">
        <v>50.3</v>
      </c>
      <c r="N135" s="60">
        <v>45.1</v>
      </c>
      <c r="O135" s="55" t="s">
        <v>198</v>
      </c>
      <c r="P135" s="55" t="s">
        <v>198</v>
      </c>
      <c r="Q135" s="61" t="s">
        <v>199</v>
      </c>
      <c r="R135" s="62">
        <v>56.996186644128</v>
      </c>
      <c r="S135" s="63">
        <v>0.037</v>
      </c>
      <c r="T135" s="63">
        <v>59.445030517105</v>
      </c>
      <c r="U135" s="60">
        <v>60.8638217742414</v>
      </c>
      <c r="V135" s="60">
        <v>12.3234209204396</v>
      </c>
      <c r="W135" s="60">
        <v>21.0632615987838</v>
      </c>
      <c r="X135" s="60">
        <v>27.477139255018</v>
      </c>
      <c r="Y135" s="60">
        <v>20.2475305710348</v>
      </c>
      <c r="Z135" s="60">
        <v>34.6071951855283</v>
      </c>
      <c r="AA135" s="60">
        <v>45.145274243437</v>
      </c>
      <c r="AB135" s="60">
        <v>0.72208436181369</v>
      </c>
      <c r="AC135" s="60">
        <v>0.696706895322678</v>
      </c>
      <c r="AD135" s="97">
        <v>2.70800000000001</v>
      </c>
      <c r="AE135" s="97">
        <v>1.9071</v>
      </c>
      <c r="AF135" s="97">
        <v>2.70800000000001</v>
      </c>
      <c r="AG135" s="60">
        <v>953.541701892932</v>
      </c>
      <c r="AH135" s="60">
        <v>94.502</v>
      </c>
      <c r="AI135" s="60">
        <v>90.2689393409608</v>
      </c>
      <c r="AJ135" s="60" t="s">
        <v>134</v>
      </c>
      <c r="AK135" s="55">
        <v>194.649255</v>
      </c>
      <c r="AL135" s="60">
        <v>21.4</v>
      </c>
      <c r="AM135" s="60">
        <v>1.4</v>
      </c>
      <c r="AN135" s="60">
        <v>4.8</v>
      </c>
      <c r="AO135" s="60">
        <v>0.6</v>
      </c>
      <c r="AP135" s="60">
        <v>1.4</v>
      </c>
      <c r="AQ135" s="60">
        <v>9</v>
      </c>
      <c r="AR135" s="60">
        <v>0.1</v>
      </c>
      <c r="AS135" s="60">
        <v>9.09140000000001</v>
      </c>
      <c r="AT135" s="60">
        <f t="shared" si="37"/>
        <v>26.3914</v>
      </c>
      <c r="AU135" s="60">
        <f t="shared" si="38"/>
        <v>55.2220692425834</v>
      </c>
      <c r="AV135" s="97">
        <v>0</v>
      </c>
      <c r="AW135" s="53" t="s">
        <v>582</v>
      </c>
      <c r="AX135" s="53" t="s">
        <v>248</v>
      </c>
      <c r="AY135" s="53" t="s">
        <v>583</v>
      </c>
      <c r="AZ135" s="53" t="s">
        <v>212</v>
      </c>
      <c r="BA135" s="53" t="s">
        <v>204</v>
      </c>
      <c r="BB135" s="53" t="s">
        <v>584</v>
      </c>
      <c r="BC135" s="56">
        <v>6</v>
      </c>
      <c r="BD135" s="56">
        <v>12</v>
      </c>
      <c r="BE135" s="96">
        <f>U135/((VLOOKUP(B135,'Cell-Characteristics'!$B$4:$E$34,3,FALSE)*VLOOKUP(B135,'Cell-Characteristics'!$B$4:$E$34,4,FALSE)*3600)/1000)</f>
        <v>1.35391578252222</v>
      </c>
      <c r="BF135" s="90">
        <f t="shared" si="23"/>
        <v>4550.74627785804</v>
      </c>
      <c r="BG135" s="90">
        <f t="shared" si="21"/>
        <v>11044.6550253179</v>
      </c>
      <c r="BH135" s="90">
        <f t="shared" si="22"/>
        <v>10146.6540823552</v>
      </c>
      <c r="BI135" s="90">
        <f t="shared" si="24"/>
        <v>24933.6299275885</v>
      </c>
      <c r="BJ135" s="90">
        <f>BF135/((VLOOKUP(B135,'Cell-Characteristics'!$B$4:$Q$34,13,FALSE)))</f>
        <v>123.870278127771</v>
      </c>
      <c r="BK135" s="90">
        <f>BG135/((VLOOKUP(B135,'Cell-Characteristics'!$B$4:$Q$34,14,FALSE)))</f>
        <v>4342.47661607215</v>
      </c>
      <c r="BL135" s="90">
        <f>BH135/((VLOOKUP(B135,'Cell-Characteristics'!$B$4:$Q$34,15,FALSE)))</f>
        <v>3989.40555254981</v>
      </c>
      <c r="BM135" s="90">
        <f>BI135/((VLOOKUP(B135,'Cell-Characteristics'!$B$4:$Q$34,16,FALSE)))</f>
        <v>596.144630161735</v>
      </c>
      <c r="BN135" s="50">
        <f t="shared" si="25"/>
        <v>2.44103333333334</v>
      </c>
    </row>
    <row r="136" s="50" customFormat="1" ht="16.5" customHeight="1" spans="2:66">
      <c r="B136" s="53" t="s">
        <v>28</v>
      </c>
      <c r="C136" s="107" t="s">
        <v>585</v>
      </c>
      <c r="D136" s="53" t="s">
        <v>244</v>
      </c>
      <c r="E136" s="55" t="s">
        <v>194</v>
      </c>
      <c r="F136" s="56" t="s">
        <v>245</v>
      </c>
      <c r="G136" s="93" t="s">
        <v>246</v>
      </c>
      <c r="H136" s="57">
        <v>43512</v>
      </c>
      <c r="I136" s="58" t="s">
        <v>586</v>
      </c>
      <c r="J136" s="58">
        <v>100</v>
      </c>
      <c r="K136" s="59">
        <v>4.133</v>
      </c>
      <c r="L136" s="60">
        <v>47.622</v>
      </c>
      <c r="M136" s="60">
        <v>49.3</v>
      </c>
      <c r="N136" s="60">
        <v>45.8</v>
      </c>
      <c r="O136" s="55" t="s">
        <v>198</v>
      </c>
      <c r="P136" s="55" t="s">
        <v>198</v>
      </c>
      <c r="Q136" s="61" t="s">
        <v>199</v>
      </c>
      <c r="R136" s="62">
        <v>54.6967188236973</v>
      </c>
      <c r="S136" s="63">
        <v>0.032</v>
      </c>
      <c r="T136" s="63">
        <v>55.665045503042</v>
      </c>
      <c r="U136" s="60">
        <v>56.8050390054007</v>
      </c>
      <c r="V136" s="60">
        <v>11.2845061176435</v>
      </c>
      <c r="W136" s="60">
        <v>21.7611590829299</v>
      </c>
      <c r="X136" s="60">
        <v>23.7593738048273</v>
      </c>
      <c r="Y136" s="60">
        <v>19.86532588521</v>
      </c>
      <c r="Z136" s="60">
        <v>38.3085012596524</v>
      </c>
      <c r="AA136" s="60">
        <v>41.8261728551377</v>
      </c>
      <c r="AB136" s="60">
        <v>0.33904450987272</v>
      </c>
      <c r="AC136" s="60">
        <v>0.80094899248596</v>
      </c>
      <c r="AD136" s="97">
        <v>14.0368</v>
      </c>
      <c r="AE136" s="97">
        <v>14.0368</v>
      </c>
      <c r="AF136" s="97">
        <v>10.1218</v>
      </c>
      <c r="AG136" s="60">
        <v>951.398526007345</v>
      </c>
      <c r="AH136" s="60">
        <v>92.962</v>
      </c>
      <c r="AI136" s="60">
        <v>88.5806190536384</v>
      </c>
      <c r="AJ136" s="60" t="s">
        <v>134</v>
      </c>
      <c r="AK136" s="55">
        <v>194.812265</v>
      </c>
      <c r="AL136" s="60">
        <v>22.7</v>
      </c>
      <c r="AM136" s="60">
        <v>2.3</v>
      </c>
      <c r="AN136" s="60">
        <v>3.7</v>
      </c>
      <c r="AO136" s="60">
        <v>0.4</v>
      </c>
      <c r="AP136" s="60">
        <v>0.9</v>
      </c>
      <c r="AQ136" s="60">
        <v>7.5</v>
      </c>
      <c r="AR136" s="60">
        <v>0.6</v>
      </c>
      <c r="AS136" s="60">
        <v>9.522</v>
      </c>
      <c r="AT136" s="60">
        <f t="shared" si="37"/>
        <v>24.922</v>
      </c>
      <c r="AU136" s="60">
        <f t="shared" si="38"/>
        <v>52.3329553567679</v>
      </c>
      <c r="AV136" s="97">
        <v>0</v>
      </c>
      <c r="AW136" s="53" t="s">
        <v>587</v>
      </c>
      <c r="AX136" s="53" t="s">
        <v>248</v>
      </c>
      <c r="AY136" s="53" t="s">
        <v>588</v>
      </c>
      <c r="AZ136" s="53" t="s">
        <v>212</v>
      </c>
      <c r="BA136" s="53" t="s">
        <v>204</v>
      </c>
      <c r="BB136" s="53" t="s">
        <v>437</v>
      </c>
      <c r="BC136" s="56">
        <v>10</v>
      </c>
      <c r="BD136" s="56">
        <v>20</v>
      </c>
      <c r="BE136" s="96">
        <f>U136/((VLOOKUP(B136,'Cell-Characteristics'!$B$4:$E$34,3,FALSE)*VLOOKUP(B136,'Cell-Characteristics'!$B$4:$E$34,4,FALSE)*3600)/1000)</f>
        <v>1.2636281553511</v>
      </c>
      <c r="BF136" s="90">
        <f t="shared" si="23"/>
        <v>803.92298227826</v>
      </c>
      <c r="BG136" s="90">
        <f t="shared" si="21"/>
        <v>1550.293448858</v>
      </c>
      <c r="BH136" s="90">
        <f t="shared" si="22"/>
        <v>2347.34669770468</v>
      </c>
      <c r="BI136" s="90">
        <f t="shared" si="24"/>
        <v>4461.66598638061</v>
      </c>
      <c r="BJ136" s="90">
        <f>BF136/((VLOOKUP(B136,'Cell-Characteristics'!$B$4:$Q$34,13,FALSE)))</f>
        <v>21.8826006390729</v>
      </c>
      <c r="BK136" s="90">
        <f>BG136/((VLOOKUP(B136,'Cell-Characteristics'!$B$4:$Q$34,14,FALSE)))</f>
        <v>609.535837405834</v>
      </c>
      <c r="BL136" s="90">
        <f>BH136/((VLOOKUP(B136,'Cell-Characteristics'!$B$4:$Q$34,15,FALSE)))</f>
        <v>922.916842692728</v>
      </c>
      <c r="BM136" s="90">
        <f>BI136/((VLOOKUP(B136,'Cell-Characteristics'!$B$4:$Q$34,16,FALSE)))</f>
        <v>106.675130218928</v>
      </c>
      <c r="BN136" s="50">
        <f t="shared" si="25"/>
        <v>12.7318</v>
      </c>
    </row>
    <row r="137" s="50" customFormat="1" ht="16.5" customHeight="1" spans="2:66">
      <c r="B137" s="53" t="s">
        <v>28</v>
      </c>
      <c r="C137" s="107" t="s">
        <v>589</v>
      </c>
      <c r="D137" s="53" t="s">
        <v>244</v>
      </c>
      <c r="E137" s="55" t="s">
        <v>194</v>
      </c>
      <c r="F137" s="56" t="s">
        <v>245</v>
      </c>
      <c r="G137" s="93" t="s">
        <v>246</v>
      </c>
      <c r="H137" s="57">
        <v>43512</v>
      </c>
      <c r="I137" s="58" t="s">
        <v>590</v>
      </c>
      <c r="J137" s="58">
        <v>100</v>
      </c>
      <c r="K137" s="59">
        <v>4.134</v>
      </c>
      <c r="L137" s="60">
        <v>47.5206</v>
      </c>
      <c r="M137" s="60">
        <v>49.6</v>
      </c>
      <c r="N137" s="60">
        <v>49.1</v>
      </c>
      <c r="O137" s="55" t="s">
        <v>197</v>
      </c>
      <c r="P137" s="55" t="s">
        <v>198</v>
      </c>
      <c r="Q137" s="61" t="s">
        <v>209</v>
      </c>
      <c r="R137" s="62">
        <v>61.9301235805342</v>
      </c>
      <c r="S137" s="63">
        <v>0.034</v>
      </c>
      <c r="T137" s="63">
        <v>63.1934840826656</v>
      </c>
      <c r="U137" s="60">
        <v>67.0576760705487</v>
      </c>
      <c r="V137" s="60">
        <v>10.6733187246719</v>
      </c>
      <c r="W137" s="60">
        <v>56.1444787394074</v>
      </c>
      <c r="X137" s="60">
        <v>0.239878606469446</v>
      </c>
      <c r="Y137" s="60">
        <v>15.9166248371669</v>
      </c>
      <c r="Z137" s="60">
        <v>83.7256553304055</v>
      </c>
      <c r="AA137" s="60">
        <v>0.357719832427655</v>
      </c>
      <c r="AB137" s="60">
        <v>3.86419198788309</v>
      </c>
      <c r="AC137" s="60">
        <v>0</v>
      </c>
      <c r="AD137" s="97">
        <v>2.0034</v>
      </c>
      <c r="AE137" s="97">
        <v>2.0034</v>
      </c>
      <c r="AF137" s="97">
        <v>0</v>
      </c>
      <c r="AG137" s="60">
        <v>950.960931754315</v>
      </c>
      <c r="AH137" s="60">
        <v>60.9777</v>
      </c>
      <c r="AI137" s="60">
        <v>58.0982735889441</v>
      </c>
      <c r="AJ137" s="60" t="s">
        <v>134</v>
      </c>
      <c r="AK137" s="55">
        <v>104.656395</v>
      </c>
      <c r="AL137" s="60">
        <v>14.6</v>
      </c>
      <c r="AM137" s="60">
        <v>4.5</v>
      </c>
      <c r="AN137" s="60">
        <v>16.8</v>
      </c>
      <c r="AO137" s="60">
        <v>0.7</v>
      </c>
      <c r="AP137" s="60">
        <v>0</v>
      </c>
      <c r="AQ137" s="60">
        <v>0</v>
      </c>
      <c r="AR137" s="60">
        <v>0</v>
      </c>
      <c r="AS137" s="60">
        <v>10.9206</v>
      </c>
      <c r="AT137" s="60">
        <f t="shared" si="37"/>
        <v>32.9206</v>
      </c>
      <c r="AU137" s="60">
        <f t="shared" si="38"/>
        <v>69.2764821992988</v>
      </c>
      <c r="AV137" s="97">
        <v>0</v>
      </c>
      <c r="AW137" s="53" t="s">
        <v>591</v>
      </c>
      <c r="AX137" s="53" t="s">
        <v>248</v>
      </c>
      <c r="AY137" s="53" t="s">
        <v>592</v>
      </c>
      <c r="AZ137" s="53" t="s">
        <v>203</v>
      </c>
      <c r="BA137" s="53" t="s">
        <v>204</v>
      </c>
      <c r="BB137" s="53" t="s">
        <v>437</v>
      </c>
      <c r="BC137" s="56">
        <v>5</v>
      </c>
      <c r="BD137" s="56">
        <v>10</v>
      </c>
      <c r="BE137" s="96">
        <f>U137/((VLOOKUP(B137,'Cell-Characteristics'!$B$4:$E$34,3,FALSE)*VLOOKUP(B137,'Cell-Characteristics'!$B$4:$E$34,4,FALSE)*3600)/1000)</f>
        <v>1.49169807817758</v>
      </c>
      <c r="BF137" s="90">
        <f t="shared" si="23"/>
        <v>5327.60243819102</v>
      </c>
      <c r="BG137" s="90">
        <f t="shared" ref="BG137:BG200" si="39">(1000*W137)/AE137</f>
        <v>28024.5975538621</v>
      </c>
      <c r="BH137" s="90" t="e">
        <f t="shared" ref="BH137:BH200" si="40">(1000*X137)/AF137</f>
        <v>#DIV/0!</v>
      </c>
      <c r="BI137" s="90">
        <f t="shared" si="24"/>
        <v>50207.903616763</v>
      </c>
      <c r="BJ137" s="90">
        <f>BF137/((VLOOKUP(B137,'Cell-Characteristics'!$B$4:$Q$34,13,FALSE)))</f>
        <v>145.016126032746</v>
      </c>
      <c r="BK137" s="90">
        <f>BG137/((VLOOKUP(B137,'Cell-Characteristics'!$B$4:$Q$34,14,FALSE)))</f>
        <v>11018.5568742086</v>
      </c>
      <c r="BL137" s="90" t="e">
        <f>BH137/((VLOOKUP(B137,'Cell-Characteristics'!$B$4:$Q$34,15,FALSE)))</f>
        <v>#DIV/0!</v>
      </c>
      <c r="BM137" s="90">
        <f>BI137/((VLOOKUP(B137,'Cell-Characteristics'!$B$4:$Q$34,16,FALSE)))</f>
        <v>1200.43380044287</v>
      </c>
      <c r="BN137" s="50">
        <f t="shared" si="25"/>
        <v>1.3356</v>
      </c>
    </row>
    <row r="138" s="50" customFormat="1" ht="16.5" customHeight="1" spans="2:66">
      <c r="B138" s="53" t="s">
        <v>28</v>
      </c>
      <c r="C138" s="107" t="s">
        <v>593</v>
      </c>
      <c r="D138" s="53" t="s">
        <v>244</v>
      </c>
      <c r="E138" s="55" t="s">
        <v>194</v>
      </c>
      <c r="F138" s="56" t="s">
        <v>245</v>
      </c>
      <c r="G138" s="93" t="s">
        <v>246</v>
      </c>
      <c r="H138" s="57">
        <v>43512</v>
      </c>
      <c r="I138" s="58" t="s">
        <v>594</v>
      </c>
      <c r="J138" s="58">
        <v>100</v>
      </c>
      <c r="K138" s="59">
        <v>4.143</v>
      </c>
      <c r="L138" s="60">
        <v>47.7411</v>
      </c>
      <c r="M138" s="60">
        <v>47.9</v>
      </c>
      <c r="N138" s="60">
        <v>47.5</v>
      </c>
      <c r="O138" s="55" t="s">
        <v>198</v>
      </c>
      <c r="P138" s="55" t="s">
        <v>198</v>
      </c>
      <c r="Q138" s="61" t="s">
        <v>199</v>
      </c>
      <c r="R138" s="62">
        <v>53.3870206438195</v>
      </c>
      <c r="S138" s="63">
        <v>0.033</v>
      </c>
      <c r="T138" s="63">
        <v>55.9059192704947</v>
      </c>
      <c r="U138" s="60">
        <v>57.1319156385995</v>
      </c>
      <c r="V138" s="60">
        <v>12.0027343784846</v>
      </c>
      <c r="W138" s="60">
        <v>13.1525125820873</v>
      </c>
      <c r="X138" s="60">
        <v>31.9766686780276</v>
      </c>
      <c r="Y138" s="60">
        <v>21.0088078516578</v>
      </c>
      <c r="Z138" s="60">
        <v>23.0213050535299</v>
      </c>
      <c r="AA138" s="60">
        <v>55.9698870948123</v>
      </c>
      <c r="AB138" s="60">
        <v>0.338355729903051</v>
      </c>
      <c r="AC138" s="60">
        <v>0.887640638201793</v>
      </c>
      <c r="AD138" s="97">
        <v>4.0121</v>
      </c>
      <c r="AE138" s="97">
        <v>4.0121</v>
      </c>
      <c r="AF138" s="97">
        <v>1.80589999999999</v>
      </c>
      <c r="AG138" s="60">
        <v>950.7645500606</v>
      </c>
      <c r="AH138" s="60">
        <v>83.8579</v>
      </c>
      <c r="AI138" s="60">
        <v>79.8827925380003</v>
      </c>
      <c r="AJ138" s="60" t="s">
        <v>134</v>
      </c>
      <c r="AK138" s="55">
        <v>159.40006</v>
      </c>
      <c r="AL138" s="60">
        <v>24.5</v>
      </c>
      <c r="AM138" s="60">
        <v>1.58</v>
      </c>
      <c r="AN138" s="60">
        <v>4.14</v>
      </c>
      <c r="AO138" s="60">
        <v>0.5</v>
      </c>
      <c r="AP138" s="60">
        <v>1.58</v>
      </c>
      <c r="AQ138" s="60">
        <v>6.82</v>
      </c>
      <c r="AR138" s="60">
        <v>0.72</v>
      </c>
      <c r="AS138" s="60">
        <v>7.9011</v>
      </c>
      <c r="AT138" s="60">
        <f t="shared" si="37"/>
        <v>23.2411</v>
      </c>
      <c r="AU138" s="60">
        <f t="shared" si="38"/>
        <v>48.6815343592837</v>
      </c>
      <c r="AV138" s="97">
        <v>0</v>
      </c>
      <c r="AW138" s="53" t="s">
        <v>591</v>
      </c>
      <c r="AX138" s="53" t="s">
        <v>248</v>
      </c>
      <c r="AY138" s="53" t="s">
        <v>595</v>
      </c>
      <c r="AZ138" s="53" t="s">
        <v>212</v>
      </c>
      <c r="BA138" s="53" t="s">
        <v>204</v>
      </c>
      <c r="BB138" s="53" t="s">
        <v>596</v>
      </c>
      <c r="BC138" s="56">
        <v>5</v>
      </c>
      <c r="BD138" s="56">
        <v>10</v>
      </c>
      <c r="BE138" s="96">
        <f>U138/((VLOOKUP(B138,'Cell-Characteristics'!$B$4:$E$34,3,FALSE)*VLOOKUP(B138,'Cell-Characteristics'!$B$4:$E$34,4,FALSE)*3600)/1000)</f>
        <v>1.27089952641726</v>
      </c>
      <c r="BF138" s="90">
        <f t="shared" ref="BF138:BF201" si="41">(1000*V138)/AD138</f>
        <v>2991.63390206739</v>
      </c>
      <c r="BG138" s="90">
        <f t="shared" si="39"/>
        <v>3278.21155556624</v>
      </c>
      <c r="BH138" s="90">
        <f t="shared" si="40"/>
        <v>17706.7770519008</v>
      </c>
      <c r="BI138" s="90">
        <f t="shared" ref="BI138:BI201" si="42">(1000*U138)/AVERAGE(AD138:AF138)</f>
        <v>17435.8090879847</v>
      </c>
      <c r="BJ138" s="90">
        <f>BF138/((VLOOKUP(B138,'Cell-Characteristics'!$B$4:$Q$34,13,FALSE)))</f>
        <v>81.4315940461481</v>
      </c>
      <c r="BK138" s="90">
        <f>BG138/((VLOOKUP(B138,'Cell-Characteristics'!$B$4:$Q$34,14,FALSE)))</f>
        <v>1288.9091592224</v>
      </c>
      <c r="BL138" s="90">
        <f>BH138/((VLOOKUP(B138,'Cell-Characteristics'!$B$4:$Q$34,15,FALSE)))</f>
        <v>6961.8530517814</v>
      </c>
      <c r="BM138" s="90">
        <f>BI138/((VLOOKUP(B138,'Cell-Characteristics'!$B$4:$Q$34,16,FALSE)))</f>
        <v>416.877285437939</v>
      </c>
      <c r="BN138" s="50">
        <f t="shared" ref="BN138:BN201" si="43">AVERAGE(AD138:AF138)</f>
        <v>3.2767</v>
      </c>
    </row>
    <row r="139" s="50" customFormat="1" ht="16.5" customHeight="1" spans="2:66">
      <c r="B139" s="53" t="s">
        <v>28</v>
      </c>
      <c r="C139" s="107" t="s">
        <v>597</v>
      </c>
      <c r="D139" s="53" t="s">
        <v>244</v>
      </c>
      <c r="E139" s="55" t="s">
        <v>194</v>
      </c>
      <c r="F139" s="56" t="s">
        <v>245</v>
      </c>
      <c r="G139" s="93" t="s">
        <v>246</v>
      </c>
      <c r="H139" s="57">
        <v>43512</v>
      </c>
      <c r="I139" s="58" t="s">
        <v>598</v>
      </c>
      <c r="J139" s="58">
        <v>100</v>
      </c>
      <c r="K139" s="59">
        <v>4.142</v>
      </c>
      <c r="L139" s="60">
        <v>47.7901</v>
      </c>
      <c r="M139" s="60">
        <v>50.2</v>
      </c>
      <c r="N139" s="60">
        <v>47.4</v>
      </c>
      <c r="O139" s="55" t="s">
        <v>198</v>
      </c>
      <c r="P139" s="55" t="s">
        <v>198</v>
      </c>
      <c r="Q139" s="61" t="s">
        <v>199</v>
      </c>
      <c r="R139" s="62">
        <v>48.287984815633</v>
      </c>
      <c r="S139" s="63">
        <v>0.03</v>
      </c>
      <c r="T139" s="63">
        <v>51.1865571494927</v>
      </c>
      <c r="U139" s="60">
        <v>52.123687171855</v>
      </c>
      <c r="V139" s="60">
        <v>12.1244864527613</v>
      </c>
      <c r="W139" s="60">
        <v>18.9191230167951</v>
      </c>
      <c r="X139" s="60">
        <v>21.0800777022986</v>
      </c>
      <c r="Y139" s="60">
        <v>23.2609915196255</v>
      </c>
      <c r="Z139" s="60">
        <v>36.2965938200372</v>
      </c>
      <c r="AA139" s="60">
        <v>40.4424146603372</v>
      </c>
      <c r="AB139" s="60">
        <v>0.390935180836845</v>
      </c>
      <c r="AC139" s="60">
        <v>0.546194841525432</v>
      </c>
      <c r="AD139" s="97">
        <v>3.0107</v>
      </c>
      <c r="AE139" s="97">
        <v>3.0107</v>
      </c>
      <c r="AF139" s="97">
        <v>2.31200000000001</v>
      </c>
      <c r="AG139" s="60">
        <v>950.254076115921</v>
      </c>
      <c r="AH139" s="60">
        <v>82.8469</v>
      </c>
      <c r="AI139" s="60">
        <v>78.8662119069312</v>
      </c>
      <c r="AJ139" s="60" t="s">
        <v>134</v>
      </c>
      <c r="AK139" s="55">
        <v>188.553175</v>
      </c>
      <c r="AL139" s="60">
        <v>24.6</v>
      </c>
      <c r="AM139" s="60">
        <v>3</v>
      </c>
      <c r="AN139" s="60">
        <v>3.3</v>
      </c>
      <c r="AO139" s="60">
        <v>2.7</v>
      </c>
      <c r="AP139" s="60">
        <v>1</v>
      </c>
      <c r="AQ139" s="60">
        <v>5.6</v>
      </c>
      <c r="AR139" s="60">
        <v>0.4</v>
      </c>
      <c r="AS139" s="60">
        <v>7.1901</v>
      </c>
      <c r="AT139" s="60">
        <f t="shared" si="37"/>
        <v>23.1901</v>
      </c>
      <c r="AU139" s="60">
        <f t="shared" si="38"/>
        <v>48.5249036934428</v>
      </c>
      <c r="AV139" s="97">
        <v>0</v>
      </c>
      <c r="AW139" s="53" t="s">
        <v>591</v>
      </c>
      <c r="AX139" s="53" t="s">
        <v>248</v>
      </c>
      <c r="AY139" s="53" t="s">
        <v>599</v>
      </c>
      <c r="AZ139" s="53" t="s">
        <v>212</v>
      </c>
      <c r="BA139" s="53" t="s">
        <v>204</v>
      </c>
      <c r="BB139" s="53" t="s">
        <v>600</v>
      </c>
      <c r="BC139" s="56">
        <v>9</v>
      </c>
      <c r="BD139" s="56">
        <v>18</v>
      </c>
      <c r="BE139" s="96">
        <f>U139/((VLOOKUP(B139,'Cell-Characteristics'!$B$4:$E$34,3,FALSE)*VLOOKUP(B139,'Cell-Characteristics'!$B$4:$E$34,4,FALSE)*3600)/1000)</f>
        <v>1.15949147864869</v>
      </c>
      <c r="BF139" s="90">
        <f t="shared" si="41"/>
        <v>4027.13204662083</v>
      </c>
      <c r="BG139" s="90">
        <f t="shared" si="39"/>
        <v>6283.9615427625</v>
      </c>
      <c r="BH139" s="90">
        <f t="shared" si="40"/>
        <v>9117.68066708411</v>
      </c>
      <c r="BI139" s="90">
        <f t="shared" si="42"/>
        <v>18764.3772668496</v>
      </c>
      <c r="BJ139" s="90">
        <f>BF139/((VLOOKUP(B139,'Cell-Characteristics'!$B$4:$Q$34,13,FALSE)))</f>
        <v>109.617617905733</v>
      </c>
      <c r="BK139" s="90">
        <f>BG139/((VLOOKUP(B139,'Cell-Characteristics'!$B$4:$Q$34,14,FALSE)))</f>
        <v>2470.69338002772</v>
      </c>
      <c r="BL139" s="90">
        <f>BH139/((VLOOKUP(B139,'Cell-Characteristics'!$B$4:$Q$34,15,FALSE)))</f>
        <v>3584.8394539137</v>
      </c>
      <c r="BM139" s="90">
        <f>BI139/((VLOOKUP(B139,'Cell-Characteristics'!$B$4:$Q$34,16,FALSE)))</f>
        <v>448.642366893557</v>
      </c>
      <c r="BN139" s="50">
        <f t="shared" si="43"/>
        <v>2.7778</v>
      </c>
    </row>
    <row r="140" s="50" customFormat="1" ht="16.5" customHeight="1" spans="2:66">
      <c r="B140" s="53" t="s">
        <v>28</v>
      </c>
      <c r="C140" s="107" t="s">
        <v>601</v>
      </c>
      <c r="D140" s="53" t="s">
        <v>244</v>
      </c>
      <c r="E140" s="55" t="s">
        <v>194</v>
      </c>
      <c r="F140" s="56" t="s">
        <v>245</v>
      </c>
      <c r="G140" s="93" t="s">
        <v>246</v>
      </c>
      <c r="H140" s="57">
        <v>43512</v>
      </c>
      <c r="I140" s="58" t="s">
        <v>602</v>
      </c>
      <c r="J140" s="58">
        <v>100</v>
      </c>
      <c r="K140" s="59">
        <v>4.144</v>
      </c>
      <c r="L140" s="60">
        <v>47.6633</v>
      </c>
      <c r="M140" s="60">
        <v>50.1</v>
      </c>
      <c r="N140" s="60">
        <v>49.1</v>
      </c>
      <c r="O140" s="55" t="s">
        <v>197</v>
      </c>
      <c r="P140" s="55" t="s">
        <v>198</v>
      </c>
      <c r="Q140" s="61" t="s">
        <v>199</v>
      </c>
      <c r="R140" s="62">
        <v>54.0851308598687</v>
      </c>
      <c r="S140" s="63">
        <v>0.029</v>
      </c>
      <c r="T140" s="63">
        <v>57.156702704859</v>
      </c>
      <c r="U140" s="60">
        <v>57.9214761961472</v>
      </c>
      <c r="V140" s="60">
        <v>20.1818999047916</v>
      </c>
      <c r="W140" s="60">
        <v>21.8390798032517</v>
      </c>
      <c r="X140" s="60">
        <v>15.9004964881039</v>
      </c>
      <c r="Y140" s="60">
        <v>34.8435523922888</v>
      </c>
      <c r="Z140" s="60">
        <v>37.7046326120819</v>
      </c>
      <c r="AA140" s="60">
        <v>27.4518149956294</v>
      </c>
      <c r="AB140" s="60">
        <v>0.479844427269208</v>
      </c>
      <c r="AC140" s="60">
        <v>0.284929064019033</v>
      </c>
      <c r="AD140" s="97">
        <v>2.3123</v>
      </c>
      <c r="AE140" s="97">
        <v>2.212</v>
      </c>
      <c r="AF140" s="97">
        <v>2.3123</v>
      </c>
      <c r="AG140" s="60">
        <v>950.063739376185</v>
      </c>
      <c r="AH140" s="60">
        <v>46.0463</v>
      </c>
      <c r="AI140" s="60">
        <v>43.8515677319215</v>
      </c>
      <c r="AJ140" s="60" t="s">
        <v>134</v>
      </c>
      <c r="AK140" s="55">
        <v>75.71774</v>
      </c>
      <c r="AL140" s="60">
        <v>28.7</v>
      </c>
      <c r="AM140" s="60">
        <v>1.4</v>
      </c>
      <c r="AN140" s="60">
        <v>4.1</v>
      </c>
      <c r="AO140" s="60">
        <v>0.3</v>
      </c>
      <c r="AP140" s="60">
        <v>1</v>
      </c>
      <c r="AQ140" s="60">
        <v>2.9</v>
      </c>
      <c r="AR140" s="60">
        <v>1.9</v>
      </c>
      <c r="AS140" s="60">
        <v>7.36330000000001</v>
      </c>
      <c r="AT140" s="60">
        <f t="shared" si="37"/>
        <v>18.9633</v>
      </c>
      <c r="AU140" s="60">
        <f t="shared" si="38"/>
        <v>39.7859569102433</v>
      </c>
      <c r="AV140" s="97">
        <v>0</v>
      </c>
      <c r="AW140" s="53" t="s">
        <v>603</v>
      </c>
      <c r="AX140" s="53" t="s">
        <v>248</v>
      </c>
      <c r="AY140" s="53" t="s">
        <v>604</v>
      </c>
      <c r="AZ140" s="53" t="s">
        <v>203</v>
      </c>
      <c r="BA140" s="53" t="s">
        <v>204</v>
      </c>
      <c r="BB140" s="53" t="s">
        <v>605</v>
      </c>
      <c r="BC140" s="56">
        <v>4</v>
      </c>
      <c r="BD140" s="56">
        <v>8</v>
      </c>
      <c r="BE140" s="96">
        <f>U140/((VLOOKUP(B140,'Cell-Characteristics'!$B$4:$E$34,3,FALSE)*VLOOKUP(B140,'Cell-Characteristics'!$B$4:$E$34,4,FALSE)*3600)/1000)</f>
        <v>1.28846330189107</v>
      </c>
      <c r="BF140" s="90">
        <f t="shared" si="41"/>
        <v>8728.06292643326</v>
      </c>
      <c r="BG140" s="90">
        <f t="shared" si="39"/>
        <v>9873.00171937242</v>
      </c>
      <c r="BH140" s="90">
        <f t="shared" si="40"/>
        <v>6876.48509626945</v>
      </c>
      <c r="BI140" s="90">
        <f t="shared" si="42"/>
        <v>25416.7903034318</v>
      </c>
      <c r="BJ140" s="90">
        <f>BF140/((VLOOKUP(B140,'Cell-Characteristics'!$B$4:$Q$34,13,FALSE)))</f>
        <v>237.5758867231</v>
      </c>
      <c r="BK140" s="90">
        <f>BG140/((VLOOKUP(B140,'Cell-Characteristics'!$B$4:$Q$34,14,FALSE)))</f>
        <v>3881.81242406716</v>
      </c>
      <c r="BL140" s="90">
        <f>BH140/((VLOOKUP(B140,'Cell-Characteristics'!$B$4:$Q$34,15,FALSE)))</f>
        <v>2703.65852648795</v>
      </c>
      <c r="BM140" s="90">
        <f>BI140/((VLOOKUP(B140,'Cell-Characteristics'!$B$4:$Q$34,16,FALSE)))</f>
        <v>607.696637005599</v>
      </c>
      <c r="BN140" s="50">
        <f t="shared" si="43"/>
        <v>2.27886666666667</v>
      </c>
    </row>
    <row r="141" s="50" customFormat="1" ht="16.5" customHeight="1" spans="2:66">
      <c r="B141" s="53" t="s">
        <v>28</v>
      </c>
      <c r="C141" s="107" t="s">
        <v>606</v>
      </c>
      <c r="D141" s="53" t="s">
        <v>244</v>
      </c>
      <c r="E141" s="55" t="s">
        <v>194</v>
      </c>
      <c r="F141" s="56" t="s">
        <v>245</v>
      </c>
      <c r="G141" s="93" t="s">
        <v>246</v>
      </c>
      <c r="H141" s="57">
        <v>43512</v>
      </c>
      <c r="I141" s="58" t="s">
        <v>607</v>
      </c>
      <c r="J141" s="58">
        <v>100</v>
      </c>
      <c r="K141" s="59">
        <v>4.143</v>
      </c>
      <c r="L141" s="60">
        <v>47.723</v>
      </c>
      <c r="M141" s="60">
        <v>48.6</v>
      </c>
      <c r="N141" s="60">
        <v>48.1</v>
      </c>
      <c r="O141" s="55" t="s">
        <v>198</v>
      </c>
      <c r="P141" s="55" t="s">
        <v>198</v>
      </c>
      <c r="Q141" s="61" t="s">
        <v>199</v>
      </c>
      <c r="R141" s="62">
        <v>51.1922494701294</v>
      </c>
      <c r="S141" s="63">
        <v>0.028</v>
      </c>
      <c r="T141" s="63">
        <v>54.3379122021488</v>
      </c>
      <c r="U141" s="60">
        <v>55.5733013091632</v>
      </c>
      <c r="V141" s="60">
        <v>16.2434380498332</v>
      </c>
      <c r="W141" s="60">
        <v>12.3436678478773</v>
      </c>
      <c r="X141" s="60">
        <v>26.9861954114527</v>
      </c>
      <c r="Y141" s="60">
        <v>29.2288521055613</v>
      </c>
      <c r="Z141" s="60">
        <v>22.2115072473515</v>
      </c>
      <c r="AA141" s="60">
        <v>48.5596406470873</v>
      </c>
      <c r="AB141" s="60">
        <v>0.39046134032514</v>
      </c>
      <c r="AC141" s="60">
        <v>0.84492776668923</v>
      </c>
      <c r="AD141" s="97">
        <v>2.6077</v>
      </c>
      <c r="AE141" s="97">
        <v>2.6077</v>
      </c>
      <c r="AF141" s="97">
        <v>2.2074</v>
      </c>
      <c r="AG141" s="60">
        <v>950.454045210375</v>
      </c>
      <c r="AH141" s="60">
        <v>50.1655</v>
      </c>
      <c r="AI141" s="60">
        <v>47.7627586618623</v>
      </c>
      <c r="AJ141" s="60" t="s">
        <v>134</v>
      </c>
      <c r="AK141" s="55">
        <v>91.37874</v>
      </c>
      <c r="AL141" s="60">
        <v>27.9</v>
      </c>
      <c r="AM141" s="60">
        <v>0.6</v>
      </c>
      <c r="AN141" s="60">
        <v>2.9</v>
      </c>
      <c r="AO141" s="60">
        <v>0</v>
      </c>
      <c r="AP141" s="60">
        <v>1.9</v>
      </c>
      <c r="AQ141" s="60">
        <v>4.7</v>
      </c>
      <c r="AR141" s="60">
        <v>0</v>
      </c>
      <c r="AS141" s="60">
        <v>9.723</v>
      </c>
      <c r="AT141" s="60">
        <f t="shared" si="37"/>
        <v>19.823</v>
      </c>
      <c r="AU141" s="60">
        <f t="shared" si="38"/>
        <v>41.5376233681872</v>
      </c>
      <c r="AV141" s="97">
        <v>0</v>
      </c>
      <c r="AW141" s="53" t="s">
        <v>591</v>
      </c>
      <c r="AX141" s="53" t="s">
        <v>248</v>
      </c>
      <c r="AY141" s="53" t="s">
        <v>608</v>
      </c>
      <c r="AZ141" s="53" t="s">
        <v>212</v>
      </c>
      <c r="BA141" s="53" t="s">
        <v>204</v>
      </c>
      <c r="BB141" s="53" t="s">
        <v>609</v>
      </c>
      <c r="BC141" s="56">
        <v>5</v>
      </c>
      <c r="BD141" s="56">
        <v>10</v>
      </c>
      <c r="BE141" s="96">
        <f>U141/((VLOOKUP(B141,'Cell-Characteristics'!$B$4:$E$34,3,FALSE)*VLOOKUP(B141,'Cell-Characteristics'!$B$4:$E$34,4,FALSE)*3600)/1000)</f>
        <v>1.23622814893925</v>
      </c>
      <c r="BF141" s="90">
        <f t="shared" si="41"/>
        <v>6229.02866504323</v>
      </c>
      <c r="BG141" s="90">
        <f t="shared" si="39"/>
        <v>4733.54597840137</v>
      </c>
      <c r="BH141" s="90">
        <f t="shared" si="40"/>
        <v>12225.3308922047</v>
      </c>
      <c r="BI141" s="90">
        <f t="shared" si="42"/>
        <v>22460.5140819488</v>
      </c>
      <c r="BJ141" s="90">
        <f>BF141/((VLOOKUP(B141,'Cell-Characteristics'!$B$4:$Q$34,13,FALSE)))</f>
        <v>169.552742801547</v>
      </c>
      <c r="BK141" s="90">
        <f>BG141/((VLOOKUP(B141,'Cell-Characteristics'!$B$4:$Q$34,14,FALSE)))</f>
        <v>1861.10952992112</v>
      </c>
      <c r="BL141" s="90">
        <f>BH141/((VLOOKUP(B141,'Cell-Characteristics'!$B$4:$Q$34,15,FALSE)))</f>
        <v>4806.68824888131</v>
      </c>
      <c r="BM141" s="90">
        <f>BI141/((VLOOKUP(B141,'Cell-Characteristics'!$B$4:$Q$34,16,FALSE)))</f>
        <v>537.014261441747</v>
      </c>
      <c r="BN141" s="50">
        <f t="shared" si="43"/>
        <v>2.47426666666667</v>
      </c>
    </row>
    <row r="142" s="50" customFormat="1" ht="16.5" customHeight="1" spans="2:66">
      <c r="B142" s="53" t="s">
        <v>28</v>
      </c>
      <c r="C142" s="53" t="s">
        <v>610</v>
      </c>
      <c r="D142" s="53" t="s">
        <v>244</v>
      </c>
      <c r="E142" s="55" t="s">
        <v>194</v>
      </c>
      <c r="F142" s="56" t="s">
        <v>245</v>
      </c>
      <c r="G142" s="93" t="s">
        <v>246</v>
      </c>
      <c r="H142" s="57">
        <v>43512</v>
      </c>
      <c r="I142" s="58" t="s">
        <v>611</v>
      </c>
      <c r="J142" s="58">
        <v>100</v>
      </c>
      <c r="K142" s="59">
        <v>4.143</v>
      </c>
      <c r="L142" s="60">
        <v>47.7635</v>
      </c>
      <c r="M142" s="60">
        <v>49.9</v>
      </c>
      <c r="N142" s="60">
        <v>45.5</v>
      </c>
      <c r="O142" s="55" t="s">
        <v>198</v>
      </c>
      <c r="P142" s="55" t="s">
        <v>198</v>
      </c>
      <c r="Q142" s="61" t="s">
        <v>199</v>
      </c>
      <c r="R142" s="62">
        <v>54.9705628185252</v>
      </c>
      <c r="S142" s="63">
        <v>0.022</v>
      </c>
      <c r="T142" s="63">
        <v>56.1474509730243</v>
      </c>
      <c r="U142" s="60">
        <v>56.6422413119754</v>
      </c>
      <c r="V142" s="60">
        <v>13.8199445001186</v>
      </c>
      <c r="W142" s="60">
        <v>10.6304769756533</v>
      </c>
      <c r="X142" s="60">
        <v>32.1918198362035</v>
      </c>
      <c r="Y142" s="60">
        <v>24.3986540433681</v>
      </c>
      <c r="Z142" s="60">
        <v>18.7677548229465</v>
      </c>
      <c r="AA142" s="60">
        <v>56.8335911336854</v>
      </c>
      <c r="AB142" s="60">
        <v>0.30981363578577</v>
      </c>
      <c r="AC142" s="60">
        <v>0.18497670316533</v>
      </c>
      <c r="AD142" s="97">
        <v>14.4443</v>
      </c>
      <c r="AE142" s="97">
        <v>2.6066</v>
      </c>
      <c r="AF142" s="97">
        <v>14.4443</v>
      </c>
      <c r="AG142" s="60">
        <v>948.705063305197</v>
      </c>
      <c r="AH142" s="60">
        <v>45.949</v>
      </c>
      <c r="AI142" s="60">
        <v>43.6971981811742</v>
      </c>
      <c r="AJ142" s="60" t="s">
        <v>134</v>
      </c>
      <c r="AK142" s="55">
        <v>84.19299</v>
      </c>
      <c r="AL142" s="60">
        <v>27.7</v>
      </c>
      <c r="AM142" s="60">
        <v>0.6</v>
      </c>
      <c r="AN142" s="60">
        <v>2.1</v>
      </c>
      <c r="AO142" s="60">
        <v>1.6</v>
      </c>
      <c r="AP142" s="60">
        <v>1.5</v>
      </c>
      <c r="AQ142" s="60">
        <v>5.4</v>
      </c>
      <c r="AR142" s="60">
        <v>0</v>
      </c>
      <c r="AS142" s="60">
        <v>8.8635</v>
      </c>
      <c r="AT142" s="60">
        <f t="shared" si="37"/>
        <v>20.0635</v>
      </c>
      <c r="AU142" s="60">
        <f t="shared" si="38"/>
        <v>42.0059250264323</v>
      </c>
      <c r="AV142" s="97">
        <v>0</v>
      </c>
      <c r="AW142" s="53" t="s">
        <v>612</v>
      </c>
      <c r="AX142" s="53" t="s">
        <v>248</v>
      </c>
      <c r="AY142" s="53" t="s">
        <v>613</v>
      </c>
      <c r="AZ142" s="53" t="s">
        <v>212</v>
      </c>
      <c r="BA142" s="106" t="s">
        <v>322</v>
      </c>
      <c r="BB142" s="53" t="s">
        <v>614</v>
      </c>
      <c r="BC142" s="56">
        <v>9</v>
      </c>
      <c r="BD142" s="56">
        <v>18</v>
      </c>
      <c r="BE142" s="96">
        <f>U142/((VLOOKUP(B142,'Cell-Characteristics'!$B$4:$E$34,3,FALSE)*VLOOKUP(B142,'Cell-Characteristics'!$B$4:$E$34,4,FALSE)*3600)/1000)</f>
        <v>1.26000672048123</v>
      </c>
      <c r="BF142" s="90">
        <f t="shared" si="41"/>
        <v>956.774956219311</v>
      </c>
      <c r="BG142" s="90">
        <f t="shared" si="39"/>
        <v>4078.29240223021</v>
      </c>
      <c r="BH142" s="90">
        <f t="shared" si="40"/>
        <v>2228.68673706608</v>
      </c>
      <c r="BI142" s="90">
        <f t="shared" si="42"/>
        <v>5395.32131676973</v>
      </c>
      <c r="BJ142" s="90">
        <f>BF142/((VLOOKUP(B142,'Cell-Characteristics'!$B$4:$Q$34,13,FALSE)))</f>
        <v>26.0431965871662</v>
      </c>
      <c r="BK142" s="90">
        <f>BG142/((VLOOKUP(B142,'Cell-Characteristics'!$B$4:$Q$34,14,FALSE)))</f>
        <v>1603.48053873956</v>
      </c>
      <c r="BL142" s="90">
        <f>BH142/((VLOOKUP(B142,'Cell-Characteristics'!$B$4:$Q$34,15,FALSE)))</f>
        <v>876.262773085664</v>
      </c>
      <c r="BM142" s="90">
        <f>BI142/((VLOOKUP(B142,'Cell-Characteristics'!$B$4:$Q$34,16,FALSE)))</f>
        <v>128.998137869631</v>
      </c>
      <c r="BN142" s="50">
        <f t="shared" si="43"/>
        <v>10.4984</v>
      </c>
    </row>
    <row r="143" s="50" customFormat="1" ht="16.5" customHeight="1" spans="2:66">
      <c r="B143" s="53" t="s">
        <v>28</v>
      </c>
      <c r="C143" s="107" t="s">
        <v>615</v>
      </c>
      <c r="D143" s="53" t="s">
        <v>244</v>
      </c>
      <c r="E143" s="55" t="s">
        <v>194</v>
      </c>
      <c r="F143" s="56" t="s">
        <v>245</v>
      </c>
      <c r="G143" s="93" t="s">
        <v>246</v>
      </c>
      <c r="H143" s="57">
        <v>43512</v>
      </c>
      <c r="I143" s="58" t="s">
        <v>616</v>
      </c>
      <c r="J143" s="58">
        <v>100</v>
      </c>
      <c r="K143" s="59">
        <v>4.143</v>
      </c>
      <c r="L143" s="60">
        <v>47.7611</v>
      </c>
      <c r="M143" s="60">
        <v>50</v>
      </c>
      <c r="N143" s="60">
        <v>47.2</v>
      </c>
      <c r="O143" s="55" t="s">
        <v>197</v>
      </c>
      <c r="P143" s="55" t="s">
        <v>198</v>
      </c>
      <c r="Q143" s="61" t="s">
        <v>199</v>
      </c>
      <c r="R143" s="62">
        <v>52.7835708755996</v>
      </c>
      <c r="S143" s="63">
        <v>0.036</v>
      </c>
      <c r="T143" s="63">
        <v>55.712275711136</v>
      </c>
      <c r="U143" s="60">
        <v>56.8214394802611</v>
      </c>
      <c r="V143" s="60">
        <v>14.9549512433127</v>
      </c>
      <c r="W143" s="60">
        <v>25.809555786635</v>
      </c>
      <c r="X143" s="60">
        <v>16.0569324503135</v>
      </c>
      <c r="Y143" s="60">
        <v>26.3192051804808</v>
      </c>
      <c r="Z143" s="60">
        <v>45.4222139085385</v>
      </c>
      <c r="AA143" s="60">
        <v>28.2585809109807</v>
      </c>
      <c r="AB143" s="60">
        <v>0.688739375373945</v>
      </c>
      <c r="AC143" s="60">
        <v>0.420424393751166</v>
      </c>
      <c r="AD143" s="97">
        <v>2.50750000000001</v>
      </c>
      <c r="AE143" s="97">
        <v>2.20440000000001</v>
      </c>
      <c r="AF143" s="97">
        <v>2.50750000000001</v>
      </c>
      <c r="AG143" s="60">
        <v>951.055381156469</v>
      </c>
      <c r="AH143" s="60">
        <v>103.6194</v>
      </c>
      <c r="AI143" s="60">
        <v>98.7078760053834</v>
      </c>
      <c r="AJ143" s="60" t="s">
        <v>134</v>
      </c>
      <c r="AK143" s="55">
        <v>174.237695</v>
      </c>
      <c r="AL143" s="60">
        <v>25.9</v>
      </c>
      <c r="AM143" s="60">
        <v>1.6</v>
      </c>
      <c r="AN143" s="60">
        <v>2.6</v>
      </c>
      <c r="AO143" s="60">
        <v>1.3</v>
      </c>
      <c r="AP143" s="60">
        <v>1</v>
      </c>
      <c r="AQ143" s="60">
        <v>4</v>
      </c>
      <c r="AR143" s="60">
        <v>2.3</v>
      </c>
      <c r="AS143" s="60">
        <v>9.0611</v>
      </c>
      <c r="AT143" s="60">
        <f t="shared" si="37"/>
        <v>21.8611</v>
      </c>
      <c r="AU143" s="60">
        <f t="shared" si="38"/>
        <v>45.7717682381687</v>
      </c>
      <c r="AV143" s="97">
        <v>0</v>
      </c>
      <c r="AW143" s="53" t="s">
        <v>617</v>
      </c>
      <c r="AX143" s="53" t="s">
        <v>248</v>
      </c>
      <c r="AY143" s="53" t="s">
        <v>618</v>
      </c>
      <c r="AZ143" s="53" t="s">
        <v>203</v>
      </c>
      <c r="BA143" s="53" t="s">
        <v>204</v>
      </c>
      <c r="BB143" s="53" t="s">
        <v>600</v>
      </c>
      <c r="BC143" s="56">
        <v>4</v>
      </c>
      <c r="BD143" s="56">
        <v>8</v>
      </c>
      <c r="BE143" s="96">
        <f>U143/((VLOOKUP(B143,'Cell-Characteristics'!$B$4:$E$34,3,FALSE)*VLOOKUP(B143,'Cell-Characteristics'!$B$4:$E$34,4,FALSE)*3600)/1000)</f>
        <v>1.26399298393246</v>
      </c>
      <c r="BF143" s="90">
        <f t="shared" si="41"/>
        <v>5964.08823262716</v>
      </c>
      <c r="BG143" s="90">
        <f t="shared" si="39"/>
        <v>11708.1998669184</v>
      </c>
      <c r="BH143" s="90">
        <f t="shared" si="40"/>
        <v>6403.56229324566</v>
      </c>
      <c r="BI143" s="90">
        <f t="shared" si="42"/>
        <v>23611.9786188302</v>
      </c>
      <c r="BJ143" s="90">
        <f>BF143/((VLOOKUP(B143,'Cell-Characteristics'!$B$4:$Q$34,13,FALSE)))</f>
        <v>162.34112452031</v>
      </c>
      <c r="BK143" s="90">
        <f>BG143/((VLOOKUP(B143,'Cell-Characteristics'!$B$4:$Q$34,14,FALSE)))</f>
        <v>4603.36552131729</v>
      </c>
      <c r="BL143" s="90">
        <f>BH143/((VLOOKUP(B143,'Cell-Characteristics'!$B$4:$Q$34,15,FALSE)))</f>
        <v>2517.7173442029</v>
      </c>
      <c r="BM143" s="90">
        <f>BI143/((VLOOKUP(B143,'Cell-Characteristics'!$B$4:$Q$34,16,FALSE)))</f>
        <v>564.544925948964</v>
      </c>
      <c r="BN143" s="50">
        <f t="shared" si="43"/>
        <v>2.40646666666667</v>
      </c>
    </row>
    <row r="144" s="50" customFormat="1" ht="16.5" customHeight="1" spans="2:66">
      <c r="B144" s="53" t="s">
        <v>34</v>
      </c>
      <c r="C144" s="53" t="s">
        <v>619</v>
      </c>
      <c r="D144" s="53" t="s">
        <v>503</v>
      </c>
      <c r="E144" s="55" t="s">
        <v>194</v>
      </c>
      <c r="F144" s="56" t="s">
        <v>392</v>
      </c>
      <c r="G144" s="56" t="s">
        <v>393</v>
      </c>
      <c r="H144" s="57">
        <v>43014</v>
      </c>
      <c r="I144" s="58" t="s">
        <v>620</v>
      </c>
      <c r="J144" s="58">
        <v>100</v>
      </c>
      <c r="K144" s="59" t="s">
        <v>134</v>
      </c>
      <c r="L144" s="60">
        <v>47.3</v>
      </c>
      <c r="M144" s="60">
        <v>37</v>
      </c>
      <c r="N144" s="60">
        <v>37</v>
      </c>
      <c r="O144" s="59" t="s">
        <v>197</v>
      </c>
      <c r="P144" s="59" t="s">
        <v>197</v>
      </c>
      <c r="Q144" s="61" t="s">
        <v>381</v>
      </c>
      <c r="R144" s="62">
        <v>81.3804484579027</v>
      </c>
      <c r="S144" s="63">
        <v>0.04</v>
      </c>
      <c r="T144" s="63">
        <v>81.9002101449817</v>
      </c>
      <c r="U144" s="60">
        <v>92.2117083086723</v>
      </c>
      <c r="V144" s="60">
        <v>17.1772352255085</v>
      </c>
      <c r="W144" s="60">
        <v>74.8355591571136</v>
      </c>
      <c r="X144" s="60">
        <v>0.198913926050147</v>
      </c>
      <c r="Y144" s="60">
        <v>18.6280414283281</v>
      </c>
      <c r="Z144" s="60">
        <v>81.1562441795425</v>
      </c>
      <c r="AA144" s="60">
        <v>0.215714392129355</v>
      </c>
      <c r="AB144" s="60">
        <v>10.3114981636906</v>
      </c>
      <c r="AC144" s="60">
        <v>0</v>
      </c>
      <c r="AD144" s="97">
        <v>1.09939956665039</v>
      </c>
      <c r="AE144" s="97">
        <v>2.7996997833252</v>
      </c>
      <c r="AF144" s="97">
        <v>0</v>
      </c>
      <c r="AG144" s="60">
        <v>1143.79474326907</v>
      </c>
      <c r="AH144" s="60">
        <v>41.1167001724243</v>
      </c>
      <c r="AI144" s="60">
        <v>46.9177166784966</v>
      </c>
      <c r="AJ144" s="60" t="s">
        <v>134</v>
      </c>
      <c r="AK144" s="55">
        <v>134.03728</v>
      </c>
      <c r="AL144" s="60">
        <v>20.806</v>
      </c>
      <c r="AM144" s="60">
        <v>0.135</v>
      </c>
      <c r="AN144" s="60">
        <v>12.914</v>
      </c>
      <c r="AO144" s="60">
        <v>1.14</v>
      </c>
      <c r="AP144" s="60">
        <v>0.052</v>
      </c>
      <c r="AQ144" s="60">
        <v>0</v>
      </c>
      <c r="AR144" s="60">
        <v>0</v>
      </c>
      <c r="AS144" s="60">
        <v>12.253</v>
      </c>
      <c r="AT144" s="60">
        <f t="shared" si="37"/>
        <v>26.494</v>
      </c>
      <c r="AU144" s="60">
        <f t="shared" si="38"/>
        <v>56.0126849894292</v>
      </c>
      <c r="AV144" s="97">
        <v>0</v>
      </c>
      <c r="AW144" s="53" t="s">
        <v>621</v>
      </c>
      <c r="AX144" s="53" t="s">
        <v>506</v>
      </c>
      <c r="AY144" s="53" t="s">
        <v>134</v>
      </c>
      <c r="AZ144" s="53" t="s">
        <v>212</v>
      </c>
      <c r="BA144" s="102" t="s">
        <v>322</v>
      </c>
      <c r="BB144" s="53" t="s">
        <v>622</v>
      </c>
      <c r="BC144" s="56">
        <v>7</v>
      </c>
      <c r="BD144" s="56">
        <v>14</v>
      </c>
      <c r="BE144" s="96">
        <f>U144/((VLOOKUP(B144,'Cell-Characteristics'!$B$4:$E$34,3,FALSE)*VLOOKUP(B144,'Cell-Characteristics'!$B$4:$E$34,4,FALSE)*3600)/1000)</f>
        <v>2.05124955306839</v>
      </c>
      <c r="BF144" s="90">
        <f t="shared" si="41"/>
        <v>15624.1968312244</v>
      </c>
      <c r="BG144" s="90">
        <f t="shared" si="39"/>
        <v>26729.8513943633</v>
      </c>
      <c r="BH144" s="90" t="e">
        <f t="shared" si="40"/>
        <v>#DIV/0!</v>
      </c>
      <c r="BI144" s="90">
        <f t="shared" si="42"/>
        <v>70948.467862905</v>
      </c>
      <c r="BJ144" s="90">
        <f>BF144/((VLOOKUP(B144,'Cell-Characteristics'!$B$4:$Q$34,13,FALSE)))</f>
        <v>425.287082345921</v>
      </c>
      <c r="BK144" s="90">
        <f>BG144/((VLOOKUP(B144,'Cell-Characteristics'!$B$4:$Q$34,14,FALSE)))</f>
        <v>10509.4957121818</v>
      </c>
      <c r="BL144" s="90" t="e">
        <f>BH144/((VLOOKUP(B144,'Cell-Characteristics'!$B$4:$Q$34,15,FALSE)))</f>
        <v>#DIV/0!</v>
      </c>
      <c r="BM144" s="90">
        <f>BI144/((VLOOKUP(B144,'Cell-Characteristics'!$B$4:$Q$34,16,FALSE)))</f>
        <v>1696.32533479909</v>
      </c>
      <c r="BN144" s="50">
        <f t="shared" si="43"/>
        <v>1.2996997833252</v>
      </c>
    </row>
    <row r="145" spans="2:66">
      <c r="B145" s="53" t="s">
        <v>34</v>
      </c>
      <c r="C145" s="107" t="s">
        <v>623</v>
      </c>
      <c r="D145" s="53" t="s">
        <v>391</v>
      </c>
      <c r="E145" s="55" t="s">
        <v>194</v>
      </c>
      <c r="F145" s="56" t="s">
        <v>392</v>
      </c>
      <c r="G145" s="56" t="s">
        <v>393</v>
      </c>
      <c r="H145" s="57">
        <v>43138</v>
      </c>
      <c r="I145" s="58" t="s">
        <v>134</v>
      </c>
      <c r="J145" s="58">
        <v>100</v>
      </c>
      <c r="K145" s="59" t="s">
        <v>134</v>
      </c>
      <c r="L145" s="60">
        <v>47.5</v>
      </c>
      <c r="M145" s="60">
        <v>37</v>
      </c>
      <c r="N145" s="60">
        <v>37</v>
      </c>
      <c r="O145" s="59" t="s">
        <v>197</v>
      </c>
      <c r="P145" s="59" t="s">
        <v>197</v>
      </c>
      <c r="Q145" s="61" t="s">
        <v>407</v>
      </c>
      <c r="R145" s="62">
        <v>67.3042546961574</v>
      </c>
      <c r="S145" s="63">
        <v>0.035</v>
      </c>
      <c r="T145" s="63">
        <v>68.9739137113683</v>
      </c>
      <c r="U145" s="60">
        <v>70.3756374386883</v>
      </c>
      <c r="V145" s="60">
        <v>22.5478862176829</v>
      </c>
      <c r="W145" s="60">
        <v>40.5207127620632</v>
      </c>
      <c r="X145" s="60">
        <v>7.30703845894221</v>
      </c>
      <c r="Y145" s="60">
        <v>32.0393349720303</v>
      </c>
      <c r="Z145" s="60">
        <v>57.5777559348789</v>
      </c>
      <c r="AA145" s="60">
        <v>10.3829090930908</v>
      </c>
      <c r="AB145" s="60">
        <v>1.120461747426</v>
      </c>
      <c r="AC145" s="60">
        <v>0.281261979894</v>
      </c>
      <c r="AD145" s="97">
        <v>1.20149993896484</v>
      </c>
      <c r="AE145" s="97">
        <v>2.30369997024536</v>
      </c>
      <c r="AF145" s="97">
        <v>1.70309972763062</v>
      </c>
      <c r="AG145" s="60">
        <v>906.433211903928</v>
      </c>
      <c r="AH145" s="60">
        <v>27.9493999481201</v>
      </c>
      <c r="AI145" s="60">
        <v>25.4051542577992</v>
      </c>
      <c r="AJ145" s="60" t="s">
        <v>134</v>
      </c>
      <c r="AK145" s="55">
        <v>78.88904</v>
      </c>
      <c r="AL145" s="60">
        <v>24.8</v>
      </c>
      <c r="AM145" s="60">
        <v>0.7</v>
      </c>
      <c r="AN145" s="60">
        <v>9.9</v>
      </c>
      <c r="AO145" s="60">
        <v>0.7</v>
      </c>
      <c r="AP145" s="60">
        <v>0.1</v>
      </c>
      <c r="AQ145" s="60">
        <v>1.5</v>
      </c>
      <c r="AR145" s="60">
        <v>0</v>
      </c>
      <c r="AS145" s="60">
        <v>9.8</v>
      </c>
      <c r="AT145" s="60">
        <f t="shared" si="37"/>
        <v>22.7</v>
      </c>
      <c r="AU145" s="60">
        <f t="shared" si="38"/>
        <v>47.7894736842105</v>
      </c>
      <c r="AV145" s="97">
        <v>0</v>
      </c>
      <c r="AW145" s="53" t="s">
        <v>624</v>
      </c>
      <c r="AX145" s="53" t="s">
        <v>625</v>
      </c>
      <c r="AY145" s="53" t="s">
        <v>626</v>
      </c>
      <c r="AZ145" s="53" t="s">
        <v>203</v>
      </c>
      <c r="BA145" s="53" t="s">
        <v>204</v>
      </c>
      <c r="BB145" s="53" t="s">
        <v>460</v>
      </c>
      <c r="BC145" s="56">
        <v>4</v>
      </c>
      <c r="BD145" s="56">
        <v>8</v>
      </c>
      <c r="BE145" s="59">
        <f>U145/((VLOOKUP(B145,'Cell-Characteristics'!$B$4:$E$34,3,FALSE)*VLOOKUP(B145,'Cell-Characteristics'!$B$4:$E$34,4,FALSE)*3600)/1000)</f>
        <v>1.56550613247273</v>
      </c>
      <c r="BF145" s="90">
        <f t="shared" si="41"/>
        <v>18766.4480758186</v>
      </c>
      <c r="BG145" s="90">
        <f t="shared" si="39"/>
        <v>17589.4054284106</v>
      </c>
      <c r="BH145" s="90">
        <f t="shared" si="40"/>
        <v>4290.43487025149</v>
      </c>
      <c r="BI145" s="90">
        <f t="shared" si="42"/>
        <v>40536.6294255926</v>
      </c>
      <c r="BJ145" s="90">
        <f>BF145/((VLOOKUP(B145,'Cell-Characteristics'!$B$4:$Q$34,13,FALSE)))</f>
        <v>510.818446181571</v>
      </c>
      <c r="BK145" s="90">
        <f>BG145/((VLOOKUP(B145,'Cell-Characteristics'!$B$4:$Q$34,14,FALSE)))</f>
        <v>6915.7055234767</v>
      </c>
      <c r="BL145" s="90">
        <f>BH145/((VLOOKUP(B145,'Cell-Characteristics'!$B$4:$Q$34,15,FALSE)))</f>
        <v>1686.88954558917</v>
      </c>
      <c r="BM145" s="90">
        <f>BI145/((VLOOKUP(B145,'Cell-Characteristics'!$B$4:$Q$34,16,FALSE)))</f>
        <v>969.200795355689</v>
      </c>
      <c r="BN145" s="50">
        <f t="shared" si="43"/>
        <v>1.73609987894694</v>
      </c>
    </row>
    <row r="146" spans="2:66">
      <c r="B146" s="53" t="s">
        <v>34</v>
      </c>
      <c r="C146" s="53" t="s">
        <v>627</v>
      </c>
      <c r="D146" s="53" t="s">
        <v>503</v>
      </c>
      <c r="E146" s="55" t="s">
        <v>228</v>
      </c>
      <c r="F146" s="56" t="s">
        <v>392</v>
      </c>
      <c r="G146" s="56" t="s">
        <v>393</v>
      </c>
      <c r="H146" s="57">
        <v>43014</v>
      </c>
      <c r="I146" s="58" t="s">
        <v>628</v>
      </c>
      <c r="J146" s="58">
        <v>100</v>
      </c>
      <c r="K146" s="59" t="s">
        <v>134</v>
      </c>
      <c r="L146" s="60">
        <v>47.9</v>
      </c>
      <c r="M146" s="60">
        <v>37</v>
      </c>
      <c r="N146" s="60">
        <v>37</v>
      </c>
      <c r="O146" s="59" t="s">
        <v>197</v>
      </c>
      <c r="P146" s="59" t="s">
        <v>197</v>
      </c>
      <c r="Q146" s="61" t="s">
        <v>381</v>
      </c>
      <c r="R146" s="62">
        <v>75.2255291688252</v>
      </c>
      <c r="S146" s="63">
        <v>0.054</v>
      </c>
      <c r="T146" s="63">
        <v>76.1596855223874</v>
      </c>
      <c r="U146" s="60">
        <v>86.5641803041865</v>
      </c>
      <c r="V146" s="60">
        <v>22.3136589527432</v>
      </c>
      <c r="W146" s="60">
        <v>63.2970683612737</v>
      </c>
      <c r="X146" s="60">
        <v>0.953452990169603</v>
      </c>
      <c r="Y146" s="60">
        <v>25.7770117782355</v>
      </c>
      <c r="Z146" s="60">
        <v>73.1215476642276</v>
      </c>
      <c r="AA146" s="60">
        <v>1.10144055753681</v>
      </c>
      <c r="AB146" s="60">
        <v>10.4044947817991</v>
      </c>
      <c r="AC146" s="60">
        <v>0</v>
      </c>
      <c r="AD146" s="97">
        <v>1.40040016174316</v>
      </c>
      <c r="AE146" s="97">
        <v>5.40180015563965</v>
      </c>
      <c r="AF146" s="97">
        <v>0</v>
      </c>
      <c r="AG146" s="60">
        <v>1134.69711998683</v>
      </c>
      <c r="AH146" s="60">
        <v>84.7392997741699</v>
      </c>
      <c r="AI146" s="60">
        <v>96.2652299886786</v>
      </c>
      <c r="AJ146" s="60" t="s">
        <v>134</v>
      </c>
      <c r="AK146" s="55">
        <v>261.86111</v>
      </c>
      <c r="AL146" s="60">
        <v>21.45</v>
      </c>
      <c r="AM146" s="60">
        <v>0.552</v>
      </c>
      <c r="AN146" s="60">
        <v>11.74</v>
      </c>
      <c r="AO146" s="60">
        <v>1.344</v>
      </c>
      <c r="AP146" s="60">
        <v>0</v>
      </c>
      <c r="AQ146" s="60">
        <v>0</v>
      </c>
      <c r="AR146" s="60">
        <v>0</v>
      </c>
      <c r="AS146" s="60">
        <v>12.814</v>
      </c>
      <c r="AT146" s="60">
        <f t="shared" ref="AT146:AT173" si="44">L146-AL146</f>
        <v>26.45</v>
      </c>
      <c r="AU146" s="60">
        <f t="shared" ref="AU146:AU173" si="45">100*(AT146/L146)</f>
        <v>55.2192066805846</v>
      </c>
      <c r="AV146" s="97">
        <v>0</v>
      </c>
      <c r="AW146" s="53" t="s">
        <v>629</v>
      </c>
      <c r="AX146" s="53" t="s">
        <v>514</v>
      </c>
      <c r="AY146" s="53" t="s">
        <v>134</v>
      </c>
      <c r="AZ146" s="53" t="s">
        <v>212</v>
      </c>
      <c r="BA146" s="102" t="s">
        <v>322</v>
      </c>
      <c r="BB146" s="53" t="s">
        <v>630</v>
      </c>
      <c r="BC146" s="56">
        <v>7</v>
      </c>
      <c r="BD146" s="56">
        <v>14</v>
      </c>
      <c r="BE146" s="59">
        <f>U146/((VLOOKUP(B146,'Cell-Characteristics'!$B$4:$E$34,3,FALSE)*VLOOKUP(B146,'Cell-Characteristics'!$B$4:$E$34,4,FALSE)*3600)/1000)</f>
        <v>1.9256202863774</v>
      </c>
      <c r="BF146" s="90">
        <f t="shared" si="41"/>
        <v>15933.7734758385</v>
      </c>
      <c r="BG146" s="90">
        <f t="shared" si="39"/>
        <v>11717.7730640756</v>
      </c>
      <c r="BH146" s="90" t="e">
        <f t="shared" si="40"/>
        <v>#DIV/0!</v>
      </c>
      <c r="BI146" s="90">
        <f t="shared" si="42"/>
        <v>38177.7261467768</v>
      </c>
      <c r="BJ146" s="90">
        <f>BF146/((VLOOKUP(B146,'Cell-Characteristics'!$B$4:$Q$34,13,FALSE)))</f>
        <v>433.713688165891</v>
      </c>
      <c r="BK146" s="90">
        <f>BG146/((VLOOKUP(B146,'Cell-Characteristics'!$B$4:$Q$34,14,FALSE)))</f>
        <v>4607.12945823528</v>
      </c>
      <c r="BL146" s="90" t="e">
        <f>BH146/((VLOOKUP(B146,'Cell-Characteristics'!$B$4:$Q$34,15,FALSE)))</f>
        <v>#DIV/0!</v>
      </c>
      <c r="BM146" s="90">
        <f>BI146/((VLOOKUP(B146,'Cell-Characteristics'!$B$4:$Q$34,16,FALSE)))</f>
        <v>912.801164542971</v>
      </c>
      <c r="BN146" s="50">
        <f t="shared" si="43"/>
        <v>2.26740010579427</v>
      </c>
    </row>
    <row r="147" spans="2:66">
      <c r="B147" s="53" t="s">
        <v>34</v>
      </c>
      <c r="C147" s="107" t="s">
        <v>631</v>
      </c>
      <c r="D147" s="53" t="s">
        <v>503</v>
      </c>
      <c r="E147" s="55" t="s">
        <v>228</v>
      </c>
      <c r="F147" s="56" t="s">
        <v>392</v>
      </c>
      <c r="G147" s="56" t="s">
        <v>393</v>
      </c>
      <c r="H147" s="57">
        <v>43014</v>
      </c>
      <c r="I147" s="58" t="s">
        <v>628</v>
      </c>
      <c r="J147" s="58">
        <v>100</v>
      </c>
      <c r="K147" s="59" t="s">
        <v>134</v>
      </c>
      <c r="L147" s="60">
        <v>47.9</v>
      </c>
      <c r="M147" s="60">
        <v>37</v>
      </c>
      <c r="N147" s="60">
        <v>37</v>
      </c>
      <c r="O147" s="59" t="s">
        <v>197</v>
      </c>
      <c r="P147" s="59" t="s">
        <v>197</v>
      </c>
      <c r="Q147" s="61" t="s">
        <v>381</v>
      </c>
      <c r="R147" s="62">
        <v>73.906658883747</v>
      </c>
      <c r="S147" s="63">
        <v>0.051</v>
      </c>
      <c r="T147" s="63">
        <v>75.3251559452207</v>
      </c>
      <c r="U147" s="60">
        <v>88.8942807389656</v>
      </c>
      <c r="V147" s="60">
        <v>11.6433573455974</v>
      </c>
      <c r="W147" s="60">
        <v>76.8092167794776</v>
      </c>
      <c r="X147" s="60">
        <v>0.441706613890553</v>
      </c>
      <c r="Y147" s="60">
        <v>13.0979825122695</v>
      </c>
      <c r="Z147" s="60">
        <v>86.4051276876008</v>
      </c>
      <c r="AA147" s="60">
        <v>0.496889800129669</v>
      </c>
      <c r="AB147" s="60">
        <v>13.5691247937449</v>
      </c>
      <c r="AC147" s="60">
        <v>0</v>
      </c>
      <c r="AD147" s="97">
        <v>3.80250024795532</v>
      </c>
      <c r="AE147" s="97">
        <v>1.90040016174316</v>
      </c>
      <c r="AF147" s="97">
        <v>0</v>
      </c>
      <c r="AG147" s="60">
        <v>1148.73862362939</v>
      </c>
      <c r="AH147" s="60">
        <v>79.6324996948242</v>
      </c>
      <c r="AI147" s="60">
        <v>90.6214943405242</v>
      </c>
      <c r="AJ147" s="60" t="s">
        <v>134</v>
      </c>
      <c r="AK147" s="55">
        <v>244.17652</v>
      </c>
      <c r="AL147" s="60">
        <v>14.92</v>
      </c>
      <c r="AM147" s="60">
        <v>2.329</v>
      </c>
      <c r="AN147" s="60">
        <v>12.61</v>
      </c>
      <c r="AO147" s="60">
        <v>4.048</v>
      </c>
      <c r="AP147" s="60">
        <v>0</v>
      </c>
      <c r="AQ147" s="60">
        <v>0</v>
      </c>
      <c r="AR147" s="60">
        <v>0</v>
      </c>
      <c r="AS147" s="60">
        <v>13.993</v>
      </c>
      <c r="AT147" s="60">
        <f t="shared" si="44"/>
        <v>32.98</v>
      </c>
      <c r="AU147" s="60">
        <f t="shared" si="45"/>
        <v>68.8517745302714</v>
      </c>
      <c r="AV147" s="97">
        <v>0</v>
      </c>
      <c r="AW147" s="53" t="s">
        <v>632</v>
      </c>
      <c r="AX147" s="53" t="s">
        <v>514</v>
      </c>
      <c r="AY147" s="53" t="s">
        <v>134</v>
      </c>
      <c r="AZ147" s="53" t="s">
        <v>212</v>
      </c>
      <c r="BA147" s="53" t="s">
        <v>204</v>
      </c>
      <c r="BB147" s="53" t="s">
        <v>553</v>
      </c>
      <c r="BC147" s="56">
        <v>5</v>
      </c>
      <c r="BD147" s="56">
        <v>10</v>
      </c>
      <c r="BE147" s="59">
        <f>U147/((VLOOKUP(B147,'Cell-Characteristics'!$B$4:$E$34,3,FALSE)*VLOOKUP(B147,'Cell-Characteristics'!$B$4:$E$34,4,FALSE)*3600)/1000)</f>
        <v>1.97745337311998</v>
      </c>
      <c r="BF147" s="90">
        <f t="shared" si="41"/>
        <v>3062.02671567433</v>
      </c>
      <c r="BG147" s="90">
        <f t="shared" si="39"/>
        <v>40417.3912030314</v>
      </c>
      <c r="BH147" s="90" t="e">
        <f t="shared" si="40"/>
        <v>#DIV/0!</v>
      </c>
      <c r="BI147" s="90">
        <f t="shared" si="42"/>
        <v>46762.668652493</v>
      </c>
      <c r="BJ147" s="90">
        <f>BF147/((VLOOKUP(B147,'Cell-Characteristics'!$B$4:$Q$34,13,FALSE)))</f>
        <v>83.3476704141305</v>
      </c>
      <c r="BK147" s="90">
        <f>BG147/((VLOOKUP(B147,'Cell-Characteristics'!$B$4:$Q$34,14,FALSE)))</f>
        <v>15891.0872072939</v>
      </c>
      <c r="BL147" s="90" t="e">
        <f>BH147/((VLOOKUP(B147,'Cell-Characteristics'!$B$4:$Q$34,15,FALSE)))</f>
        <v>#DIV/0!</v>
      </c>
      <c r="BM147" s="90">
        <f>BI147/((VLOOKUP(B147,'Cell-Characteristics'!$B$4:$Q$34,16,FALSE)))</f>
        <v>1118.06078337477</v>
      </c>
      <c r="BN147" s="50">
        <f t="shared" si="43"/>
        <v>1.90096680323283</v>
      </c>
    </row>
    <row r="148" spans="2:66">
      <c r="B148" s="53" t="s">
        <v>34</v>
      </c>
      <c r="C148" s="53" t="s">
        <v>633</v>
      </c>
      <c r="D148" s="53" t="s">
        <v>391</v>
      </c>
      <c r="E148" s="55" t="s">
        <v>228</v>
      </c>
      <c r="F148" s="56" t="s">
        <v>392</v>
      </c>
      <c r="G148" s="56" t="s">
        <v>393</v>
      </c>
      <c r="H148" s="57">
        <v>43139</v>
      </c>
      <c r="I148" s="58" t="s">
        <v>134</v>
      </c>
      <c r="J148" s="58">
        <v>100</v>
      </c>
      <c r="K148" s="59" t="s">
        <v>134</v>
      </c>
      <c r="L148" s="60">
        <v>47.5</v>
      </c>
      <c r="M148" s="60">
        <v>37</v>
      </c>
      <c r="N148" s="60">
        <v>37</v>
      </c>
      <c r="O148" s="59" t="s">
        <v>197</v>
      </c>
      <c r="P148" s="59" t="s">
        <v>197</v>
      </c>
      <c r="Q148" s="61" t="s">
        <v>407</v>
      </c>
      <c r="R148" s="62">
        <v>57.5030441892953</v>
      </c>
      <c r="S148" s="63">
        <v>0.031</v>
      </c>
      <c r="T148" s="63">
        <v>59.9248465716142</v>
      </c>
      <c r="U148" s="60">
        <v>61.5922391221342</v>
      </c>
      <c r="V148" s="60">
        <v>20.9977599729338</v>
      </c>
      <c r="W148" s="60">
        <v>38.5320271766452</v>
      </c>
      <c r="X148" s="60">
        <v>2.06245197255516</v>
      </c>
      <c r="Y148" s="60">
        <v>34.0915678212256</v>
      </c>
      <c r="Z148" s="60">
        <v>62.5598739806134</v>
      </c>
      <c r="AA148" s="60">
        <v>3.34855819816101</v>
      </c>
      <c r="AB148" s="60">
        <v>1.632737540193</v>
      </c>
      <c r="AC148" s="60">
        <v>0.034655010327</v>
      </c>
      <c r="AD148" s="97">
        <v>2.00229978561401</v>
      </c>
      <c r="AE148" s="97">
        <v>2.30209970474243</v>
      </c>
      <c r="AF148" s="97">
        <v>0.80109977722168</v>
      </c>
      <c r="AG148" s="60">
        <v>907.030209517463</v>
      </c>
      <c r="AH148" s="60">
        <v>72.3682999610901</v>
      </c>
      <c r="AI148" s="60">
        <v>65.732667032983</v>
      </c>
      <c r="AJ148" s="60" t="s">
        <v>134</v>
      </c>
      <c r="AK148" s="55">
        <v>215.53818</v>
      </c>
      <c r="AL148" s="60">
        <v>26.4</v>
      </c>
      <c r="AM148" s="60">
        <v>0.8</v>
      </c>
      <c r="AN148" s="60">
        <v>10.7</v>
      </c>
      <c r="AO148" s="60">
        <v>0.8</v>
      </c>
      <c r="AP148" s="60">
        <v>0</v>
      </c>
      <c r="AQ148" s="60">
        <v>0.9</v>
      </c>
      <c r="AR148" s="60">
        <v>0.8</v>
      </c>
      <c r="AS148" s="60">
        <v>7.10000000000001</v>
      </c>
      <c r="AT148" s="60">
        <f t="shared" si="44"/>
        <v>21.1</v>
      </c>
      <c r="AU148" s="60">
        <f t="shared" si="45"/>
        <v>44.421052631579</v>
      </c>
      <c r="AV148" s="97">
        <v>0</v>
      </c>
      <c r="AW148" s="53" t="s">
        <v>634</v>
      </c>
      <c r="AX148" s="53" t="s">
        <v>395</v>
      </c>
      <c r="AY148" s="53" t="s">
        <v>635</v>
      </c>
      <c r="AZ148" s="53" t="s">
        <v>203</v>
      </c>
      <c r="BA148" s="102" t="s">
        <v>322</v>
      </c>
      <c r="BB148" s="53" t="s">
        <v>540</v>
      </c>
      <c r="BC148" s="56">
        <v>7</v>
      </c>
      <c r="BD148" s="56">
        <v>14</v>
      </c>
      <c r="BE148" s="59">
        <f>U148/((VLOOKUP(B148,'Cell-Characteristics'!$B$4:$E$34,3,FALSE)*VLOOKUP(B148,'Cell-Characteristics'!$B$4:$E$34,4,FALSE)*3600)/1000)</f>
        <v>1.3701194272298</v>
      </c>
      <c r="BF148" s="90">
        <f t="shared" si="41"/>
        <v>10486.8212661246</v>
      </c>
      <c r="BG148" s="90">
        <f t="shared" si="39"/>
        <v>16737.7751264498</v>
      </c>
      <c r="BH148" s="90">
        <f t="shared" si="40"/>
        <v>2574.52570977864</v>
      </c>
      <c r="BI148" s="90">
        <f t="shared" si="42"/>
        <v>36191.7038241109</v>
      </c>
      <c r="BJ148" s="90">
        <f>BF148/((VLOOKUP(B148,'Cell-Characteristics'!$B$4:$Q$34,13,FALSE)))</f>
        <v>285.448888511204</v>
      </c>
      <c r="BK148" s="90">
        <f>BG148/((VLOOKUP(B148,'Cell-Characteristics'!$B$4:$Q$34,14,FALSE)))</f>
        <v>6580.86621312014</v>
      </c>
      <c r="BL148" s="90">
        <f>BH148/((VLOOKUP(B148,'Cell-Characteristics'!$B$4:$Q$34,15,FALSE)))</f>
        <v>1012.23783509422</v>
      </c>
      <c r="BM148" s="90">
        <f>BI148/((VLOOKUP(B148,'Cell-Characteristics'!$B$4:$Q$34,16,FALSE)))</f>
        <v>865.31684130255</v>
      </c>
      <c r="BN148" s="50">
        <f t="shared" si="43"/>
        <v>1.70183308919271</v>
      </c>
    </row>
    <row r="149" spans="2:66">
      <c r="B149" s="53" t="s">
        <v>34</v>
      </c>
      <c r="C149" s="107" t="s">
        <v>636</v>
      </c>
      <c r="D149" s="53" t="s">
        <v>391</v>
      </c>
      <c r="E149" s="55" t="s">
        <v>228</v>
      </c>
      <c r="F149" s="56" t="s">
        <v>392</v>
      </c>
      <c r="G149" s="56" t="s">
        <v>393</v>
      </c>
      <c r="H149" s="57">
        <v>43139</v>
      </c>
      <c r="I149" s="58" t="s">
        <v>134</v>
      </c>
      <c r="J149" s="58">
        <v>100</v>
      </c>
      <c r="K149" s="59" t="s">
        <v>134</v>
      </c>
      <c r="L149" s="60">
        <v>47.5</v>
      </c>
      <c r="M149" s="60">
        <v>37</v>
      </c>
      <c r="N149" s="60">
        <v>37</v>
      </c>
      <c r="O149" s="59" t="s">
        <v>197</v>
      </c>
      <c r="P149" s="59" t="s">
        <v>197</v>
      </c>
      <c r="Q149" s="61" t="s">
        <v>381</v>
      </c>
      <c r="R149" s="62">
        <v>73.0193036472239</v>
      </c>
      <c r="S149" s="63">
        <v>0.032</v>
      </c>
      <c r="T149" s="63">
        <v>73.7076753555518</v>
      </c>
      <c r="U149" s="60">
        <v>79.7601015610478</v>
      </c>
      <c r="V149" s="60">
        <v>12.6853637542636</v>
      </c>
      <c r="W149" s="60">
        <v>66.5384663069495</v>
      </c>
      <c r="X149" s="60">
        <v>0.536271499834688</v>
      </c>
      <c r="Y149" s="60">
        <v>15.9043976950736</v>
      </c>
      <c r="Z149" s="60">
        <v>83.4232467169333</v>
      </c>
      <c r="AA149" s="60">
        <v>0.672355587993114</v>
      </c>
      <c r="AB149" s="60">
        <v>6.052426205496</v>
      </c>
      <c r="AC149" s="60">
        <v>0</v>
      </c>
      <c r="AD149" s="97">
        <v>0.900400161743164</v>
      </c>
      <c r="AE149" s="97">
        <v>1.00060033798218</v>
      </c>
      <c r="AF149" s="97">
        <v>0</v>
      </c>
      <c r="AG149" s="60">
        <v>907.238323187159</v>
      </c>
      <c r="AH149" s="60">
        <v>90.0823998451233</v>
      </c>
      <c r="AI149" s="60">
        <v>81.8252097368398</v>
      </c>
      <c r="AJ149" s="60" t="s">
        <v>134</v>
      </c>
      <c r="AK149" s="55">
        <v>259.03623</v>
      </c>
      <c r="AL149" s="60">
        <v>15.4</v>
      </c>
      <c r="AM149" s="60">
        <v>0.4</v>
      </c>
      <c r="AN149" s="60">
        <v>13.1</v>
      </c>
      <c r="AO149" s="60">
        <v>3.7</v>
      </c>
      <c r="AP149" s="60">
        <v>0</v>
      </c>
      <c r="AQ149" s="60">
        <v>0</v>
      </c>
      <c r="AR149" s="60">
        <v>0</v>
      </c>
      <c r="AS149" s="60">
        <v>14.9</v>
      </c>
      <c r="AT149" s="60">
        <f t="shared" si="44"/>
        <v>32.1</v>
      </c>
      <c r="AU149" s="60">
        <f t="shared" si="45"/>
        <v>67.5789473684211</v>
      </c>
      <c r="AV149" s="97">
        <v>0</v>
      </c>
      <c r="AW149" s="53" t="s">
        <v>637</v>
      </c>
      <c r="AX149" s="53" t="s">
        <v>395</v>
      </c>
      <c r="AY149" s="53" t="s">
        <v>638</v>
      </c>
      <c r="AZ149" s="53" t="s">
        <v>203</v>
      </c>
      <c r="BA149" s="53" t="s">
        <v>204</v>
      </c>
      <c r="BB149" s="53" t="s">
        <v>460</v>
      </c>
      <c r="BC149" s="56">
        <v>1</v>
      </c>
      <c r="BD149" s="56">
        <v>2</v>
      </c>
      <c r="BE149" s="59">
        <f>U149/((VLOOKUP(B149,'Cell-Characteristics'!$B$4:$E$34,3,FALSE)*VLOOKUP(B149,'Cell-Characteristics'!$B$4:$E$34,4,FALSE)*3600)/1000)</f>
        <v>1.77426354722898</v>
      </c>
      <c r="BF149" s="90">
        <f t="shared" si="41"/>
        <v>14088.5844908168</v>
      </c>
      <c r="BG149" s="90">
        <f t="shared" si="39"/>
        <v>66498.5447048037</v>
      </c>
      <c r="BH149" s="90" t="e">
        <f t="shared" si="40"/>
        <v>#DIV/0!</v>
      </c>
      <c r="BI149" s="90">
        <f t="shared" si="42"/>
        <v>125870.721610917</v>
      </c>
      <c r="BJ149" s="90">
        <f>BF149/((VLOOKUP(B149,'Cell-Characteristics'!$B$4:$Q$34,13,FALSE)))</f>
        <v>383.488063879818</v>
      </c>
      <c r="BK149" s="90">
        <f>BG149/((VLOOKUP(B149,'Cell-Characteristics'!$B$4:$Q$34,14,FALSE)))</f>
        <v>26145.5314558479</v>
      </c>
      <c r="BL149" s="90" t="e">
        <f>BH149/((VLOOKUP(B149,'Cell-Characteristics'!$B$4:$Q$34,15,FALSE)))</f>
        <v>#DIV/0!</v>
      </c>
      <c r="BM149" s="90">
        <f>BI149/((VLOOKUP(B149,'Cell-Characteristics'!$B$4:$Q$34,16,FALSE)))</f>
        <v>3009.47575627182</v>
      </c>
      <c r="BN149" s="50">
        <f t="shared" si="43"/>
        <v>0.633666833241781</v>
      </c>
    </row>
    <row r="150" spans="2:66">
      <c r="B150" s="53" t="s">
        <v>32</v>
      </c>
      <c r="C150" s="53" t="s">
        <v>639</v>
      </c>
      <c r="D150" s="53" t="s">
        <v>503</v>
      </c>
      <c r="E150" s="55" t="s">
        <v>194</v>
      </c>
      <c r="F150" s="56" t="s">
        <v>392</v>
      </c>
      <c r="G150" s="56" t="s">
        <v>393</v>
      </c>
      <c r="H150" s="57">
        <v>43013</v>
      </c>
      <c r="I150" s="58" t="s">
        <v>640</v>
      </c>
      <c r="J150" s="58">
        <v>100</v>
      </c>
      <c r="K150" s="59" t="s">
        <v>134</v>
      </c>
      <c r="L150" s="60">
        <v>47.3</v>
      </c>
      <c r="M150" s="60">
        <v>37</v>
      </c>
      <c r="N150" s="60">
        <v>37</v>
      </c>
      <c r="O150" s="59" t="s">
        <v>197</v>
      </c>
      <c r="P150" s="59" t="s">
        <v>197</v>
      </c>
      <c r="Q150" s="61" t="s">
        <v>381</v>
      </c>
      <c r="R150" s="62">
        <v>66.7574213840054</v>
      </c>
      <c r="S150" s="63">
        <v>0.033</v>
      </c>
      <c r="T150" s="63">
        <v>68.1472152768223</v>
      </c>
      <c r="U150" s="60">
        <v>76.511014490124</v>
      </c>
      <c r="V150" s="60">
        <v>14.529974674516</v>
      </c>
      <c r="W150" s="60">
        <v>61.8342256675059</v>
      </c>
      <c r="X150" s="60">
        <v>0.146814148102122</v>
      </c>
      <c r="Y150" s="60">
        <v>18.9906966615788</v>
      </c>
      <c r="Z150" s="60">
        <v>80.8174170471722</v>
      </c>
      <c r="AA150" s="60">
        <v>0.191886291249049</v>
      </c>
      <c r="AB150" s="60">
        <v>8.36379921330173</v>
      </c>
      <c r="AC150" s="60">
        <v>0</v>
      </c>
      <c r="AD150" s="97">
        <v>8.20930004119873</v>
      </c>
      <c r="AE150" s="97">
        <v>0.703299999237061</v>
      </c>
      <c r="AF150" s="97">
        <v>0</v>
      </c>
      <c r="AG150" s="60">
        <v>1112.01771706362</v>
      </c>
      <c r="AH150" s="60">
        <v>39.0401997566223</v>
      </c>
      <c r="AI150" s="60">
        <v>43.4761469277348</v>
      </c>
      <c r="AJ150" s="60" t="s">
        <v>134</v>
      </c>
      <c r="AK150" s="55">
        <v>139.04505</v>
      </c>
      <c r="AL150" s="60">
        <v>20.061</v>
      </c>
      <c r="AM150" s="60">
        <v>1.324</v>
      </c>
      <c r="AN150" s="60">
        <v>9.983</v>
      </c>
      <c r="AO150" s="60">
        <v>4.429</v>
      </c>
      <c r="AP150" s="60">
        <v>0</v>
      </c>
      <c r="AQ150" s="60">
        <v>0</v>
      </c>
      <c r="AR150" s="60">
        <v>0</v>
      </c>
      <c r="AS150" s="60">
        <v>11.503</v>
      </c>
      <c r="AT150" s="60">
        <f t="shared" si="44"/>
        <v>27.239</v>
      </c>
      <c r="AU150" s="60">
        <f t="shared" si="45"/>
        <v>57.5877378435518</v>
      </c>
      <c r="AV150" s="97">
        <v>0</v>
      </c>
      <c r="AW150" s="53" t="s">
        <v>641</v>
      </c>
      <c r="AX150" s="53" t="s">
        <v>506</v>
      </c>
      <c r="AY150" s="53" t="s">
        <v>134</v>
      </c>
      <c r="AZ150" s="53" t="s">
        <v>212</v>
      </c>
      <c r="BA150" s="102" t="s">
        <v>322</v>
      </c>
      <c r="BB150" s="53" t="s">
        <v>510</v>
      </c>
      <c r="BC150" s="56">
        <v>3</v>
      </c>
      <c r="BD150" s="56">
        <v>6</v>
      </c>
      <c r="BE150" s="59">
        <f>U150/((VLOOKUP(B150,'Cell-Characteristics'!$B$4:$E$34,3,FALSE)*VLOOKUP(B150,'Cell-Characteristics'!$B$4:$E$34,4,FALSE)*3600)/1000)</f>
        <v>1.70198760175139</v>
      </c>
      <c r="BF150" s="90">
        <f t="shared" si="41"/>
        <v>1769.94075031936</v>
      </c>
      <c r="BG150" s="90">
        <f t="shared" si="39"/>
        <v>87920.127590763</v>
      </c>
      <c r="BH150" s="90" t="e">
        <f t="shared" si="40"/>
        <v>#DIV/0!</v>
      </c>
      <c r="BI150" s="90">
        <f t="shared" si="42"/>
        <v>25753.7690942035</v>
      </c>
      <c r="BJ150" s="90">
        <f>BF150/((VLOOKUP(B150,'Cell-Characteristics'!$B$4:$Q$34,13,FALSE)))</f>
        <v>48.1773844607589</v>
      </c>
      <c r="BK150" s="90">
        <f>BG150/((VLOOKUP(B150,'Cell-Characteristics'!$B$4:$Q$34,14,FALSE)))</f>
        <v>34567.9514000012</v>
      </c>
      <c r="BL150" s="90" t="e">
        <f>BH150/((VLOOKUP(B150,'Cell-Characteristics'!$B$4:$Q$34,15,FALSE)))</f>
        <v>#DIV/0!</v>
      </c>
      <c r="BM150" s="90">
        <f>BI150/((VLOOKUP(B150,'Cell-Characteristics'!$B$4:$Q$34,16,FALSE)))</f>
        <v>615.753550386457</v>
      </c>
      <c r="BN150" s="50">
        <f t="shared" si="43"/>
        <v>2.97086668014526</v>
      </c>
    </row>
    <row r="151" spans="2:66">
      <c r="B151" s="53" t="s">
        <v>32</v>
      </c>
      <c r="C151" s="107" t="s">
        <v>642</v>
      </c>
      <c r="D151" s="53" t="s">
        <v>503</v>
      </c>
      <c r="E151" s="55" t="s">
        <v>194</v>
      </c>
      <c r="F151" s="56" t="s">
        <v>392</v>
      </c>
      <c r="G151" s="56" t="s">
        <v>393</v>
      </c>
      <c r="H151" s="57">
        <v>43013</v>
      </c>
      <c r="I151" s="58" t="s">
        <v>643</v>
      </c>
      <c r="J151" s="58">
        <v>100</v>
      </c>
      <c r="K151" s="59" t="s">
        <v>134</v>
      </c>
      <c r="L151" s="60">
        <v>47.3</v>
      </c>
      <c r="M151" s="60">
        <v>37</v>
      </c>
      <c r="N151" s="60">
        <v>37</v>
      </c>
      <c r="O151" s="59" t="s">
        <v>197</v>
      </c>
      <c r="P151" s="59" t="s">
        <v>197</v>
      </c>
      <c r="Q151" s="61" t="s">
        <v>381</v>
      </c>
      <c r="R151" s="62">
        <v>63.7383394591456</v>
      </c>
      <c r="S151" s="63">
        <v>0.036</v>
      </c>
      <c r="T151" s="63">
        <v>65.7182353318209</v>
      </c>
      <c r="U151" s="60">
        <v>74.3230505109333</v>
      </c>
      <c r="V151" s="60">
        <v>16.8681487532476</v>
      </c>
      <c r="W151" s="60">
        <v>57.4341739972951</v>
      </c>
      <c r="X151" s="60">
        <v>0.0207277603905778</v>
      </c>
      <c r="Y151" s="60">
        <v>22.6957163858152</v>
      </c>
      <c r="Z151" s="60">
        <v>77.2763948767769</v>
      </c>
      <c r="AA151" s="60">
        <v>0.0278887374079575</v>
      </c>
      <c r="AB151" s="60">
        <v>8.60481517911239</v>
      </c>
      <c r="AC151" s="60">
        <v>0</v>
      </c>
      <c r="AD151" s="97">
        <v>2.60590028762817</v>
      </c>
      <c r="AE151" s="97">
        <v>1.80450010299683</v>
      </c>
      <c r="AF151" s="97">
        <v>0</v>
      </c>
      <c r="AG151" s="60">
        <v>1119.36411251945</v>
      </c>
      <c r="AH151" s="60">
        <v>30.7304997444153</v>
      </c>
      <c r="AI151" s="60">
        <v>34.4280984239699</v>
      </c>
      <c r="AJ151" s="60" t="s">
        <v>134</v>
      </c>
      <c r="AK151" s="55">
        <v>135.39978</v>
      </c>
      <c r="AL151" s="60">
        <v>21.084</v>
      </c>
      <c r="AM151" s="60">
        <v>0.12</v>
      </c>
      <c r="AN151" s="60">
        <v>13.948</v>
      </c>
      <c r="AO151" s="60">
        <v>1.493</v>
      </c>
      <c r="AP151" s="60">
        <v>0</v>
      </c>
      <c r="AQ151" s="60">
        <v>0.747</v>
      </c>
      <c r="AR151" s="60">
        <v>0</v>
      </c>
      <c r="AS151" s="60">
        <v>9.90799999999999</v>
      </c>
      <c r="AT151" s="60">
        <f t="shared" si="44"/>
        <v>26.216</v>
      </c>
      <c r="AU151" s="60">
        <f t="shared" si="45"/>
        <v>55.4249471458774</v>
      </c>
      <c r="AV151" s="97">
        <v>0</v>
      </c>
      <c r="AW151" s="53" t="s">
        <v>644</v>
      </c>
      <c r="AX151" s="53" t="s">
        <v>506</v>
      </c>
      <c r="AY151" s="53" t="s">
        <v>134</v>
      </c>
      <c r="AZ151" s="53" t="s">
        <v>212</v>
      </c>
      <c r="BA151" s="53" t="s">
        <v>204</v>
      </c>
      <c r="BB151" s="53" t="s">
        <v>645</v>
      </c>
      <c r="BC151" s="56">
        <v>7</v>
      </c>
      <c r="BD151" s="56">
        <v>14</v>
      </c>
      <c r="BE151" s="59">
        <f>U151/((VLOOKUP(B151,'Cell-Characteristics'!$B$4:$E$34,3,FALSE)*VLOOKUP(B151,'Cell-Characteristics'!$B$4:$E$34,4,FALSE)*3600)/1000)</f>
        <v>1.6533163406202</v>
      </c>
      <c r="BF151" s="90">
        <f t="shared" si="41"/>
        <v>6473.05993760819</v>
      </c>
      <c r="BG151" s="90">
        <f t="shared" si="39"/>
        <v>31828.3018670441</v>
      </c>
      <c r="BH151" s="90" t="e">
        <f t="shared" si="40"/>
        <v>#DIV/0!</v>
      </c>
      <c r="BI151" s="90">
        <f t="shared" si="42"/>
        <v>50555.3083132216</v>
      </c>
      <c r="BJ151" s="90">
        <f>BF151/((VLOOKUP(B151,'Cell-Characteristics'!$B$4:$Q$34,13,FALSE)))</f>
        <v>176.195218509668</v>
      </c>
      <c r="BK151" s="90">
        <f>BG151/((VLOOKUP(B151,'Cell-Characteristics'!$B$4:$Q$34,14,FALSE)))</f>
        <v>12514.0763808461</v>
      </c>
      <c r="BL151" s="90" t="e">
        <f>BH151/((VLOOKUP(B151,'Cell-Characteristics'!$B$4:$Q$34,15,FALSE)))</f>
        <v>#DIV/0!</v>
      </c>
      <c r="BM151" s="90">
        <f>BI151/((VLOOKUP(B151,'Cell-Characteristics'!$B$4:$Q$34,16,FALSE)))</f>
        <v>1208.73998950913</v>
      </c>
      <c r="BN151" s="50">
        <f t="shared" si="43"/>
        <v>1.47013346354167</v>
      </c>
    </row>
    <row r="152" spans="2:66">
      <c r="B152" s="53" t="s">
        <v>32</v>
      </c>
      <c r="C152" s="53" t="s">
        <v>646</v>
      </c>
      <c r="D152" s="53" t="s">
        <v>503</v>
      </c>
      <c r="E152" s="55" t="s">
        <v>194</v>
      </c>
      <c r="F152" s="56" t="s">
        <v>392</v>
      </c>
      <c r="G152" s="56" t="s">
        <v>393</v>
      </c>
      <c r="H152" s="57">
        <v>43014</v>
      </c>
      <c r="I152" s="58" t="s">
        <v>643</v>
      </c>
      <c r="J152" s="58">
        <v>100</v>
      </c>
      <c r="K152" s="59" t="s">
        <v>134</v>
      </c>
      <c r="L152" s="60">
        <v>48</v>
      </c>
      <c r="M152" s="60">
        <v>37</v>
      </c>
      <c r="N152" s="60">
        <v>37</v>
      </c>
      <c r="O152" s="59" t="s">
        <v>197</v>
      </c>
      <c r="P152" s="59" t="s">
        <v>197</v>
      </c>
      <c r="Q152" s="61" t="s">
        <v>381</v>
      </c>
      <c r="R152" s="62">
        <v>72.1838710023744</v>
      </c>
      <c r="S152" s="63">
        <v>0.045</v>
      </c>
      <c r="T152" s="63">
        <v>74.2776221069378</v>
      </c>
      <c r="U152" s="60">
        <v>85.4939331252053</v>
      </c>
      <c r="V152" s="60">
        <v>12.3936637807971</v>
      </c>
      <c r="W152" s="60">
        <v>72.8717060713759</v>
      </c>
      <c r="X152" s="60">
        <v>0.228563273032389</v>
      </c>
      <c r="Y152" s="60">
        <v>14.4965418337306</v>
      </c>
      <c r="Z152" s="60">
        <v>85.2361137306149</v>
      </c>
      <c r="AA152" s="60">
        <v>0.267344435654469</v>
      </c>
      <c r="AB152" s="60">
        <v>11.2163110182676</v>
      </c>
      <c r="AC152" s="60">
        <v>0</v>
      </c>
      <c r="AD152" s="97">
        <v>5.99979972839355</v>
      </c>
      <c r="AE152" s="97">
        <v>1.20019960403442</v>
      </c>
      <c r="AF152" s="97">
        <v>0</v>
      </c>
      <c r="AG152" s="60">
        <v>938.122736745988</v>
      </c>
      <c r="AH152" s="60">
        <v>69.5243000984192</v>
      </c>
      <c r="AI152" s="60">
        <v>65.0748999167918</v>
      </c>
      <c r="AJ152" s="60" t="s">
        <v>134</v>
      </c>
      <c r="AK152" s="55">
        <v>203.94016</v>
      </c>
      <c r="AL152" s="60">
        <v>15.69</v>
      </c>
      <c r="AM152" s="60">
        <v>0.259</v>
      </c>
      <c r="AN152" s="60">
        <v>14.568</v>
      </c>
      <c r="AO152" s="60">
        <v>3.174</v>
      </c>
      <c r="AP152" s="60">
        <v>0</v>
      </c>
      <c r="AQ152" s="60">
        <v>0</v>
      </c>
      <c r="AR152" s="60">
        <v>0</v>
      </c>
      <c r="AS152" s="60">
        <v>14.309</v>
      </c>
      <c r="AT152" s="60">
        <f t="shared" si="44"/>
        <v>32.31</v>
      </c>
      <c r="AU152" s="60">
        <f t="shared" si="45"/>
        <v>67.3125</v>
      </c>
      <c r="AV152" s="97">
        <v>0</v>
      </c>
      <c r="AW152" s="53" t="s">
        <v>647</v>
      </c>
      <c r="AX152" s="53" t="s">
        <v>514</v>
      </c>
      <c r="AY152" s="53" t="s">
        <v>134</v>
      </c>
      <c r="AZ152" s="53" t="s">
        <v>212</v>
      </c>
      <c r="BA152" s="102" t="s">
        <v>322</v>
      </c>
      <c r="BB152" s="53" t="s">
        <v>536</v>
      </c>
      <c r="BC152" s="56">
        <v>3</v>
      </c>
      <c r="BD152" s="56">
        <v>6</v>
      </c>
      <c r="BE152" s="59">
        <f>U152/((VLOOKUP(B152,'Cell-Characteristics'!$B$4:$E$34,3,FALSE)*VLOOKUP(B152,'Cell-Characteristics'!$B$4:$E$34,4,FALSE)*3600)/1000)</f>
        <v>1.9018126367001</v>
      </c>
      <c r="BF152" s="90">
        <f t="shared" si="41"/>
        <v>2065.67957962748</v>
      </c>
      <c r="BG152" s="90">
        <f t="shared" si="39"/>
        <v>60716.3223737289</v>
      </c>
      <c r="BH152" s="90" t="e">
        <f t="shared" si="40"/>
        <v>#DIV/0!</v>
      </c>
      <c r="BI152" s="90">
        <f t="shared" si="42"/>
        <v>35622.4754383589</v>
      </c>
      <c r="BJ152" s="90">
        <f>BF152/((VLOOKUP(B152,'Cell-Characteristics'!$B$4:$Q$34,13,FALSE)))</f>
        <v>56.2273280969972</v>
      </c>
      <c r="BK152" s="90">
        <f>BG152/((VLOOKUP(B152,'Cell-Characteristics'!$B$4:$Q$34,14,FALSE)))</f>
        <v>23872.1091349095</v>
      </c>
      <c r="BL152" s="90" t="e">
        <f>BH152/((VLOOKUP(B152,'Cell-Characteristics'!$B$4:$Q$34,15,FALSE)))</f>
        <v>#DIV/0!</v>
      </c>
      <c r="BM152" s="90">
        <f>BI152/((VLOOKUP(B152,'Cell-Characteristics'!$B$4:$Q$34,16,FALSE)))</f>
        <v>851.707012068411</v>
      </c>
      <c r="BN152" s="50">
        <f t="shared" si="43"/>
        <v>2.39999977747599</v>
      </c>
    </row>
    <row r="153" spans="2:66">
      <c r="B153" s="53" t="s">
        <v>32</v>
      </c>
      <c r="C153" s="107" t="s">
        <v>648</v>
      </c>
      <c r="D153" s="53" t="s">
        <v>391</v>
      </c>
      <c r="E153" s="55" t="s">
        <v>194</v>
      </c>
      <c r="F153" s="56" t="s">
        <v>392</v>
      </c>
      <c r="G153" s="56" t="s">
        <v>393</v>
      </c>
      <c r="H153" s="57">
        <v>43138</v>
      </c>
      <c r="I153" s="58" t="s">
        <v>134</v>
      </c>
      <c r="J153" s="58">
        <v>100</v>
      </c>
      <c r="K153" s="59" t="s">
        <v>134</v>
      </c>
      <c r="L153" s="60">
        <v>47.5</v>
      </c>
      <c r="M153" s="60">
        <v>37</v>
      </c>
      <c r="N153" s="60">
        <v>37</v>
      </c>
      <c r="O153" s="59" t="s">
        <v>197</v>
      </c>
      <c r="P153" s="59" t="s">
        <v>197</v>
      </c>
      <c r="Q153" s="61" t="s">
        <v>381</v>
      </c>
      <c r="R153" s="62">
        <v>60.2092472271592</v>
      </c>
      <c r="S153" s="63">
        <v>0.04</v>
      </c>
      <c r="T153" s="63">
        <v>61.8677660333664</v>
      </c>
      <c r="U153" s="60">
        <v>68.0845702033764</v>
      </c>
      <c r="V153" s="60">
        <v>15.8465115002014</v>
      </c>
      <c r="W153" s="60">
        <v>52.0623832958171</v>
      </c>
      <c r="X153" s="60">
        <v>0.175675407357891</v>
      </c>
      <c r="Y153" s="60">
        <v>23.2747470577637</v>
      </c>
      <c r="Z153" s="60">
        <v>76.4672276556947</v>
      </c>
      <c r="AA153" s="60">
        <v>0.258025286541618</v>
      </c>
      <c r="AB153" s="60">
        <v>6.21680417001</v>
      </c>
      <c r="AC153" s="60">
        <v>0</v>
      </c>
      <c r="AD153" s="97">
        <v>3.90579986572266</v>
      </c>
      <c r="AE153" s="97">
        <v>2.70440006256104</v>
      </c>
      <c r="AF153" s="97">
        <v>0</v>
      </c>
      <c r="AG153" s="60">
        <v>903.474570548079</v>
      </c>
      <c r="AH153" s="60">
        <v>42.2536997795105</v>
      </c>
      <c r="AI153" s="60">
        <v>35.4145008356008</v>
      </c>
      <c r="AJ153" s="60" t="s">
        <v>134</v>
      </c>
      <c r="AK153" s="55">
        <v>102.485325</v>
      </c>
      <c r="AL153" s="60">
        <v>21.8</v>
      </c>
      <c r="AM153" s="60">
        <v>1.4</v>
      </c>
      <c r="AN153" s="60">
        <v>12.7</v>
      </c>
      <c r="AO153" s="60">
        <v>1.1</v>
      </c>
      <c r="AP153" s="60">
        <v>0</v>
      </c>
      <c r="AQ153" s="60">
        <v>0</v>
      </c>
      <c r="AR153" s="60">
        <v>0</v>
      </c>
      <c r="AS153" s="60">
        <v>10.5</v>
      </c>
      <c r="AT153" s="60">
        <f t="shared" si="44"/>
        <v>25.7</v>
      </c>
      <c r="AU153" s="60">
        <f t="shared" si="45"/>
        <v>54.1052631578947</v>
      </c>
      <c r="AV153" s="97">
        <v>0</v>
      </c>
      <c r="AW153" s="53" t="s">
        <v>649</v>
      </c>
      <c r="AX153" s="53" t="s">
        <v>625</v>
      </c>
      <c r="AY153" s="53" t="s">
        <v>650</v>
      </c>
      <c r="AZ153" s="53" t="s">
        <v>203</v>
      </c>
      <c r="BA153" s="53" t="s">
        <v>204</v>
      </c>
      <c r="BB153" s="53" t="s">
        <v>651</v>
      </c>
      <c r="BC153" s="56">
        <v>5</v>
      </c>
      <c r="BD153" s="56">
        <v>10</v>
      </c>
      <c r="BE153" s="59">
        <f>U153/((VLOOKUP(B153,'Cell-Characteristics'!$B$4:$E$34,3,FALSE)*VLOOKUP(B153,'Cell-Characteristics'!$B$4:$E$34,4,FALSE)*3600)/1000)</f>
        <v>1.51454133929536</v>
      </c>
      <c r="BF153" s="90">
        <f t="shared" si="41"/>
        <v>4057.17447001587</v>
      </c>
      <c r="BG153" s="90">
        <f t="shared" si="39"/>
        <v>19250.9917510188</v>
      </c>
      <c r="BH153" s="90" t="e">
        <f t="shared" si="40"/>
        <v>#DIV/0!</v>
      </c>
      <c r="BI153" s="90">
        <f t="shared" si="42"/>
        <v>30899.7780439544</v>
      </c>
      <c r="BJ153" s="90">
        <f>BF153/((VLOOKUP(B153,'Cell-Characteristics'!$B$4:$Q$34,13,FALSE)))</f>
        <v>110.435365834174</v>
      </c>
      <c r="BK153" s="90">
        <f>BG153/((VLOOKUP(B153,'Cell-Characteristics'!$B$4:$Q$34,14,FALSE)))</f>
        <v>7568.99887985325</v>
      </c>
      <c r="BL153" s="90" t="e">
        <f>BH153/((VLOOKUP(B153,'Cell-Characteristics'!$B$4:$Q$34,15,FALSE)))</f>
        <v>#DIV/0!</v>
      </c>
      <c r="BM153" s="90">
        <f>BI153/((VLOOKUP(B153,'Cell-Characteristics'!$B$4:$Q$34,16,FALSE)))</f>
        <v>738.790814157016</v>
      </c>
      <c r="BN153" s="50">
        <f t="shared" si="43"/>
        <v>2.20339997609456</v>
      </c>
    </row>
    <row r="154" spans="2:66">
      <c r="B154" s="53" t="s">
        <v>32</v>
      </c>
      <c r="C154" s="107" t="s">
        <v>652</v>
      </c>
      <c r="D154" s="53" t="s">
        <v>391</v>
      </c>
      <c r="E154" s="55" t="s">
        <v>194</v>
      </c>
      <c r="F154" s="56" t="s">
        <v>392</v>
      </c>
      <c r="G154" s="56" t="s">
        <v>393</v>
      </c>
      <c r="H154" s="57">
        <v>43138</v>
      </c>
      <c r="I154" s="58" t="s">
        <v>134</v>
      </c>
      <c r="J154" s="58">
        <v>100</v>
      </c>
      <c r="K154" s="59" t="s">
        <v>134</v>
      </c>
      <c r="L154" s="60">
        <v>47.5</v>
      </c>
      <c r="M154" s="60">
        <v>37</v>
      </c>
      <c r="N154" s="60">
        <v>37</v>
      </c>
      <c r="O154" s="59" t="s">
        <v>197</v>
      </c>
      <c r="P154" s="59" t="s">
        <v>197</v>
      </c>
      <c r="Q154" s="61" t="s">
        <v>381</v>
      </c>
      <c r="R154" s="62">
        <v>64.4831199324206</v>
      </c>
      <c r="S154" s="63">
        <v>0.022</v>
      </c>
      <c r="T154" s="63">
        <v>65.5428340398134</v>
      </c>
      <c r="U154" s="60">
        <v>69.4301763660254</v>
      </c>
      <c r="V154" s="60">
        <v>18.7542773756728</v>
      </c>
      <c r="W154" s="60">
        <v>50.4713507595158</v>
      </c>
      <c r="X154" s="60">
        <v>0.204548230836817</v>
      </c>
      <c r="Y154" s="60">
        <v>27.0117092556457</v>
      </c>
      <c r="Z154" s="60">
        <v>72.6936807612852</v>
      </c>
      <c r="AA154" s="60">
        <v>0.294609983069133</v>
      </c>
      <c r="AB154" s="60">
        <v>3.887342326212</v>
      </c>
      <c r="AC154" s="60">
        <v>0</v>
      </c>
      <c r="AD154" s="97">
        <v>2.7076997756958</v>
      </c>
      <c r="AE154" s="97">
        <v>2.10639953613281</v>
      </c>
      <c r="AF154" s="97">
        <v>0</v>
      </c>
      <c r="AG154" s="60">
        <v>906.375190878552</v>
      </c>
      <c r="AH154" s="60">
        <v>46.1624002456665</v>
      </c>
      <c r="AI154" s="60">
        <v>41.9204615667957</v>
      </c>
      <c r="AJ154" s="60" t="s">
        <v>134</v>
      </c>
      <c r="AK154" s="55">
        <v>135.8228</v>
      </c>
      <c r="AL154" s="60">
        <v>23.6</v>
      </c>
      <c r="AM154" s="60">
        <v>0.5</v>
      </c>
      <c r="AN154" s="60">
        <v>11.3</v>
      </c>
      <c r="AO154" s="60">
        <v>0.8</v>
      </c>
      <c r="AP154" s="60">
        <v>0</v>
      </c>
      <c r="AQ154" s="60">
        <v>0</v>
      </c>
      <c r="AR154" s="60">
        <v>0</v>
      </c>
      <c r="AS154" s="60">
        <v>11.3</v>
      </c>
      <c r="AT154" s="60">
        <f t="shared" si="44"/>
        <v>23.9</v>
      </c>
      <c r="AU154" s="60">
        <f t="shared" si="45"/>
        <v>50.3157894736842</v>
      </c>
      <c r="AV154" s="97">
        <v>0</v>
      </c>
      <c r="AW154" s="53" t="s">
        <v>653</v>
      </c>
      <c r="AX154" s="53" t="s">
        <v>625</v>
      </c>
      <c r="AY154" s="53" t="s">
        <v>654</v>
      </c>
      <c r="AZ154" s="53" t="s">
        <v>203</v>
      </c>
      <c r="BA154" s="53" t="s">
        <v>204</v>
      </c>
      <c r="BB154" s="53" t="s">
        <v>655</v>
      </c>
      <c r="BC154" s="56">
        <v>4</v>
      </c>
      <c r="BD154" s="56">
        <v>8</v>
      </c>
      <c r="BE154" s="59">
        <f>U154/((VLOOKUP(B154,'Cell-Characteristics'!$B$4:$E$34,3,FALSE)*VLOOKUP(B154,'Cell-Characteristics'!$B$4:$E$34,4,FALSE)*3600)/1000)</f>
        <v>1.54447434986816</v>
      </c>
      <c r="BF154" s="90">
        <f t="shared" si="41"/>
        <v>6926.27651854552</v>
      </c>
      <c r="BG154" s="90">
        <f t="shared" si="39"/>
        <v>23960.9579729482</v>
      </c>
      <c r="BH154" s="90" t="e">
        <f t="shared" si="40"/>
        <v>#DIV/0!</v>
      </c>
      <c r="BI154" s="90">
        <f t="shared" si="42"/>
        <v>43266.7702941421</v>
      </c>
      <c r="BJ154" s="90">
        <f>BF154/((VLOOKUP(B154,'Cell-Characteristics'!$B$4:$Q$34,13,FALSE)))</f>
        <v>188.531670710042</v>
      </c>
      <c r="BK154" s="90">
        <f>BG154/((VLOOKUP(B154,'Cell-Characteristics'!$B$4:$Q$34,14,FALSE)))</f>
        <v>9420.83745102939</v>
      </c>
      <c r="BL154" s="90" t="e">
        <f>BH154/((VLOOKUP(B154,'Cell-Characteristics'!$B$4:$Q$34,15,FALSE)))</f>
        <v>#DIV/0!</v>
      </c>
      <c r="BM154" s="90">
        <f>BI154/((VLOOKUP(B154,'Cell-Characteristics'!$B$4:$Q$34,16,FALSE)))</f>
        <v>1034.47644206648</v>
      </c>
      <c r="BN154" s="50">
        <f t="shared" si="43"/>
        <v>1.60469977060954</v>
      </c>
    </row>
    <row r="155" spans="2:66">
      <c r="B155" s="53" t="s">
        <v>32</v>
      </c>
      <c r="C155" s="107" t="s">
        <v>656</v>
      </c>
      <c r="D155" s="53" t="s">
        <v>391</v>
      </c>
      <c r="E155" s="55" t="s">
        <v>194</v>
      </c>
      <c r="F155" s="56" t="s">
        <v>392</v>
      </c>
      <c r="G155" s="56" t="s">
        <v>393</v>
      </c>
      <c r="H155" s="57">
        <v>43138</v>
      </c>
      <c r="I155" s="58" t="s">
        <v>134</v>
      </c>
      <c r="J155" s="58">
        <v>100</v>
      </c>
      <c r="K155" s="59" t="s">
        <v>134</v>
      </c>
      <c r="L155" s="60">
        <v>47.5</v>
      </c>
      <c r="M155" s="60">
        <v>37</v>
      </c>
      <c r="N155" s="60">
        <v>37</v>
      </c>
      <c r="O155" s="59" t="s">
        <v>197</v>
      </c>
      <c r="P155" s="59" t="s">
        <v>197</v>
      </c>
      <c r="Q155" s="61" t="s">
        <v>381</v>
      </c>
      <c r="R155" s="62">
        <v>66.9233467525513</v>
      </c>
      <c r="S155" s="63">
        <v>0.032</v>
      </c>
      <c r="T155" s="63">
        <v>68.5142024020316</v>
      </c>
      <c r="U155" s="60">
        <v>72.9368520356996</v>
      </c>
      <c r="V155" s="60">
        <v>15.9831473080017</v>
      </c>
      <c r="W155" s="60">
        <v>56.1232391513805</v>
      </c>
      <c r="X155" s="60">
        <v>0.830465576317372</v>
      </c>
      <c r="Y155" s="60">
        <v>21.9136785615297</v>
      </c>
      <c r="Z155" s="60">
        <v>76.9477124182854</v>
      </c>
      <c r="AA155" s="60">
        <v>1.13860902018488</v>
      </c>
      <c r="AB155" s="60">
        <v>4.422649633668</v>
      </c>
      <c r="AC155" s="60">
        <v>0</v>
      </c>
      <c r="AD155" s="97">
        <v>6.10710000991821</v>
      </c>
      <c r="AE155" s="97">
        <v>2.00279998779297</v>
      </c>
      <c r="AF155" s="97">
        <v>0</v>
      </c>
      <c r="AG155" s="60">
        <v>907.087461683495</v>
      </c>
      <c r="AH155" s="60">
        <v>41.1554999351501</v>
      </c>
      <c r="AI155" s="60">
        <v>37.407169451861</v>
      </c>
      <c r="AJ155" s="60" t="s">
        <v>134</v>
      </c>
      <c r="AK155" s="55">
        <v>121.39681</v>
      </c>
      <c r="AL155" s="60">
        <v>20.8</v>
      </c>
      <c r="AM155" s="60">
        <v>0.9</v>
      </c>
      <c r="AN155" s="60">
        <v>12.5</v>
      </c>
      <c r="AO155" s="60">
        <v>1.2</v>
      </c>
      <c r="AP155" s="60">
        <v>0.1</v>
      </c>
      <c r="AQ155" s="60">
        <v>0.1</v>
      </c>
      <c r="AR155" s="60">
        <v>0</v>
      </c>
      <c r="AS155" s="60">
        <v>11.9</v>
      </c>
      <c r="AT155" s="60">
        <f t="shared" si="44"/>
        <v>26.7</v>
      </c>
      <c r="AU155" s="60">
        <f t="shared" si="45"/>
        <v>56.2105263157895</v>
      </c>
      <c r="AV155" s="97">
        <v>0</v>
      </c>
      <c r="AW155" s="53" t="s">
        <v>657</v>
      </c>
      <c r="AX155" s="53" t="s">
        <v>625</v>
      </c>
      <c r="AY155" s="53" t="s">
        <v>658</v>
      </c>
      <c r="AZ155" s="53" t="s">
        <v>203</v>
      </c>
      <c r="BA155" s="53" t="s">
        <v>204</v>
      </c>
      <c r="BB155" s="53" t="s">
        <v>659</v>
      </c>
      <c r="BC155" s="56">
        <v>5</v>
      </c>
      <c r="BD155" s="56">
        <v>10</v>
      </c>
      <c r="BE155" s="59">
        <f>U155/((VLOOKUP(B155,'Cell-Characteristics'!$B$4:$E$34,3,FALSE)*VLOOKUP(B155,'Cell-Characteristics'!$B$4:$E$34,4,FALSE)*3600)/1000)</f>
        <v>1.62248035400916</v>
      </c>
      <c r="BF155" s="90">
        <f t="shared" si="41"/>
        <v>2617.14189747087</v>
      </c>
      <c r="BG155" s="90">
        <f t="shared" si="39"/>
        <v>28022.3884029612</v>
      </c>
      <c r="BH155" s="90" t="e">
        <f t="shared" si="40"/>
        <v>#DIV/0!</v>
      </c>
      <c r="BI155" s="90">
        <f t="shared" si="42"/>
        <v>26980.6725321956</v>
      </c>
      <c r="BJ155" s="90">
        <f>BF155/((VLOOKUP(B155,'Cell-Characteristics'!$B$4:$Q$34,13,FALSE)))</f>
        <v>71.2380068994195</v>
      </c>
      <c r="BK155" s="90">
        <f>BG155/((VLOOKUP(B155,'Cell-Characteristics'!$B$4:$Q$34,14,FALSE)))</f>
        <v>11017.6882924279</v>
      </c>
      <c r="BL155" s="90" t="e">
        <f>BH155/((VLOOKUP(B155,'Cell-Characteristics'!$B$4:$Q$34,15,FALSE)))</f>
        <v>#DIV/0!</v>
      </c>
      <c r="BM155" s="90">
        <f>BI155/((VLOOKUP(B155,'Cell-Characteristics'!$B$4:$Q$34,16,FALSE)))</f>
        <v>645.087903162611</v>
      </c>
      <c r="BN155" s="50">
        <f t="shared" si="43"/>
        <v>2.70329999923706</v>
      </c>
    </row>
    <row r="156" spans="2:66">
      <c r="B156" s="53" t="s">
        <v>32</v>
      </c>
      <c r="C156" s="53" t="s">
        <v>660</v>
      </c>
      <c r="D156" s="53" t="s">
        <v>391</v>
      </c>
      <c r="E156" s="55" t="s">
        <v>194</v>
      </c>
      <c r="F156" s="56" t="s">
        <v>392</v>
      </c>
      <c r="G156" s="56" t="s">
        <v>393</v>
      </c>
      <c r="H156" s="57">
        <v>43138</v>
      </c>
      <c r="I156" s="58" t="s">
        <v>134</v>
      </c>
      <c r="J156" s="58">
        <v>100</v>
      </c>
      <c r="K156" s="59" t="s">
        <v>134</v>
      </c>
      <c r="L156" s="60">
        <v>47.5</v>
      </c>
      <c r="M156" s="60">
        <v>37</v>
      </c>
      <c r="N156" s="60">
        <v>37</v>
      </c>
      <c r="O156" s="59" t="s">
        <v>197</v>
      </c>
      <c r="P156" s="59" t="s">
        <v>197</v>
      </c>
      <c r="Q156" s="61" t="s">
        <v>381</v>
      </c>
      <c r="R156" s="62">
        <v>64.0048462983284</v>
      </c>
      <c r="S156" s="63">
        <v>0.032</v>
      </c>
      <c r="T156" s="63">
        <v>65.0449850368781</v>
      </c>
      <c r="U156" s="60">
        <v>71.0302708864181</v>
      </c>
      <c r="V156" s="60">
        <v>11.5910119062618</v>
      </c>
      <c r="W156" s="60">
        <v>58.6369674305224</v>
      </c>
      <c r="X156" s="60">
        <v>0.802291549633893</v>
      </c>
      <c r="Y156" s="60">
        <v>16.3184115189375</v>
      </c>
      <c r="Z156" s="60">
        <v>82.552081948676</v>
      </c>
      <c r="AA156" s="60">
        <v>1.12950653238646</v>
      </c>
      <c r="AB156" s="60">
        <v>5.98528584954</v>
      </c>
      <c r="AC156" s="60">
        <v>0</v>
      </c>
      <c r="AD156" s="97">
        <v>5.60449981689453</v>
      </c>
      <c r="AE156" s="97">
        <v>1.90310001373291</v>
      </c>
      <c r="AF156" s="97">
        <v>0</v>
      </c>
      <c r="AG156" s="60">
        <v>906.798520767696</v>
      </c>
      <c r="AH156" s="60">
        <v>45.8551001548767</v>
      </c>
      <c r="AI156" s="60">
        <v>41.6527749852395</v>
      </c>
      <c r="AJ156" s="60" t="s">
        <v>134</v>
      </c>
      <c r="AK156" s="55">
        <v>135.79593</v>
      </c>
      <c r="AL156" s="60">
        <v>19.8</v>
      </c>
      <c r="AM156" s="60">
        <v>0.8</v>
      </c>
      <c r="AN156" s="60">
        <v>14</v>
      </c>
      <c r="AO156" s="60">
        <v>1.6</v>
      </c>
      <c r="AP156" s="60">
        <v>0</v>
      </c>
      <c r="AQ156" s="60">
        <v>0.2</v>
      </c>
      <c r="AR156" s="60">
        <v>0</v>
      </c>
      <c r="AS156" s="60">
        <v>11.1</v>
      </c>
      <c r="AT156" s="60">
        <f t="shared" si="44"/>
        <v>27.7</v>
      </c>
      <c r="AU156" s="60">
        <f t="shared" si="45"/>
        <v>58.3157894736842</v>
      </c>
      <c r="AV156" s="97">
        <v>0</v>
      </c>
      <c r="AW156" s="53" t="s">
        <v>661</v>
      </c>
      <c r="AX156" s="53" t="s">
        <v>625</v>
      </c>
      <c r="AY156" s="53" t="s">
        <v>662</v>
      </c>
      <c r="AZ156" s="53" t="s">
        <v>203</v>
      </c>
      <c r="BA156" s="102" t="s">
        <v>322</v>
      </c>
      <c r="BB156" s="53" t="s">
        <v>663</v>
      </c>
      <c r="BC156" s="56">
        <v>6</v>
      </c>
      <c r="BD156" s="56">
        <v>12</v>
      </c>
      <c r="BE156" s="59">
        <f>U156/((VLOOKUP(B156,'Cell-Characteristics'!$B$4:$E$34,3,FALSE)*VLOOKUP(B156,'Cell-Characteristics'!$B$4:$E$34,4,FALSE)*3600)/1000)</f>
        <v>1.58006845423977</v>
      </c>
      <c r="BF156" s="90">
        <f t="shared" si="41"/>
        <v>2068.16170665599</v>
      </c>
      <c r="BG156" s="90">
        <f t="shared" si="39"/>
        <v>30811.290529869</v>
      </c>
      <c r="BH156" s="90" t="e">
        <f t="shared" si="40"/>
        <v>#DIV/0!</v>
      </c>
      <c r="BI156" s="90">
        <f t="shared" si="42"/>
        <v>28383.3472037155</v>
      </c>
      <c r="BJ156" s="90">
        <f>BF156/((VLOOKUP(B156,'Cell-Characteristics'!$B$4:$Q$34,13,FALSE)))</f>
        <v>56.294891029887</v>
      </c>
      <c r="BK156" s="90">
        <f>BG156/((VLOOKUP(B156,'Cell-Characteristics'!$B$4:$Q$34,14,FALSE)))</f>
        <v>12114.2134661748</v>
      </c>
      <c r="BL156" s="90" t="e">
        <f>BH156/((VLOOKUP(B156,'Cell-Characteristics'!$B$4:$Q$34,15,FALSE)))</f>
        <v>#DIV/0!</v>
      </c>
      <c r="BM156" s="90">
        <f>BI156/((VLOOKUP(B156,'Cell-Characteristics'!$B$4:$Q$34,16,FALSE)))</f>
        <v>678.624815987536</v>
      </c>
      <c r="BN156" s="50">
        <f t="shared" si="43"/>
        <v>2.50253327687581</v>
      </c>
    </row>
    <row r="157" spans="2:66">
      <c r="B157" s="53" t="s">
        <v>32</v>
      </c>
      <c r="C157" s="107" t="s">
        <v>664</v>
      </c>
      <c r="D157" s="53" t="s">
        <v>391</v>
      </c>
      <c r="E157" s="55" t="s">
        <v>194</v>
      </c>
      <c r="F157" s="56" t="s">
        <v>392</v>
      </c>
      <c r="G157" s="56" t="s">
        <v>393</v>
      </c>
      <c r="H157" s="57">
        <v>43138</v>
      </c>
      <c r="I157" s="58" t="s">
        <v>134</v>
      </c>
      <c r="J157" s="58">
        <v>100</v>
      </c>
      <c r="K157" s="59" t="s">
        <v>134</v>
      </c>
      <c r="L157" s="60">
        <v>47.5</v>
      </c>
      <c r="M157" s="60">
        <v>37</v>
      </c>
      <c r="N157" s="60">
        <v>37</v>
      </c>
      <c r="O157" s="59" t="s">
        <v>197</v>
      </c>
      <c r="P157" s="59" t="s">
        <v>197</v>
      </c>
      <c r="Q157" s="61" t="s">
        <v>407</v>
      </c>
      <c r="R157" s="62">
        <v>63.121452558871</v>
      </c>
      <c r="S157" s="63">
        <v>0.022</v>
      </c>
      <c r="T157" s="63">
        <v>64.3020201490407</v>
      </c>
      <c r="U157" s="60">
        <v>65.9782854721557</v>
      </c>
      <c r="V157" s="60">
        <v>21.4061316555155</v>
      </c>
      <c r="W157" s="60">
        <v>36.36411778053</v>
      </c>
      <c r="X157" s="60">
        <v>8.20803603611021</v>
      </c>
      <c r="Y157" s="60">
        <v>32.444207215038</v>
      </c>
      <c r="Z157" s="60">
        <v>55.1152815207307</v>
      </c>
      <c r="AA157" s="60">
        <v>12.4405112642313</v>
      </c>
      <c r="AB157" s="60">
        <v>1.4379310407</v>
      </c>
      <c r="AC157" s="60">
        <v>0.238334282415</v>
      </c>
      <c r="AD157" s="97">
        <v>3.00430011749268</v>
      </c>
      <c r="AE157" s="97">
        <v>2.10190010070801</v>
      </c>
      <c r="AF157" s="97">
        <v>1.70239973068237</v>
      </c>
      <c r="AG157" s="60">
        <v>906.891574376437</v>
      </c>
      <c r="AH157" s="60">
        <v>58.9464001655579</v>
      </c>
      <c r="AI157" s="60">
        <v>53.5886241664146</v>
      </c>
      <c r="AJ157" s="60" t="s">
        <v>134</v>
      </c>
      <c r="AK157" s="55">
        <v>175.160875</v>
      </c>
      <c r="AL157" s="60">
        <v>26.1</v>
      </c>
      <c r="AM157" s="60">
        <v>0.9</v>
      </c>
      <c r="AN157" s="60">
        <v>6.7</v>
      </c>
      <c r="AO157" s="60">
        <v>1</v>
      </c>
      <c r="AP157" s="60">
        <v>0</v>
      </c>
      <c r="AQ157" s="60">
        <v>1.3</v>
      </c>
      <c r="AR157" s="60">
        <v>0</v>
      </c>
      <c r="AS157" s="60">
        <v>11.5</v>
      </c>
      <c r="AT157" s="60">
        <f t="shared" si="44"/>
        <v>21.4</v>
      </c>
      <c r="AU157" s="60">
        <f t="shared" si="45"/>
        <v>45.0526315789474</v>
      </c>
      <c r="AV157" s="97">
        <v>0</v>
      </c>
      <c r="AW157" s="53" t="s">
        <v>665</v>
      </c>
      <c r="AX157" s="53" t="s">
        <v>395</v>
      </c>
      <c r="AY157" s="53" t="s">
        <v>666</v>
      </c>
      <c r="AZ157" s="53" t="s">
        <v>203</v>
      </c>
      <c r="BA157" s="53" t="s">
        <v>204</v>
      </c>
      <c r="BB157" s="53" t="s">
        <v>460</v>
      </c>
      <c r="BC157" s="56">
        <v>5</v>
      </c>
      <c r="BD157" s="56">
        <v>10</v>
      </c>
      <c r="BE157" s="59">
        <f>U157/((VLOOKUP(B157,'Cell-Characteristics'!$B$4:$E$34,3,FALSE)*VLOOKUP(B157,'Cell-Characteristics'!$B$4:$E$34,4,FALSE)*3600)/1000)</f>
        <v>1.46768703312538</v>
      </c>
      <c r="BF157" s="90">
        <f t="shared" si="41"/>
        <v>7125.16420409443</v>
      </c>
      <c r="BG157" s="90">
        <f t="shared" si="39"/>
        <v>17300.5928151776</v>
      </c>
      <c r="BH157" s="90">
        <f t="shared" si="40"/>
        <v>4821.45050200412</v>
      </c>
      <c r="BI157" s="90">
        <f t="shared" si="42"/>
        <v>29071.3006936086</v>
      </c>
      <c r="BJ157" s="90">
        <f>BF157/((VLOOKUP(B157,'Cell-Characteristics'!$B$4:$Q$34,13,FALSE)))</f>
        <v>193.945348252339</v>
      </c>
      <c r="BK157" s="90">
        <f>BG157/((VLOOKUP(B157,'Cell-Characteristics'!$B$4:$Q$34,14,FALSE)))</f>
        <v>6802.1517713209</v>
      </c>
      <c r="BL157" s="90">
        <f>BH157/((VLOOKUP(B157,'Cell-Characteristics'!$B$4:$Q$34,15,FALSE)))</f>
        <v>1895.67134623108</v>
      </c>
      <c r="BM157" s="90">
        <f>BI157/((VLOOKUP(B157,'Cell-Characteristics'!$B$4:$Q$34,16,FALSE)))</f>
        <v>695.073274555014</v>
      </c>
      <c r="BN157" s="50">
        <f t="shared" si="43"/>
        <v>2.26953331629435</v>
      </c>
    </row>
    <row r="158" spans="2:66">
      <c r="B158" s="53" t="s">
        <v>32</v>
      </c>
      <c r="C158" s="107" t="s">
        <v>667</v>
      </c>
      <c r="D158" s="53" t="s">
        <v>391</v>
      </c>
      <c r="E158" s="55" t="s">
        <v>194</v>
      </c>
      <c r="F158" s="56" t="s">
        <v>392</v>
      </c>
      <c r="G158" s="56" t="s">
        <v>393</v>
      </c>
      <c r="H158" s="57">
        <v>43138</v>
      </c>
      <c r="I158" s="58" t="s">
        <v>134</v>
      </c>
      <c r="J158" s="58">
        <v>100</v>
      </c>
      <c r="K158" s="59" t="s">
        <v>134</v>
      </c>
      <c r="L158" s="60">
        <v>47.5</v>
      </c>
      <c r="M158" s="60">
        <v>37</v>
      </c>
      <c r="N158" s="60">
        <v>37</v>
      </c>
      <c r="O158" s="59" t="s">
        <v>197</v>
      </c>
      <c r="P158" s="59" t="s">
        <v>197</v>
      </c>
      <c r="Q158" s="61" t="s">
        <v>407</v>
      </c>
      <c r="R158" s="62">
        <v>65.4016049151671</v>
      </c>
      <c r="S158" s="63">
        <v>0.04</v>
      </c>
      <c r="T158" s="63">
        <v>68.7943824067923</v>
      </c>
      <c r="U158" s="60">
        <v>70.4800040346663</v>
      </c>
      <c r="V158" s="60">
        <v>15.1700799048909</v>
      </c>
      <c r="W158" s="60">
        <v>41.4101815200316</v>
      </c>
      <c r="X158" s="60">
        <v>13.8997426097438</v>
      </c>
      <c r="Y158" s="60">
        <v>21.5239486896586</v>
      </c>
      <c r="Z158" s="60">
        <v>58.7545107115255</v>
      </c>
      <c r="AA158" s="60">
        <v>19.7215405988159</v>
      </c>
      <c r="AB158" s="60">
        <v>1.14679988769</v>
      </c>
      <c r="AC158" s="60">
        <v>0.538821740184</v>
      </c>
      <c r="AD158" s="97">
        <v>2.30210018157959</v>
      </c>
      <c r="AE158" s="97">
        <v>1.80180025100708</v>
      </c>
      <c r="AF158" s="97">
        <v>2.30210018157959</v>
      </c>
      <c r="AG158" s="60">
        <v>907.46606547957</v>
      </c>
      <c r="AH158" s="60">
        <v>74.7786998748779</v>
      </c>
      <c r="AI158" s="60">
        <v>67.947021055172</v>
      </c>
      <c r="AJ158" s="60" t="s">
        <v>134</v>
      </c>
      <c r="AK158" s="55">
        <v>215.36806</v>
      </c>
      <c r="AL158" s="60">
        <v>23.3</v>
      </c>
      <c r="AM158" s="60">
        <v>0.4</v>
      </c>
      <c r="AN158" s="60">
        <v>9.6</v>
      </c>
      <c r="AO158" s="60">
        <v>0.5</v>
      </c>
      <c r="AP158" s="60">
        <v>0.2</v>
      </c>
      <c r="AQ158" s="60">
        <v>2.7</v>
      </c>
      <c r="AR158" s="60">
        <v>0.2</v>
      </c>
      <c r="AS158" s="60">
        <v>10.6</v>
      </c>
      <c r="AT158" s="60">
        <f t="shared" si="44"/>
        <v>24.2</v>
      </c>
      <c r="AU158" s="60">
        <f t="shared" si="45"/>
        <v>50.9473684210526</v>
      </c>
      <c r="AV158" s="97">
        <v>0</v>
      </c>
      <c r="AW158" s="53" t="s">
        <v>668</v>
      </c>
      <c r="AX158" s="53" t="s">
        <v>395</v>
      </c>
      <c r="AY158" s="53" t="s">
        <v>669</v>
      </c>
      <c r="AZ158" s="53" t="s">
        <v>212</v>
      </c>
      <c r="BA158" s="53" t="s">
        <v>204</v>
      </c>
      <c r="BB158" s="53" t="s">
        <v>403</v>
      </c>
      <c r="BC158" s="56">
        <v>4</v>
      </c>
      <c r="BD158" s="56">
        <v>8</v>
      </c>
      <c r="BE158" s="59">
        <f>U158/((VLOOKUP(B158,'Cell-Characteristics'!$B$4:$E$34,3,FALSE)*VLOOKUP(B158,'Cell-Characteristics'!$B$4:$E$34,4,FALSE)*3600)/1000)</f>
        <v>1.56782776751541</v>
      </c>
      <c r="BF158" s="90">
        <f t="shared" si="41"/>
        <v>6589.66973995106</v>
      </c>
      <c r="BG158" s="90">
        <f t="shared" si="39"/>
        <v>22982.6705245969</v>
      </c>
      <c r="BH158" s="90">
        <f t="shared" si="40"/>
        <v>6037.85305303545</v>
      </c>
      <c r="BI158" s="90">
        <f t="shared" si="42"/>
        <v>33006.55507844</v>
      </c>
      <c r="BJ158" s="90">
        <f>BF158/((VLOOKUP(B158,'Cell-Characteristics'!$B$4:$Q$34,13,FALSE)))</f>
        <v>179.36931079403</v>
      </c>
      <c r="BK158" s="90">
        <f>BG158/((VLOOKUP(B158,'Cell-Characteristics'!$B$4:$Q$34,14,FALSE)))</f>
        <v>9036.19978162965</v>
      </c>
      <c r="BL158" s="90">
        <f>BH158/((VLOOKUP(B158,'Cell-Characteristics'!$B$4:$Q$34,15,FALSE)))</f>
        <v>2373.92979988812</v>
      </c>
      <c r="BM158" s="90">
        <f>BI158/((VLOOKUP(B158,'Cell-Characteristics'!$B$4:$Q$34,16,FALSE)))</f>
        <v>789.162293147605</v>
      </c>
      <c r="BN158" s="50">
        <f t="shared" si="43"/>
        <v>2.13533353805542</v>
      </c>
    </row>
    <row r="159" spans="2:66">
      <c r="B159" s="53" t="s">
        <v>32</v>
      </c>
      <c r="C159" s="107" t="s">
        <v>670</v>
      </c>
      <c r="D159" s="53" t="s">
        <v>391</v>
      </c>
      <c r="E159" s="55" t="s">
        <v>194</v>
      </c>
      <c r="F159" s="56" t="s">
        <v>392</v>
      </c>
      <c r="G159" s="56" t="s">
        <v>393</v>
      </c>
      <c r="H159" s="57">
        <v>43139</v>
      </c>
      <c r="I159" s="58" t="s">
        <v>134</v>
      </c>
      <c r="J159" s="58">
        <v>100</v>
      </c>
      <c r="K159" s="59" t="s">
        <v>134</v>
      </c>
      <c r="L159" s="60">
        <v>47.5</v>
      </c>
      <c r="M159" s="60">
        <v>37</v>
      </c>
      <c r="N159" s="60">
        <v>37</v>
      </c>
      <c r="O159" s="59" t="s">
        <v>197</v>
      </c>
      <c r="P159" s="59" t="s">
        <v>197</v>
      </c>
      <c r="Q159" s="61" t="s">
        <v>381</v>
      </c>
      <c r="R159" s="62">
        <v>70.6641862306233</v>
      </c>
      <c r="S159" s="63">
        <v>0.045</v>
      </c>
      <c r="T159" s="63">
        <v>72.7008992460567</v>
      </c>
      <c r="U159" s="60">
        <v>84.1428327322227</v>
      </c>
      <c r="V159" s="60">
        <v>13.7849763451527</v>
      </c>
      <c r="W159" s="60">
        <v>70.205705623751</v>
      </c>
      <c r="X159" s="60">
        <v>0.152150763319102</v>
      </c>
      <c r="Y159" s="60">
        <v>16.3828289321114</v>
      </c>
      <c r="Z159" s="60">
        <v>83.4363466787177</v>
      </c>
      <c r="AA159" s="60">
        <v>0.180824389170862</v>
      </c>
      <c r="AB159" s="60">
        <v>11.441933486166</v>
      </c>
      <c r="AC159" s="60">
        <v>0</v>
      </c>
      <c r="AD159" s="97">
        <v>2.70580005645752</v>
      </c>
      <c r="AE159" s="97">
        <v>1.80390024185181</v>
      </c>
      <c r="AF159" s="97">
        <v>0</v>
      </c>
      <c r="AG159" s="60">
        <v>906.15954978096</v>
      </c>
      <c r="AH159" s="60">
        <v>38.6526999473572</v>
      </c>
      <c r="AI159" s="60">
        <v>35.1305578784049</v>
      </c>
      <c r="AJ159" s="60" t="s">
        <v>134</v>
      </c>
      <c r="AK159" s="55">
        <v>105.462225</v>
      </c>
      <c r="AL159" s="60">
        <v>16.2</v>
      </c>
      <c r="AM159" s="60">
        <v>1.7</v>
      </c>
      <c r="AN159" s="60">
        <v>14.5</v>
      </c>
      <c r="AO159" s="60">
        <v>2.4</v>
      </c>
      <c r="AP159" s="60">
        <v>0</v>
      </c>
      <c r="AQ159" s="60">
        <v>0</v>
      </c>
      <c r="AR159" s="60">
        <v>0</v>
      </c>
      <c r="AS159" s="60">
        <v>12.7</v>
      </c>
      <c r="AT159" s="60">
        <f t="shared" si="44"/>
        <v>31.3</v>
      </c>
      <c r="AU159" s="60">
        <f t="shared" si="45"/>
        <v>65.8947368421053</v>
      </c>
      <c r="AV159" s="97">
        <v>0</v>
      </c>
      <c r="AW159" s="53" t="s">
        <v>671</v>
      </c>
      <c r="AX159" s="53" t="s">
        <v>395</v>
      </c>
      <c r="AY159" s="53" t="s">
        <v>396</v>
      </c>
      <c r="AZ159" s="53" t="s">
        <v>212</v>
      </c>
      <c r="BA159" s="53" t="s">
        <v>204</v>
      </c>
      <c r="BB159" s="53" t="s">
        <v>403</v>
      </c>
      <c r="BC159" s="56">
        <v>2</v>
      </c>
      <c r="BD159" s="56">
        <v>4</v>
      </c>
      <c r="BE159" s="59">
        <f>U159/((VLOOKUP(B159,'Cell-Characteristics'!$B$4:$E$34,3,FALSE)*VLOOKUP(B159,'Cell-Characteristics'!$B$4:$E$34,4,FALSE)*3600)/1000)</f>
        <v>1.87175740696746</v>
      </c>
      <c r="BF159" s="90">
        <f t="shared" si="41"/>
        <v>5094.60272655926</v>
      </c>
      <c r="BG159" s="90">
        <f t="shared" si="39"/>
        <v>38918.8404075387</v>
      </c>
      <c r="BH159" s="90" t="e">
        <f t="shared" si="40"/>
        <v>#DIV/0!</v>
      </c>
      <c r="BI159" s="90">
        <f t="shared" si="42"/>
        <v>55974.5618331451</v>
      </c>
      <c r="BJ159" s="90">
        <f>BF159/((VLOOKUP(B159,'Cell-Characteristics'!$B$4:$Q$34,13,FALSE)))</f>
        <v>138.673926902914</v>
      </c>
      <c r="BK159" s="90">
        <f>BG159/((VLOOKUP(B159,'Cell-Characteristics'!$B$4:$Q$34,14,FALSE)))</f>
        <v>15301.8952612797</v>
      </c>
      <c r="BL159" s="90" t="e">
        <f>BH159/((VLOOKUP(B159,'Cell-Characteristics'!$B$4:$Q$34,15,FALSE)))</f>
        <v>#DIV/0!</v>
      </c>
      <c r="BM159" s="90">
        <f>BI159/((VLOOKUP(B159,'Cell-Characteristics'!$B$4:$Q$34,16,FALSE)))</f>
        <v>1338.31032863624</v>
      </c>
      <c r="BN159" s="50">
        <f t="shared" si="43"/>
        <v>1.50323343276978</v>
      </c>
    </row>
    <row r="160" spans="2:66">
      <c r="B160" s="53" t="s">
        <v>32</v>
      </c>
      <c r="C160" s="107" t="s">
        <v>672</v>
      </c>
      <c r="D160" s="53" t="s">
        <v>391</v>
      </c>
      <c r="E160" s="55" t="s">
        <v>194</v>
      </c>
      <c r="F160" s="56" t="s">
        <v>392</v>
      </c>
      <c r="G160" s="56" t="s">
        <v>393</v>
      </c>
      <c r="H160" s="57">
        <v>43139</v>
      </c>
      <c r="I160" s="58" t="s">
        <v>134</v>
      </c>
      <c r="J160" s="58">
        <v>100</v>
      </c>
      <c r="K160" s="59" t="s">
        <v>134</v>
      </c>
      <c r="L160" s="60">
        <v>47.5</v>
      </c>
      <c r="M160" s="60">
        <v>37</v>
      </c>
      <c r="N160" s="60">
        <v>37</v>
      </c>
      <c r="O160" s="59" t="s">
        <v>197</v>
      </c>
      <c r="P160" s="59" t="s">
        <v>197</v>
      </c>
      <c r="Q160" s="61" t="s">
        <v>381</v>
      </c>
      <c r="R160" s="62">
        <v>66.4566520502905</v>
      </c>
      <c r="S160" s="63">
        <v>0.035</v>
      </c>
      <c r="T160" s="63">
        <v>68.6844487062538</v>
      </c>
      <c r="U160" s="60">
        <v>75.8006809637578</v>
      </c>
      <c r="V160" s="60">
        <v>14.3423404505215</v>
      </c>
      <c r="W160" s="60">
        <v>61.3240248348066</v>
      </c>
      <c r="X160" s="60">
        <v>0.13431567842968</v>
      </c>
      <c r="Y160" s="60">
        <v>18.9211234888232</v>
      </c>
      <c r="Z160" s="60">
        <v>80.9016806381029</v>
      </c>
      <c r="AA160" s="60">
        <v>0.177195873073884</v>
      </c>
      <c r="AB160" s="60">
        <v>7.116232257504</v>
      </c>
      <c r="AC160" s="60">
        <v>0</v>
      </c>
      <c r="AD160" s="97">
        <v>3.40719985961914</v>
      </c>
      <c r="AE160" s="97">
        <v>1.90520000457764</v>
      </c>
      <c r="AF160" s="97">
        <v>0</v>
      </c>
      <c r="AG160" s="60">
        <v>904.920770281917</v>
      </c>
      <c r="AH160" s="60">
        <v>35.5398001670837</v>
      </c>
      <c r="AI160" s="60">
        <v>32.2884950540425</v>
      </c>
      <c r="AJ160" s="60" t="s">
        <v>134</v>
      </c>
      <c r="AK160" s="55">
        <v>120.06646</v>
      </c>
      <c r="AL160" s="60">
        <v>21.7</v>
      </c>
      <c r="AM160" s="60">
        <v>0.9</v>
      </c>
      <c r="AN160" s="60">
        <v>14</v>
      </c>
      <c r="AO160" s="60">
        <v>0.6</v>
      </c>
      <c r="AP160" s="60">
        <v>0</v>
      </c>
      <c r="AQ160" s="60">
        <v>0</v>
      </c>
      <c r="AR160" s="60">
        <v>0</v>
      </c>
      <c r="AS160" s="60">
        <v>10.3</v>
      </c>
      <c r="AT160" s="60">
        <f t="shared" si="44"/>
        <v>25.8</v>
      </c>
      <c r="AU160" s="60">
        <f t="shared" si="45"/>
        <v>54.3157894736842</v>
      </c>
      <c r="AV160" s="97">
        <v>0</v>
      </c>
      <c r="AW160" s="53" t="s">
        <v>673</v>
      </c>
      <c r="AX160" s="53" t="s">
        <v>395</v>
      </c>
      <c r="AY160" s="53" t="s">
        <v>396</v>
      </c>
      <c r="AZ160" s="53" t="s">
        <v>212</v>
      </c>
      <c r="BA160" s="53" t="s">
        <v>204</v>
      </c>
      <c r="BB160" s="53" t="s">
        <v>403</v>
      </c>
      <c r="BC160" s="56">
        <v>2</v>
      </c>
      <c r="BD160" s="56">
        <v>4</v>
      </c>
      <c r="BE160" s="59">
        <f>U160/((VLOOKUP(B160,'Cell-Characteristics'!$B$4:$E$34,3,FALSE)*VLOOKUP(B160,'Cell-Characteristics'!$B$4:$E$34,4,FALSE)*3600)/1000)</f>
        <v>1.68618623167363</v>
      </c>
      <c r="BF160" s="90">
        <f t="shared" si="41"/>
        <v>4209.42153129953</v>
      </c>
      <c r="BG160" s="90">
        <f t="shared" si="39"/>
        <v>32187.7097876669</v>
      </c>
      <c r="BH160" s="90" t="e">
        <f t="shared" si="40"/>
        <v>#DIV/0!</v>
      </c>
      <c r="BI160" s="90">
        <f t="shared" si="42"/>
        <v>42805.8972789045</v>
      </c>
      <c r="BJ160" s="90">
        <f>BF160/((VLOOKUP(B160,'Cell-Characteristics'!$B$4:$Q$34,13,FALSE)))</f>
        <v>114.579496197385</v>
      </c>
      <c r="BK160" s="90">
        <f>BG160/((VLOOKUP(B160,'Cell-Characteristics'!$B$4:$Q$34,14,FALSE)))</f>
        <v>12655.3864070405</v>
      </c>
      <c r="BL160" s="90" t="e">
        <f>BH160/((VLOOKUP(B160,'Cell-Characteristics'!$B$4:$Q$34,15,FALSE)))</f>
        <v>#DIV/0!</v>
      </c>
      <c r="BM160" s="90">
        <f>BI160/((VLOOKUP(B160,'Cell-Characteristics'!$B$4:$Q$34,16,FALSE)))</f>
        <v>1023.45730951264</v>
      </c>
      <c r="BN160" s="50">
        <f t="shared" si="43"/>
        <v>1.77079995473226</v>
      </c>
    </row>
    <row r="161" spans="2:66">
      <c r="B161" s="53" t="s">
        <v>144</v>
      </c>
      <c r="C161" s="107" t="s">
        <v>674</v>
      </c>
      <c r="D161" s="53" t="s">
        <v>227</v>
      </c>
      <c r="E161" s="55" t="s">
        <v>228</v>
      </c>
      <c r="F161" s="56" t="s">
        <v>229</v>
      </c>
      <c r="H161" s="57">
        <v>43400</v>
      </c>
      <c r="I161" s="58">
        <v>51</v>
      </c>
      <c r="J161" s="58">
        <v>100</v>
      </c>
      <c r="K161" s="59">
        <v>4.171</v>
      </c>
      <c r="L161" s="60">
        <v>68.154</v>
      </c>
      <c r="M161" s="60">
        <v>50.3</v>
      </c>
      <c r="N161" s="60">
        <v>51.3</v>
      </c>
      <c r="O161" s="55" t="s">
        <v>278</v>
      </c>
      <c r="P161" s="55" t="s">
        <v>278</v>
      </c>
      <c r="Q161" s="61" t="s">
        <v>199</v>
      </c>
      <c r="R161" s="62">
        <v>82.5691205554724</v>
      </c>
      <c r="S161" s="63">
        <v>0.045</v>
      </c>
      <c r="T161" s="63">
        <v>88.999055483701</v>
      </c>
      <c r="U161" s="60">
        <v>92.0372181593767</v>
      </c>
      <c r="V161" s="60">
        <v>9.94322308251173</v>
      </c>
      <c r="W161" s="60">
        <v>55.4026437876854</v>
      </c>
      <c r="X161" s="60">
        <v>26.6913512891796</v>
      </c>
      <c r="Y161" s="60">
        <v>10.803480680276</v>
      </c>
      <c r="Z161" s="60">
        <v>60.1959130183043</v>
      </c>
      <c r="AA161" s="60">
        <v>29.0006063014197</v>
      </c>
      <c r="AB161" s="60">
        <v>2.06676946073697</v>
      </c>
      <c r="AC161" s="60">
        <v>0.971393214938771</v>
      </c>
      <c r="AD161" s="103">
        <v>6.3199</v>
      </c>
      <c r="AE161" s="103">
        <v>2.508</v>
      </c>
      <c r="AF161" s="103">
        <v>6.3199</v>
      </c>
      <c r="AG161" s="60">
        <v>868.17533974992</v>
      </c>
      <c r="AH161" s="60">
        <v>137.679</v>
      </c>
      <c r="AI161" s="60">
        <v>117.507297115017</v>
      </c>
      <c r="AK161" s="55">
        <v>250.551485</v>
      </c>
      <c r="AL161" s="60">
        <v>22.1995</v>
      </c>
      <c r="AM161" s="60">
        <v>10.7856</v>
      </c>
      <c r="AN161" s="60">
        <v>10.8877</v>
      </c>
      <c r="AO161" s="60">
        <v>1.1281</v>
      </c>
      <c r="AP161" s="60">
        <v>0.7403</v>
      </c>
      <c r="AQ161" s="60">
        <v>7.5479</v>
      </c>
      <c r="AR161" s="60">
        <v>0.6907</v>
      </c>
      <c r="AS161" s="60">
        <v>14.1742</v>
      </c>
      <c r="AT161" s="60">
        <f t="shared" si="44"/>
        <v>45.9545</v>
      </c>
      <c r="AU161" s="60">
        <f t="shared" si="45"/>
        <v>67.4274437303753</v>
      </c>
      <c r="AV161" s="97">
        <v>0</v>
      </c>
      <c r="AW161" s="53" t="s">
        <v>675</v>
      </c>
      <c r="AX161" s="53" t="s">
        <v>134</v>
      </c>
      <c r="AY161" s="53" t="s">
        <v>134</v>
      </c>
      <c r="AZ161" s="53" t="s">
        <v>212</v>
      </c>
      <c r="BA161" s="53" t="s">
        <v>204</v>
      </c>
      <c r="BB161" s="53" t="s">
        <v>676</v>
      </c>
      <c r="BC161" s="56">
        <v>6</v>
      </c>
      <c r="BD161" s="56">
        <v>12</v>
      </c>
      <c r="BE161" s="59">
        <f>U161/((VLOOKUP(B161,'Cell-Characteristics'!$B$4:$E$34,3,FALSE)*VLOOKUP(B161,'Cell-Characteristics'!$B$4:$E$34,4,FALSE)*3600)/1000)</f>
        <v>1.40471944687693</v>
      </c>
      <c r="BF161" s="90">
        <f t="shared" si="41"/>
        <v>1573.31968583549</v>
      </c>
      <c r="BG161" s="90">
        <f t="shared" si="39"/>
        <v>22090.3683363977</v>
      </c>
      <c r="BH161" s="90">
        <f t="shared" si="40"/>
        <v>4223.38190306486</v>
      </c>
      <c r="BI161" s="90">
        <f t="shared" si="42"/>
        <v>18227.8386615964</v>
      </c>
      <c r="BJ161" s="90">
        <f>BF161/((VLOOKUP(B161,'Cell-Characteristics'!$B$4:$Q$34,13,FALSE)))</f>
        <v>33.2122907757514</v>
      </c>
      <c r="BK161" s="90">
        <f>BG161/((VLOOKUP(B161,'Cell-Characteristics'!$B$4:$Q$34,14,FALSE)))</f>
        <v>6320.74675026977</v>
      </c>
      <c r="BL161" s="90">
        <f>BH161/((VLOOKUP(B161,'Cell-Characteristics'!$B$4:$Q$34,15,FALSE)))</f>
        <v>1208.44193416915</v>
      </c>
      <c r="BM161" s="90">
        <f>BI161/((VLOOKUP(B161,'Cell-Characteristics'!$B$4:$Q$34,16,FALSE)))</f>
        <v>335.308441549285</v>
      </c>
      <c r="BN161" s="50">
        <f t="shared" si="43"/>
        <v>5.04926666666667</v>
      </c>
    </row>
    <row r="162" spans="2:66">
      <c r="B162" s="53" t="s">
        <v>144</v>
      </c>
      <c r="C162" s="107" t="s">
        <v>677</v>
      </c>
      <c r="D162" s="53" t="s">
        <v>227</v>
      </c>
      <c r="E162" s="55" t="s">
        <v>228</v>
      </c>
      <c r="F162" s="56" t="s">
        <v>229</v>
      </c>
      <c r="H162" s="57">
        <v>43400</v>
      </c>
      <c r="I162" s="58">
        <v>54</v>
      </c>
      <c r="J162" s="58">
        <v>100</v>
      </c>
      <c r="K162" s="59">
        <v>4.162</v>
      </c>
      <c r="L162" s="60">
        <v>68.5077</v>
      </c>
      <c r="M162" s="60">
        <v>50.1</v>
      </c>
      <c r="N162" s="60">
        <v>50</v>
      </c>
      <c r="O162" s="55" t="s">
        <v>278</v>
      </c>
      <c r="P162" s="55" t="s">
        <v>278</v>
      </c>
      <c r="Q162" s="61" t="s">
        <v>481</v>
      </c>
      <c r="R162" s="62">
        <v>86.8319965277508</v>
      </c>
      <c r="S162" s="63">
        <v>0.037</v>
      </c>
      <c r="T162" s="63">
        <v>94.0297708465058</v>
      </c>
      <c r="U162" s="60">
        <v>98.9963374816913</v>
      </c>
      <c r="V162" s="60">
        <v>10.2872689318425</v>
      </c>
      <c r="W162" s="60">
        <v>1.58527612560143</v>
      </c>
      <c r="X162" s="60">
        <v>87.1237924242474</v>
      </c>
      <c r="Y162" s="60">
        <v>10.3915651765855</v>
      </c>
      <c r="Z162" s="60">
        <v>1.60134825785309</v>
      </c>
      <c r="AA162" s="60">
        <v>88.0070865655614</v>
      </c>
      <c r="AB162" s="60">
        <v>0</v>
      </c>
      <c r="AC162" s="60">
        <v>4.96656663518547</v>
      </c>
      <c r="AD162" s="103">
        <v>0.199</v>
      </c>
      <c r="AE162" s="103">
        <v>0</v>
      </c>
      <c r="AF162" s="103">
        <v>1.3055</v>
      </c>
      <c r="AG162" s="60">
        <v>510.051922270884</v>
      </c>
      <c r="AH162" s="60">
        <v>202.0391</v>
      </c>
      <c r="AI162" s="60">
        <v>102.873277279559</v>
      </c>
      <c r="AK162" s="55">
        <v>209.32326</v>
      </c>
      <c r="AL162" s="60">
        <v>14.6203</v>
      </c>
      <c r="AM162" s="60">
        <v>0.3727</v>
      </c>
      <c r="AN162" s="60">
        <v>0.3053</v>
      </c>
      <c r="AO162" s="60">
        <v>0</v>
      </c>
      <c r="AP162" s="60">
        <v>19.6287</v>
      </c>
      <c r="AQ162" s="60">
        <v>15.8361</v>
      </c>
      <c r="AR162" s="60">
        <v>2.1761</v>
      </c>
      <c r="AS162" s="60">
        <v>15.5685</v>
      </c>
      <c r="AT162" s="60">
        <f t="shared" si="44"/>
        <v>53.8874</v>
      </c>
      <c r="AU162" s="60">
        <f t="shared" si="45"/>
        <v>78.6588952774652</v>
      </c>
      <c r="AV162" s="97">
        <v>0</v>
      </c>
      <c r="AW162" s="53" t="s">
        <v>678</v>
      </c>
      <c r="AX162" s="53" t="s">
        <v>134</v>
      </c>
      <c r="AY162" s="53" t="s">
        <v>134</v>
      </c>
      <c r="AZ162" s="53" t="s">
        <v>212</v>
      </c>
      <c r="BA162" s="90" t="s">
        <v>204</v>
      </c>
      <c r="BB162" s="53" t="s">
        <v>679</v>
      </c>
      <c r="BC162" s="56">
        <v>10</v>
      </c>
      <c r="BD162" s="56">
        <v>20</v>
      </c>
      <c r="BE162" s="59">
        <f>U162/((VLOOKUP(B162,'Cell-Characteristics'!$B$4:$E$34,3,FALSE)*VLOOKUP(B162,'Cell-Characteristics'!$B$4:$E$34,4,FALSE)*3600)/1000)</f>
        <v>1.51093311174743</v>
      </c>
      <c r="BF162" s="90">
        <f t="shared" si="41"/>
        <v>51694.8187529775</v>
      </c>
      <c r="BG162" s="90" t="e">
        <f t="shared" si="39"/>
        <v>#DIV/0!</v>
      </c>
      <c r="BH162" s="90">
        <f t="shared" si="40"/>
        <v>66735.9574295269</v>
      </c>
      <c r="BI162" s="90">
        <f t="shared" si="42"/>
        <v>197400.473542754</v>
      </c>
      <c r="BJ162" s="90">
        <f>BF162/((VLOOKUP(B162,'Cell-Characteristics'!$B$4:$Q$34,13,FALSE)))</f>
        <v>1091.26159640716</v>
      </c>
      <c r="BK162" s="90" t="e">
        <f>BG162/((VLOOKUP(B162,'Cell-Characteristics'!$B$4:$Q$34,14,FALSE)))</f>
        <v>#DIV/0!</v>
      </c>
      <c r="BL162" s="90">
        <f>BH162/((VLOOKUP(B162,'Cell-Characteristics'!$B$4:$Q$34,15,FALSE)))</f>
        <v>19095.2490979429</v>
      </c>
      <c r="BM162" s="90">
        <f>BI162/((VLOOKUP(B162,'Cell-Characteristics'!$B$4:$Q$34,16,FALSE)))</f>
        <v>3631.26130165752</v>
      </c>
      <c r="BN162" s="50">
        <f t="shared" si="43"/>
        <v>0.5015</v>
      </c>
    </row>
    <row r="163" spans="2:66">
      <c r="B163" s="53" t="s">
        <v>144</v>
      </c>
      <c r="C163" s="107" t="s">
        <v>680</v>
      </c>
      <c r="D163" s="53" t="s">
        <v>227</v>
      </c>
      <c r="E163" s="55" t="s">
        <v>228</v>
      </c>
      <c r="F163" s="56" t="s">
        <v>229</v>
      </c>
      <c r="H163" s="57">
        <v>43400</v>
      </c>
      <c r="I163" s="58">
        <v>70</v>
      </c>
      <c r="J163" s="58">
        <v>100</v>
      </c>
      <c r="K163" s="59">
        <v>4.175</v>
      </c>
      <c r="L163" s="60">
        <v>68.5158</v>
      </c>
      <c r="M163" s="60">
        <v>48.3</v>
      </c>
      <c r="N163" s="60">
        <v>44.8</v>
      </c>
      <c r="O163" s="55" t="s">
        <v>290</v>
      </c>
      <c r="P163" s="55" t="s">
        <v>278</v>
      </c>
      <c r="Q163" s="61" t="s">
        <v>199</v>
      </c>
      <c r="R163" s="62">
        <v>88.8717157318916</v>
      </c>
      <c r="S163" s="63">
        <v>0.043</v>
      </c>
      <c r="T163" s="63">
        <v>91.5269703130651</v>
      </c>
      <c r="U163" s="60">
        <v>94.7843485934681</v>
      </c>
      <c r="V163" s="60">
        <v>13.68288237293</v>
      </c>
      <c r="W163" s="60">
        <v>43.9210945228996</v>
      </c>
      <c r="X163" s="60">
        <v>37.1803716976384</v>
      </c>
      <c r="Y163" s="60">
        <v>14.4358035645908</v>
      </c>
      <c r="Z163" s="60">
        <v>46.3379188385606</v>
      </c>
      <c r="AA163" s="60">
        <v>39.2262775968486</v>
      </c>
      <c r="AB163" s="60">
        <v>1.65345943034017</v>
      </c>
      <c r="AC163" s="60">
        <v>1.60391885006286</v>
      </c>
      <c r="AD163" s="103">
        <v>9.234</v>
      </c>
      <c r="AE163" s="103">
        <v>2.5092</v>
      </c>
      <c r="AF163" s="103">
        <v>4.3161</v>
      </c>
      <c r="AG163" s="60">
        <v>940.882465016018</v>
      </c>
      <c r="AH163" s="60">
        <v>131.5237</v>
      </c>
      <c r="AI163" s="60">
        <v>123.664192826684</v>
      </c>
      <c r="AK163" s="55">
        <v>262.71579</v>
      </c>
      <c r="AL163" s="60">
        <v>23.7435</v>
      </c>
      <c r="AM163" s="60">
        <v>5.8985</v>
      </c>
      <c r="AN163" s="60">
        <v>8.8936</v>
      </c>
      <c r="AO163" s="60">
        <v>1.2181</v>
      </c>
      <c r="AP163" s="60">
        <v>0.205</v>
      </c>
      <c r="AQ163" s="60">
        <v>10.0136</v>
      </c>
      <c r="AR163" s="60">
        <v>0.8457</v>
      </c>
      <c r="AS163" s="60">
        <v>17.6978</v>
      </c>
      <c r="AT163" s="60">
        <f t="shared" si="44"/>
        <v>44.7723</v>
      </c>
      <c r="AU163" s="60">
        <f t="shared" si="45"/>
        <v>65.3459494014519</v>
      </c>
      <c r="AV163" s="97">
        <v>0</v>
      </c>
      <c r="AW163" s="53" t="s">
        <v>681</v>
      </c>
      <c r="AX163" s="53" t="s">
        <v>134</v>
      </c>
      <c r="AY163" s="53" t="s">
        <v>134</v>
      </c>
      <c r="AZ163" s="53" t="s">
        <v>203</v>
      </c>
      <c r="BA163" s="90" t="s">
        <v>204</v>
      </c>
      <c r="BB163" s="53" t="s">
        <v>682</v>
      </c>
      <c r="BC163" s="56">
        <v>9</v>
      </c>
      <c r="BD163" s="56">
        <v>18</v>
      </c>
      <c r="BE163" s="59">
        <f>U163/((VLOOKUP(B163,'Cell-Characteristics'!$B$4:$E$34,3,FALSE)*VLOOKUP(B163,'Cell-Characteristics'!$B$4:$E$34,4,FALSE)*3600)/1000)</f>
        <v>1.44664756705537</v>
      </c>
      <c r="BF163" s="90">
        <f t="shared" si="41"/>
        <v>1481.79362929717</v>
      </c>
      <c r="BG163" s="90">
        <f t="shared" si="39"/>
        <v>17504.0230045033</v>
      </c>
      <c r="BH163" s="90">
        <f t="shared" si="40"/>
        <v>8614.34436126096</v>
      </c>
      <c r="BI163" s="90">
        <f t="shared" si="42"/>
        <v>17706.44086482</v>
      </c>
      <c r="BJ163" s="90">
        <f>BF163/((VLOOKUP(B163,'Cell-Characteristics'!$B$4:$Q$34,13,FALSE)))</f>
        <v>31.2802040989776</v>
      </c>
      <c r="BK163" s="90">
        <f>BG163/((VLOOKUP(B163,'Cell-Characteristics'!$B$4:$Q$34,14,FALSE)))</f>
        <v>5008.44960290071</v>
      </c>
      <c r="BL163" s="90">
        <f>BH163/((VLOOKUP(B163,'Cell-Characteristics'!$B$4:$Q$34,15,FALSE)))</f>
        <v>2464.83391756898</v>
      </c>
      <c r="BM163" s="90">
        <f>BI163/((VLOOKUP(B163,'Cell-Characteristics'!$B$4:$Q$34,16,FALSE)))</f>
        <v>325.717118852719</v>
      </c>
      <c r="BN163" s="50">
        <f t="shared" si="43"/>
        <v>5.3531</v>
      </c>
    </row>
    <row r="164" spans="2:66">
      <c r="B164" s="53" t="s">
        <v>144</v>
      </c>
      <c r="C164" s="107" t="s">
        <v>683</v>
      </c>
      <c r="D164" s="53" t="s">
        <v>227</v>
      </c>
      <c r="E164" s="55" t="s">
        <v>228</v>
      </c>
      <c r="F164" s="56" t="s">
        <v>229</v>
      </c>
      <c r="H164" s="57">
        <v>43400</v>
      </c>
      <c r="I164" s="58">
        <v>71</v>
      </c>
      <c r="J164" s="58">
        <v>100</v>
      </c>
      <c r="K164" s="59">
        <v>4.16</v>
      </c>
      <c r="L164" s="60">
        <v>68.2969</v>
      </c>
      <c r="M164" s="60">
        <v>47.6</v>
      </c>
      <c r="N164" s="60">
        <v>37.5</v>
      </c>
      <c r="O164" s="55" t="s">
        <v>290</v>
      </c>
      <c r="P164" s="55" t="s">
        <v>278</v>
      </c>
      <c r="Q164" s="61" t="s">
        <v>199</v>
      </c>
      <c r="R164" s="62">
        <v>77.3974012352973</v>
      </c>
      <c r="S164" s="63">
        <v>0.046</v>
      </c>
      <c r="T164" s="63">
        <v>82.5748372288852</v>
      </c>
      <c r="U164" s="60">
        <v>85.3365193868596</v>
      </c>
      <c r="V164" s="60">
        <v>11.5430447060715</v>
      </c>
      <c r="W164" s="60">
        <v>46.8243611997463</v>
      </c>
      <c r="X164" s="60">
        <v>26.9691134810419</v>
      </c>
      <c r="Y164" s="60">
        <v>13.5265004818663</v>
      </c>
      <c r="Z164" s="60">
        <v>54.8702496143245</v>
      </c>
      <c r="AA164" s="60">
        <v>31.6032499038093</v>
      </c>
      <c r="AB164" s="60">
        <v>1.69538716051457</v>
      </c>
      <c r="AC164" s="60">
        <v>1.06629499745983</v>
      </c>
      <c r="AD164" s="103">
        <v>5.4169</v>
      </c>
      <c r="AE164" s="103">
        <v>2.4053</v>
      </c>
      <c r="AF164" s="103">
        <v>5.4169</v>
      </c>
      <c r="AG164" s="60">
        <v>732.684225629362</v>
      </c>
      <c r="AH164" s="60">
        <v>170.0586</v>
      </c>
      <c r="AI164" s="60">
        <v>124.610461597979</v>
      </c>
      <c r="AK164" s="55">
        <v>240.66339</v>
      </c>
      <c r="AL164" s="60">
        <v>29.3396</v>
      </c>
      <c r="AM164" s="60">
        <v>4.0075</v>
      </c>
      <c r="AN164" s="60">
        <v>10.8764</v>
      </c>
      <c r="AO164" s="60">
        <v>0.9486</v>
      </c>
      <c r="AP164" s="60">
        <v>0.6885</v>
      </c>
      <c r="AQ164" s="60">
        <v>6.9725</v>
      </c>
      <c r="AR164" s="60">
        <v>1.028</v>
      </c>
      <c r="AS164" s="60">
        <v>14.4358</v>
      </c>
      <c r="AT164" s="60">
        <f t="shared" si="44"/>
        <v>38.9573</v>
      </c>
      <c r="AU164" s="60">
        <f t="shared" si="45"/>
        <v>57.0410955694914</v>
      </c>
      <c r="AV164" s="97">
        <v>0</v>
      </c>
      <c r="AW164" s="53" t="s">
        <v>684</v>
      </c>
      <c r="AX164" s="53" t="s">
        <v>134</v>
      </c>
      <c r="AY164" s="53" t="s">
        <v>134</v>
      </c>
      <c r="AZ164" s="53" t="s">
        <v>203</v>
      </c>
      <c r="BA164" s="53" t="s">
        <v>204</v>
      </c>
      <c r="BB164" s="53" t="s">
        <v>134</v>
      </c>
      <c r="BC164" s="56">
        <v>6</v>
      </c>
      <c r="BD164" s="56">
        <v>12</v>
      </c>
      <c r="BE164" s="59">
        <f>U164/((VLOOKUP(B164,'Cell-Characteristics'!$B$4:$E$34,3,FALSE)*VLOOKUP(B164,'Cell-Characteristics'!$B$4:$E$34,4,FALSE)*3600)/1000)</f>
        <v>1.30244992959187</v>
      </c>
      <c r="BF164" s="90">
        <f t="shared" si="41"/>
        <v>2130.93184405683</v>
      </c>
      <c r="BG164" s="90">
        <f t="shared" si="39"/>
        <v>19467.1605204117</v>
      </c>
      <c r="BH164" s="90">
        <f t="shared" si="40"/>
        <v>4978.69879101366</v>
      </c>
      <c r="BI164" s="90">
        <f t="shared" si="42"/>
        <v>19337.3838222069</v>
      </c>
      <c r="BJ164" s="90">
        <f>BF164/((VLOOKUP(B164,'Cell-Characteristics'!$B$4:$Q$34,13,FALSE)))</f>
        <v>44.9833105536594</v>
      </c>
      <c r="BK164" s="90">
        <f>BG164/((VLOOKUP(B164,'Cell-Characteristics'!$B$4:$Q$34,14,FALSE)))</f>
        <v>5570.16477600471</v>
      </c>
      <c r="BL164" s="90">
        <f>BH164/((VLOOKUP(B164,'Cell-Characteristics'!$B$4:$Q$34,15,FALSE)))</f>
        <v>1424.56176939435</v>
      </c>
      <c r="BM164" s="90">
        <f>BI164/((VLOOKUP(B164,'Cell-Characteristics'!$B$4:$Q$34,16,FALSE)))</f>
        <v>355.718972141521</v>
      </c>
      <c r="BN164" s="50">
        <f t="shared" si="43"/>
        <v>4.41303333333333</v>
      </c>
    </row>
    <row r="165" spans="2:66">
      <c r="B165" s="53" t="s">
        <v>144</v>
      </c>
      <c r="C165" s="107" t="s">
        <v>685</v>
      </c>
      <c r="D165" s="53" t="s">
        <v>244</v>
      </c>
      <c r="E165" s="55" t="s">
        <v>228</v>
      </c>
      <c r="F165" s="56" t="s">
        <v>245</v>
      </c>
      <c r="H165" s="57">
        <v>43511</v>
      </c>
      <c r="I165" s="58">
        <v>2</v>
      </c>
      <c r="J165" s="58">
        <v>100</v>
      </c>
      <c r="K165" s="59">
        <v>4.174</v>
      </c>
      <c r="L165" s="60">
        <v>68.4351</v>
      </c>
      <c r="M165" s="60">
        <v>45.8</v>
      </c>
      <c r="N165" s="60">
        <v>47.1</v>
      </c>
      <c r="O165" s="55" t="s">
        <v>278</v>
      </c>
      <c r="P165" s="55" t="s">
        <v>278</v>
      </c>
      <c r="Q165" s="61" t="s">
        <v>199</v>
      </c>
      <c r="R165" s="62">
        <v>63.6009371189992</v>
      </c>
      <c r="S165" s="63">
        <v>0.043</v>
      </c>
      <c r="T165" s="63">
        <v>66.950313612225</v>
      </c>
      <c r="U165" s="60">
        <v>69.2341962085942</v>
      </c>
      <c r="V165" s="60">
        <v>17.1848774498585</v>
      </c>
      <c r="W165" s="60">
        <v>21.0408277433987</v>
      </c>
      <c r="X165" s="60">
        <v>31.008491015337</v>
      </c>
      <c r="Y165" s="60">
        <v>24.8213720833597</v>
      </c>
      <c r="Z165" s="60">
        <v>30.3908023717142</v>
      </c>
      <c r="AA165" s="60">
        <v>44.787825544926</v>
      </c>
      <c r="AB165" s="60">
        <v>0.766249610662449</v>
      </c>
      <c r="AC165" s="60">
        <v>1.51763298570678</v>
      </c>
      <c r="AD165" s="103">
        <v>9.1286</v>
      </c>
      <c r="AE165" s="103">
        <v>2.5111</v>
      </c>
      <c r="AF165" s="103">
        <v>2.9105</v>
      </c>
      <c r="AG165" s="60">
        <v>951.464367472888</v>
      </c>
      <c r="AH165" s="60" t="s">
        <v>134</v>
      </c>
      <c r="AI165" s="60" t="s">
        <v>134</v>
      </c>
      <c r="AK165" s="55">
        <v>213.38142</v>
      </c>
      <c r="AL165" s="60">
        <v>33.9</v>
      </c>
      <c r="AM165" s="60">
        <v>1.2</v>
      </c>
      <c r="AN165" s="60">
        <v>6.8</v>
      </c>
      <c r="AO165" s="60">
        <v>5.9</v>
      </c>
      <c r="AP165" s="60">
        <v>3.2</v>
      </c>
      <c r="AQ165" s="60">
        <v>3.7</v>
      </c>
      <c r="AR165" s="60">
        <v>0</v>
      </c>
      <c r="AS165" s="60">
        <v>13.7351</v>
      </c>
      <c r="AT165" s="60">
        <f t="shared" si="44"/>
        <v>34.5351</v>
      </c>
      <c r="AU165" s="60">
        <f t="shared" si="45"/>
        <v>50.4640162723515</v>
      </c>
      <c r="AV165" s="97">
        <v>0</v>
      </c>
      <c r="AW165" s="53" t="s">
        <v>686</v>
      </c>
      <c r="AX165" s="53" t="s">
        <v>248</v>
      </c>
      <c r="AY165" s="53" t="s">
        <v>687</v>
      </c>
      <c r="AZ165" s="53" t="s">
        <v>212</v>
      </c>
      <c r="BA165" s="90" t="s">
        <v>204</v>
      </c>
      <c r="BB165" s="53" t="s">
        <v>688</v>
      </c>
      <c r="BC165" s="56">
        <v>6</v>
      </c>
      <c r="BD165" s="56">
        <v>12</v>
      </c>
      <c r="BE165" s="59">
        <f>U165/((VLOOKUP(B165,'Cell-Characteristics'!$B$4:$E$34,3,FALSE)*VLOOKUP(B165,'Cell-Characteristics'!$B$4:$E$34,4,FALSE)*3600)/1000)</f>
        <v>1.05668797632165</v>
      </c>
      <c r="BF165" s="90">
        <f t="shared" si="41"/>
        <v>1882.53154370424</v>
      </c>
      <c r="BG165" s="90">
        <f t="shared" si="39"/>
        <v>8379.12777006043</v>
      </c>
      <c r="BH165" s="90">
        <f t="shared" si="40"/>
        <v>10654.0082512754</v>
      </c>
      <c r="BI165" s="90">
        <f t="shared" si="42"/>
        <v>14274.8957832733</v>
      </c>
      <c r="BJ165" s="90">
        <f>BF165/((VLOOKUP(B165,'Cell-Characteristics'!$B$4:$Q$34,13,FALSE)))</f>
        <v>39.7396572272768</v>
      </c>
      <c r="BK165" s="90">
        <f>BG165/((VLOOKUP(B165,'Cell-Characteristics'!$B$4:$Q$34,14,FALSE)))</f>
        <v>2397.53107853073</v>
      </c>
      <c r="BL165" s="90">
        <f>BH165/((VLOOKUP(B165,'Cell-Characteristics'!$B$4:$Q$34,15,FALSE)))</f>
        <v>3048.44568483902</v>
      </c>
      <c r="BM165" s="90">
        <f>BI165/((VLOOKUP(B165,'Cell-Characteristics'!$B$4:$Q$34,16,FALSE)))</f>
        <v>262.592463496636</v>
      </c>
      <c r="BN165" s="50">
        <f t="shared" si="43"/>
        <v>4.85006666666667</v>
      </c>
    </row>
    <row r="166" spans="2:66">
      <c r="B166" s="53" t="s">
        <v>144</v>
      </c>
      <c r="C166" s="107" t="s">
        <v>689</v>
      </c>
      <c r="D166" s="53" t="s">
        <v>244</v>
      </c>
      <c r="E166" s="55" t="s">
        <v>228</v>
      </c>
      <c r="F166" s="56" t="s">
        <v>245</v>
      </c>
      <c r="H166" s="57">
        <v>43512</v>
      </c>
      <c r="I166" s="58">
        <v>10</v>
      </c>
      <c r="J166" s="58">
        <v>100</v>
      </c>
      <c r="K166" s="59" t="s">
        <v>134</v>
      </c>
      <c r="L166" s="60">
        <v>68.4</v>
      </c>
      <c r="M166" s="60">
        <v>50.3</v>
      </c>
      <c r="N166" s="60">
        <v>50.2</v>
      </c>
      <c r="O166" s="55" t="s">
        <v>278</v>
      </c>
      <c r="P166" s="55" t="s">
        <v>278</v>
      </c>
      <c r="Q166" s="61" t="s">
        <v>199</v>
      </c>
      <c r="R166" s="62">
        <v>72.7887843063903</v>
      </c>
      <c r="S166" s="63">
        <v>0.045</v>
      </c>
      <c r="T166" s="63">
        <v>76.9647533784237</v>
      </c>
      <c r="U166" s="60">
        <v>79.6741967466987</v>
      </c>
      <c r="V166" s="60">
        <v>21.9560318984189</v>
      </c>
      <c r="W166" s="60">
        <v>23.8163758078834</v>
      </c>
      <c r="X166" s="60">
        <v>33.9017890403964</v>
      </c>
      <c r="Y166" s="60">
        <v>27.5572679674724</v>
      </c>
      <c r="Z166" s="60">
        <v>29.892206988419</v>
      </c>
      <c r="AA166" s="60">
        <v>42.5505250441086</v>
      </c>
      <c r="AB166" s="60">
        <v>1.258296507825</v>
      </c>
      <c r="AC166" s="60">
        <v>1.45114686045</v>
      </c>
      <c r="AD166" s="103">
        <v>3.3078</v>
      </c>
      <c r="AE166" s="103">
        <v>2.8058</v>
      </c>
      <c r="AF166" s="103">
        <v>3.3078</v>
      </c>
      <c r="AG166" s="60">
        <v>1.54501838513348</v>
      </c>
      <c r="AH166" s="60">
        <v>116.6368</v>
      </c>
      <c r="AI166" s="60">
        <v>0.00140178693313935</v>
      </c>
      <c r="AK166" s="55">
        <v>221.67094</v>
      </c>
      <c r="AL166" s="60">
        <v>34.3</v>
      </c>
      <c r="AM166" s="60">
        <v>2.8</v>
      </c>
      <c r="AN166" s="60">
        <v>3.3</v>
      </c>
      <c r="AO166" s="60">
        <v>0.6</v>
      </c>
      <c r="AP166" s="60">
        <v>1.3</v>
      </c>
      <c r="AQ166" s="60">
        <v>6.4</v>
      </c>
      <c r="AR166" s="60">
        <v>2.2</v>
      </c>
      <c r="AS166" s="60">
        <v>17.5</v>
      </c>
      <c r="AT166" s="60">
        <f t="shared" si="44"/>
        <v>34.1</v>
      </c>
      <c r="AU166" s="60">
        <f t="shared" si="45"/>
        <v>49.8538011695907</v>
      </c>
      <c r="AV166" s="97">
        <v>0</v>
      </c>
      <c r="AW166" s="53" t="s">
        <v>690</v>
      </c>
      <c r="AX166" s="53" t="s">
        <v>248</v>
      </c>
      <c r="AY166" s="53" t="s">
        <v>691</v>
      </c>
      <c r="AZ166" s="53" t="s">
        <v>212</v>
      </c>
      <c r="BA166" s="90" t="s">
        <v>204</v>
      </c>
      <c r="BB166" s="53" t="s">
        <v>692</v>
      </c>
      <c r="BC166" s="56">
        <v>7</v>
      </c>
      <c r="BD166" s="56">
        <v>14</v>
      </c>
      <c r="BE166" s="59">
        <f>U166/((VLOOKUP(B166,'Cell-Characteristics'!$B$4:$E$34,3,FALSE)*VLOOKUP(B166,'Cell-Characteristics'!$B$4:$E$34,4,FALSE)*3600)/1000)</f>
        <v>1.21602864387513</v>
      </c>
      <c r="BF166" s="90">
        <f t="shared" si="41"/>
        <v>6637.65399915924</v>
      </c>
      <c r="BG166" s="90">
        <f t="shared" si="39"/>
        <v>8488.26566679141</v>
      </c>
      <c r="BH166" s="90">
        <f t="shared" si="40"/>
        <v>10249.0443921629</v>
      </c>
      <c r="BI166" s="90">
        <f t="shared" si="42"/>
        <v>25370.1774938009</v>
      </c>
      <c r="BJ166" s="90">
        <f>BF166/((VLOOKUP(B166,'Cell-Characteristics'!$B$4:$Q$34,13,FALSE)))</f>
        <v>140.11881798316</v>
      </c>
      <c r="BK166" s="90">
        <f>BG166/((VLOOKUP(B166,'Cell-Characteristics'!$B$4:$Q$34,14,FALSE)))</f>
        <v>2428.75885144917</v>
      </c>
      <c r="BL166" s="90">
        <f>BH166/((VLOOKUP(B166,'Cell-Characteristics'!$B$4:$Q$34,15,FALSE)))</f>
        <v>2932.57283213315</v>
      </c>
      <c r="BM166" s="90">
        <f>BI166/((VLOOKUP(B166,'Cell-Characteristics'!$B$4:$Q$34,16,FALSE)))</f>
        <v>466.694644121351</v>
      </c>
      <c r="BN166" s="50">
        <f t="shared" si="43"/>
        <v>3.14046666666667</v>
      </c>
    </row>
    <row r="167" spans="2:66">
      <c r="B167" s="53" t="s">
        <v>144</v>
      </c>
      <c r="C167" s="107" t="s">
        <v>693</v>
      </c>
      <c r="D167" s="53" t="s">
        <v>244</v>
      </c>
      <c r="E167" s="55" t="s">
        <v>228</v>
      </c>
      <c r="F167" s="53" t="s">
        <v>245</v>
      </c>
      <c r="G167" s="53"/>
      <c r="H167" s="57">
        <v>43512</v>
      </c>
      <c r="I167" s="58">
        <v>11</v>
      </c>
      <c r="J167" s="58">
        <v>100</v>
      </c>
      <c r="K167" s="59">
        <v>4.171</v>
      </c>
      <c r="L167" s="60">
        <v>68.4219</v>
      </c>
      <c r="M167" s="60">
        <v>45.7</v>
      </c>
      <c r="N167" s="60">
        <v>51.5</v>
      </c>
      <c r="O167" s="59" t="s">
        <v>278</v>
      </c>
      <c r="P167" s="59" t="s">
        <v>278</v>
      </c>
      <c r="Q167" s="61" t="s">
        <v>199</v>
      </c>
      <c r="R167" s="62">
        <v>68.9590403147271</v>
      </c>
      <c r="S167" s="63">
        <v>0.045</v>
      </c>
      <c r="T167" s="63">
        <v>74.286536553746</v>
      </c>
      <c r="U167" s="60">
        <v>76.4298123796282</v>
      </c>
      <c r="V167" s="60">
        <v>21.8940339027253</v>
      </c>
      <c r="W167" s="60">
        <v>32.4326837476033</v>
      </c>
      <c r="X167" s="60">
        <v>22.1030947292995</v>
      </c>
      <c r="Y167" s="60">
        <v>28.6459343822241</v>
      </c>
      <c r="Z167" s="60">
        <v>42.434598146741</v>
      </c>
      <c r="AA167" s="60">
        <v>28.9194674710348</v>
      </c>
      <c r="AB167" s="60">
        <v>1.12823526009442</v>
      </c>
      <c r="AC167" s="60">
        <v>1.01504056578781</v>
      </c>
      <c r="AD167" s="103">
        <v>5.1193</v>
      </c>
      <c r="AE167" s="103">
        <v>3.0141</v>
      </c>
      <c r="AF167" s="103">
        <v>5.1193</v>
      </c>
      <c r="AG167" s="60">
        <v>972.407796178954</v>
      </c>
      <c r="AH167" s="60">
        <v>107.2577</v>
      </c>
      <c r="AI167" s="60">
        <v>104.379909662202</v>
      </c>
      <c r="AK167" s="55">
        <v>202.17837</v>
      </c>
      <c r="AL167" s="60">
        <v>38</v>
      </c>
      <c r="AM167" s="60">
        <v>1.14</v>
      </c>
      <c r="AN167" s="60">
        <v>4.34</v>
      </c>
      <c r="AO167" s="60">
        <v>0</v>
      </c>
      <c r="AP167" s="60">
        <v>1.54</v>
      </c>
      <c r="AQ167" s="60">
        <v>8.64</v>
      </c>
      <c r="AR167" s="60">
        <v>1.54</v>
      </c>
      <c r="AS167" s="60">
        <v>13.2219</v>
      </c>
      <c r="AT167" s="60">
        <f t="shared" si="44"/>
        <v>30.4219</v>
      </c>
      <c r="AU167" s="60">
        <f t="shared" si="45"/>
        <v>44.4622262755054</v>
      </c>
      <c r="AV167" s="97">
        <v>0</v>
      </c>
      <c r="AW167" s="53" t="s">
        <v>694</v>
      </c>
      <c r="AX167" s="53" t="s">
        <v>248</v>
      </c>
      <c r="AY167" s="53" t="s">
        <v>695</v>
      </c>
      <c r="AZ167" s="53" t="s">
        <v>212</v>
      </c>
      <c r="BA167" s="53" t="s">
        <v>204</v>
      </c>
      <c r="BB167" s="53" t="s">
        <v>696</v>
      </c>
      <c r="BC167" s="56">
        <v>10</v>
      </c>
      <c r="BD167" s="56">
        <v>20</v>
      </c>
      <c r="BE167" s="59">
        <f>U167/((VLOOKUP(B167,'Cell-Characteristics'!$B$4:$E$34,3,FALSE)*VLOOKUP(B167,'Cell-Characteristics'!$B$4:$E$34,4,FALSE)*3600)/1000)</f>
        <v>1.16651117795525</v>
      </c>
      <c r="BF167" s="90">
        <f t="shared" si="41"/>
        <v>4276.7632103462</v>
      </c>
      <c r="BG167" s="90">
        <f t="shared" si="39"/>
        <v>10760.321073489</v>
      </c>
      <c r="BH167" s="90">
        <f t="shared" si="40"/>
        <v>4317.60098632616</v>
      </c>
      <c r="BI167" s="90">
        <f t="shared" si="42"/>
        <v>17301.3376247017</v>
      </c>
      <c r="BJ167" s="90">
        <f>BF167/((VLOOKUP(B167,'Cell-Characteristics'!$B$4:$Q$34,13,FALSE)))</f>
        <v>90.2811454021976</v>
      </c>
      <c r="BK167" s="90">
        <f>BG167/((VLOOKUP(B167,'Cell-Characteristics'!$B$4:$Q$34,14,FALSE)))</f>
        <v>3078.86511539292</v>
      </c>
      <c r="BL167" s="90">
        <f>BH167/((VLOOKUP(B167,'Cell-Characteristics'!$B$4:$Q$34,15,FALSE)))</f>
        <v>1235.40096695975</v>
      </c>
      <c r="BM167" s="90">
        <f>BI167/((VLOOKUP(B167,'Cell-Characteristics'!$B$4:$Q$34,16,FALSE)))</f>
        <v>318.265081415235</v>
      </c>
      <c r="BN167" s="50">
        <f t="shared" si="43"/>
        <v>4.41756666666667</v>
      </c>
    </row>
    <row r="168" spans="2:66">
      <c r="B168" s="53" t="s">
        <v>144</v>
      </c>
      <c r="C168" s="107" t="s">
        <v>697</v>
      </c>
      <c r="D168" s="53" t="s">
        <v>244</v>
      </c>
      <c r="E168" s="55" t="s">
        <v>228</v>
      </c>
      <c r="F168" s="56" t="s">
        <v>245</v>
      </c>
      <c r="H168" s="57">
        <v>43512</v>
      </c>
      <c r="I168" s="58">
        <v>12</v>
      </c>
      <c r="J168" s="58">
        <v>100</v>
      </c>
      <c r="K168" s="59">
        <v>4.172</v>
      </c>
      <c r="L168" s="60">
        <v>68.2315</v>
      </c>
      <c r="M168" s="60">
        <v>47.6</v>
      </c>
      <c r="N168" s="60">
        <v>48.4</v>
      </c>
      <c r="O168" s="59" t="s">
        <v>290</v>
      </c>
      <c r="P168" s="59" t="s">
        <v>278</v>
      </c>
      <c r="Q168" s="61" t="s">
        <v>199</v>
      </c>
      <c r="R168" s="62">
        <v>76.9573622297608</v>
      </c>
      <c r="S168" s="63">
        <v>0.047</v>
      </c>
      <c r="T168" s="63">
        <v>81.742197865921</v>
      </c>
      <c r="U168" s="60">
        <v>85.3902714116185</v>
      </c>
      <c r="V168" s="60">
        <v>8.75131304006114</v>
      </c>
      <c r="W168" s="60">
        <v>4.66720975769724</v>
      </c>
      <c r="X168" s="60">
        <v>71.9717486138601</v>
      </c>
      <c r="Y168" s="60">
        <v>10.2486066566951</v>
      </c>
      <c r="Z168" s="60">
        <v>5.46573945783501</v>
      </c>
      <c r="AA168" s="60">
        <v>84.2856538854699</v>
      </c>
      <c r="AB168" s="60">
        <v>0.52609619116791</v>
      </c>
      <c r="AC168" s="60">
        <v>3.12197735452954</v>
      </c>
      <c r="AD168" s="103">
        <v>0.5043</v>
      </c>
      <c r="AE168" s="103">
        <v>0</v>
      </c>
      <c r="AF168" s="103">
        <v>0.5043</v>
      </c>
      <c r="AG168" s="60">
        <v>972.774394748604</v>
      </c>
      <c r="AH168" s="60">
        <v>113.9365</v>
      </c>
      <c r="AI168" s="60">
        <v>110.925279644075</v>
      </c>
      <c r="AK168" s="55">
        <v>214.455775</v>
      </c>
      <c r="AL168" s="60">
        <v>22.54</v>
      </c>
      <c r="AM168" s="60">
        <v>0.54</v>
      </c>
      <c r="AN168" s="60">
        <v>1.14</v>
      </c>
      <c r="AO168" s="60">
        <v>1.94</v>
      </c>
      <c r="AP168" s="60">
        <v>3.14</v>
      </c>
      <c r="AQ168" s="60">
        <v>19.04</v>
      </c>
      <c r="AR168" s="60">
        <v>0</v>
      </c>
      <c r="AS168" s="60">
        <v>19.8915</v>
      </c>
      <c r="AT168" s="60">
        <f t="shared" si="44"/>
        <v>45.6915</v>
      </c>
      <c r="AU168" s="60">
        <f t="shared" si="45"/>
        <v>66.9654045418905</v>
      </c>
      <c r="AV168" s="97">
        <v>0</v>
      </c>
      <c r="AW168" s="53" t="s">
        <v>698</v>
      </c>
      <c r="AX168" s="53" t="s">
        <v>248</v>
      </c>
      <c r="AY168" s="53" t="s">
        <v>699</v>
      </c>
      <c r="AZ168" s="53" t="s">
        <v>203</v>
      </c>
      <c r="BA168" s="90" t="s">
        <v>204</v>
      </c>
      <c r="BB168" s="53" t="s">
        <v>700</v>
      </c>
      <c r="BC168" s="56">
        <v>7</v>
      </c>
      <c r="BD168" s="56">
        <v>14</v>
      </c>
      <c r="BE168" s="59">
        <f>U168/((VLOOKUP(B168,'Cell-Characteristics'!$B$4:$E$34,3,FALSE)*VLOOKUP(B168,'Cell-Characteristics'!$B$4:$E$34,4,FALSE)*3600)/1000)</f>
        <v>1.30327032069015</v>
      </c>
      <c r="BF168" s="90">
        <f t="shared" si="41"/>
        <v>17353.3869523322</v>
      </c>
      <c r="BG168" s="90" t="e">
        <f t="shared" si="39"/>
        <v>#DIV/0!</v>
      </c>
      <c r="BH168" s="90">
        <f t="shared" si="40"/>
        <v>142716.138437161</v>
      </c>
      <c r="BI168" s="90">
        <f t="shared" si="42"/>
        <v>253986.5300762</v>
      </c>
      <c r="BJ168" s="90">
        <f>BF168/((VLOOKUP(B168,'Cell-Characteristics'!$B$4:$Q$34,13,FALSE)))</f>
        <v>366.324618317432</v>
      </c>
      <c r="BK168" s="90" t="e">
        <f>BG168/((VLOOKUP(B168,'Cell-Characteristics'!$B$4:$Q$34,14,FALSE)))</f>
        <v>#DIV/0!</v>
      </c>
      <c r="BL168" s="90">
        <f>BH168/((VLOOKUP(B168,'Cell-Characteristics'!$B$4:$Q$34,15,FALSE)))</f>
        <v>40835.5602994366</v>
      </c>
      <c r="BM168" s="90">
        <f>BI168/((VLOOKUP(B168,'Cell-Characteristics'!$B$4:$Q$34,16,FALSE)))</f>
        <v>4672.18462679231</v>
      </c>
      <c r="BN168" s="50">
        <f t="shared" si="43"/>
        <v>0.3362</v>
      </c>
    </row>
    <row r="169" spans="2:66">
      <c r="B169" s="53" t="s">
        <v>144</v>
      </c>
      <c r="C169" s="107" t="s">
        <v>701</v>
      </c>
      <c r="D169" s="53" t="s">
        <v>227</v>
      </c>
      <c r="E169" s="55" t="s">
        <v>265</v>
      </c>
      <c r="F169" s="56" t="s">
        <v>229</v>
      </c>
      <c r="H169" s="57">
        <v>43402</v>
      </c>
      <c r="I169" s="58">
        <v>53</v>
      </c>
      <c r="J169" s="58">
        <v>100</v>
      </c>
      <c r="K169" s="59">
        <v>4.164</v>
      </c>
      <c r="L169" s="60">
        <v>68.3714</v>
      </c>
      <c r="M169" s="60">
        <v>48.2</v>
      </c>
      <c r="N169" s="60">
        <v>48.2</v>
      </c>
      <c r="O169" s="55" t="s">
        <v>278</v>
      </c>
      <c r="P169" s="55" t="s">
        <v>278</v>
      </c>
      <c r="Q169" s="61" t="s">
        <v>199</v>
      </c>
      <c r="R169" s="62">
        <v>92.5764965098127</v>
      </c>
      <c r="S169" s="63">
        <v>0.022</v>
      </c>
      <c r="T169" s="63">
        <v>94.6741908124794</v>
      </c>
      <c r="U169" s="60">
        <v>96.891089276345</v>
      </c>
      <c r="V169" s="60">
        <v>20.6398389540039</v>
      </c>
      <c r="W169" s="60">
        <v>2.771930387847</v>
      </c>
      <c r="X169" s="60">
        <v>73.4793199344942</v>
      </c>
      <c r="Y169" s="60">
        <v>21.302102296669</v>
      </c>
      <c r="Z169" s="60">
        <v>2.86087235529072</v>
      </c>
      <c r="AA169" s="60">
        <v>75.8370253480403</v>
      </c>
      <c r="AB169" s="60">
        <v>0.115072351675218</v>
      </c>
      <c r="AC169" s="60">
        <v>2.10182611219043</v>
      </c>
      <c r="AD169" s="103">
        <v>2.717</v>
      </c>
      <c r="AE169" s="103">
        <v>9.4423</v>
      </c>
      <c r="AF169" s="103">
        <v>5.9293</v>
      </c>
      <c r="AG169" s="60" t="s">
        <v>134</v>
      </c>
      <c r="AH169" s="60" t="s">
        <v>134</v>
      </c>
      <c r="AI169" s="60" t="s">
        <v>134</v>
      </c>
      <c r="AK169" s="55" t="s">
        <v>134</v>
      </c>
      <c r="AL169" s="60">
        <v>27.52</v>
      </c>
      <c r="AM169" s="60">
        <v>0.37</v>
      </c>
      <c r="AN169" s="60">
        <v>0</v>
      </c>
      <c r="AO169" s="60">
        <v>3.18</v>
      </c>
      <c r="AP169" s="60">
        <v>3.81</v>
      </c>
      <c r="AQ169" s="60">
        <v>16.23</v>
      </c>
      <c r="AR169" s="60">
        <v>3.95999999999999</v>
      </c>
      <c r="AS169" s="60">
        <v>13.3014</v>
      </c>
      <c r="AT169" s="60">
        <f t="shared" si="44"/>
        <v>40.8514</v>
      </c>
      <c r="AU169" s="60">
        <f t="shared" si="45"/>
        <v>59.7492518801721</v>
      </c>
      <c r="AV169" s="97">
        <v>0</v>
      </c>
      <c r="AW169" s="53" t="s">
        <v>702</v>
      </c>
      <c r="AX169" s="53" t="s">
        <v>134</v>
      </c>
      <c r="AY169" s="53" t="s">
        <v>134</v>
      </c>
      <c r="AZ169" s="53" t="s">
        <v>212</v>
      </c>
      <c r="BA169" s="53" t="s">
        <v>204</v>
      </c>
      <c r="BB169" s="53" t="s">
        <v>703</v>
      </c>
      <c r="BC169" s="56">
        <v>10</v>
      </c>
      <c r="BD169" s="56">
        <v>20</v>
      </c>
      <c r="BE169" s="59">
        <f>U169/((VLOOKUP(B169,'Cell-Characteristics'!$B$4:$E$34,3,FALSE)*VLOOKUP(B169,'Cell-Characteristics'!$B$4:$E$34,4,FALSE)*3600)/1000)</f>
        <v>1.47880172888195</v>
      </c>
      <c r="BF169" s="90">
        <f t="shared" si="41"/>
        <v>7596.55463894143</v>
      </c>
      <c r="BG169" s="90">
        <f t="shared" si="39"/>
        <v>293.565168216113</v>
      </c>
      <c r="BH169" s="90">
        <f t="shared" si="40"/>
        <v>12392.5792141558</v>
      </c>
      <c r="BI169" s="90">
        <f t="shared" si="42"/>
        <v>16069.4176348106</v>
      </c>
      <c r="BJ169" s="90">
        <f>BF169/((VLOOKUP(B169,'Cell-Characteristics'!$B$4:$Q$34,13,FALSE)))</f>
        <v>160.360913191285</v>
      </c>
      <c r="BK169" s="90">
        <f>BG169/((VLOOKUP(B169,'Cell-Characteristics'!$B$4:$Q$34,14,FALSE)))</f>
        <v>83.9981957175904</v>
      </c>
      <c r="BL169" s="90">
        <f>BH169/((VLOOKUP(B169,'Cell-Characteristics'!$B$4:$Q$34,15,FALSE)))</f>
        <v>3545.90532862566</v>
      </c>
      <c r="BM169" s="90">
        <f>BI169/((VLOOKUP(B169,'Cell-Characteristics'!$B$4:$Q$34,16,FALSE)))</f>
        <v>295.603416497491</v>
      </c>
      <c r="BN169" s="50">
        <f t="shared" si="43"/>
        <v>6.02953333333333</v>
      </c>
    </row>
    <row r="170" spans="2:66">
      <c r="B170" s="53" t="s">
        <v>144</v>
      </c>
      <c r="C170" s="107" t="s">
        <v>704</v>
      </c>
      <c r="D170" s="53" t="s">
        <v>227</v>
      </c>
      <c r="E170" s="55" t="s">
        <v>265</v>
      </c>
      <c r="F170" s="56" t="s">
        <v>229</v>
      </c>
      <c r="H170" s="57">
        <v>43402</v>
      </c>
      <c r="I170" s="58">
        <v>55</v>
      </c>
      <c r="J170" s="58">
        <v>100</v>
      </c>
      <c r="K170" s="59">
        <v>4.174</v>
      </c>
      <c r="L170" s="60">
        <v>68.1684</v>
      </c>
      <c r="M170" s="60">
        <v>50</v>
      </c>
      <c r="N170" s="60">
        <v>50</v>
      </c>
      <c r="O170" s="55" t="s">
        <v>278</v>
      </c>
      <c r="P170" s="55" t="s">
        <v>278</v>
      </c>
      <c r="Q170" s="61" t="s">
        <v>199</v>
      </c>
      <c r="R170" s="62">
        <v>98.4864360174319</v>
      </c>
      <c r="S170" s="63">
        <v>0.027</v>
      </c>
      <c r="T170" s="63">
        <v>103.67534943556</v>
      </c>
      <c r="U170" s="60">
        <v>107.596096997461</v>
      </c>
      <c r="V170" s="60">
        <v>28.3638646525409</v>
      </c>
      <c r="W170" s="60">
        <v>38.6018690384365</v>
      </c>
      <c r="X170" s="60">
        <v>40.6303633064835</v>
      </c>
      <c r="Y170" s="60">
        <v>26.3614252227107</v>
      </c>
      <c r="Z170" s="60">
        <v>35.8766443352936</v>
      </c>
      <c r="AA170" s="60">
        <v>37.7619304419958</v>
      </c>
      <c r="AB170" s="60">
        <v>2.96200411624159</v>
      </c>
      <c r="AC170" s="60">
        <v>0.958743445659228</v>
      </c>
      <c r="AD170" s="103">
        <v>3.7111</v>
      </c>
      <c r="AE170" s="103">
        <v>3.7111</v>
      </c>
      <c r="AF170" s="103">
        <v>3.4133</v>
      </c>
      <c r="AG170" s="60" t="s">
        <v>134</v>
      </c>
      <c r="AH170" s="60" t="s">
        <v>134</v>
      </c>
      <c r="AI170" s="60" t="s">
        <v>134</v>
      </c>
      <c r="AK170" s="55" t="s">
        <v>134</v>
      </c>
      <c r="AL170" s="60">
        <v>34.66</v>
      </c>
      <c r="AM170" s="60">
        <v>0</v>
      </c>
      <c r="AN170" s="60">
        <v>2.47</v>
      </c>
      <c r="AO170" s="60">
        <v>0.22</v>
      </c>
      <c r="AP170" s="60">
        <v>0</v>
      </c>
      <c r="AQ170" s="60">
        <v>6.96</v>
      </c>
      <c r="AR170" s="60">
        <v>1.05</v>
      </c>
      <c r="AS170" s="60">
        <v>22.8084</v>
      </c>
      <c r="AT170" s="60">
        <f t="shared" si="44"/>
        <v>33.5084</v>
      </c>
      <c r="AU170" s="60">
        <f t="shared" si="45"/>
        <v>49.155327101707</v>
      </c>
      <c r="AV170" s="97">
        <v>0</v>
      </c>
      <c r="AW170" s="53" t="s">
        <v>705</v>
      </c>
      <c r="AX170" s="53" t="s">
        <v>134</v>
      </c>
      <c r="AY170" s="53" t="s">
        <v>134</v>
      </c>
      <c r="AZ170" s="53" t="s">
        <v>212</v>
      </c>
      <c r="BA170" s="53" t="s">
        <v>204</v>
      </c>
      <c r="BB170" s="53" t="s">
        <v>706</v>
      </c>
      <c r="BC170" s="56">
        <v>11</v>
      </c>
      <c r="BD170" s="56">
        <v>22</v>
      </c>
      <c r="BE170" s="59">
        <f>U170/((VLOOKUP(B170,'Cell-Characteristics'!$B$4:$E$34,3,FALSE)*VLOOKUP(B170,'Cell-Characteristics'!$B$4:$E$34,4,FALSE)*3600)/1000)</f>
        <v>1.64218707261082</v>
      </c>
      <c r="BF170" s="90">
        <f t="shared" si="41"/>
        <v>7642.98042427877</v>
      </c>
      <c r="BG170" s="90">
        <f t="shared" si="39"/>
        <v>10401.7323808134</v>
      </c>
      <c r="BH170" s="90">
        <f t="shared" si="40"/>
        <v>11903.5429954834</v>
      </c>
      <c r="BI170" s="90">
        <f t="shared" si="42"/>
        <v>29789.884268597</v>
      </c>
      <c r="BJ170" s="90">
        <f>BF170/((VLOOKUP(B170,'Cell-Characteristics'!$B$4:$Q$34,13,FALSE)))</f>
        <v>161.3409471259</v>
      </c>
      <c r="BK170" s="90">
        <f>BG170/((VLOOKUP(B170,'Cell-Characteristics'!$B$4:$Q$34,14,FALSE)))</f>
        <v>2976.26165132217</v>
      </c>
      <c r="BL170" s="90">
        <f>BH170/((VLOOKUP(B170,'Cell-Characteristics'!$B$4:$Q$34,15,FALSE)))</f>
        <v>3405.97673880469</v>
      </c>
      <c r="BM170" s="90">
        <f>BI170/((VLOOKUP(B170,'Cell-Characteristics'!$B$4:$Q$34,16,FALSE)))</f>
        <v>547.996932246382</v>
      </c>
      <c r="BN170" s="50">
        <f t="shared" si="43"/>
        <v>3.61183333333333</v>
      </c>
    </row>
    <row r="171" spans="2:66">
      <c r="B171" s="53" t="s">
        <v>144</v>
      </c>
      <c r="C171" s="107" t="s">
        <v>707</v>
      </c>
      <c r="D171" s="53" t="s">
        <v>227</v>
      </c>
      <c r="E171" s="55" t="s">
        <v>265</v>
      </c>
      <c r="F171" s="56" t="s">
        <v>229</v>
      </c>
      <c r="H171" s="57">
        <v>43402</v>
      </c>
      <c r="I171" s="58">
        <v>67</v>
      </c>
      <c r="J171" s="58">
        <v>100</v>
      </c>
      <c r="K171" s="59">
        <v>4.17</v>
      </c>
      <c r="L171" s="60">
        <v>68.4834</v>
      </c>
      <c r="M171" s="60">
        <v>47.5</v>
      </c>
      <c r="N171" s="60">
        <v>47.1</v>
      </c>
      <c r="O171" s="55" t="s">
        <v>278</v>
      </c>
      <c r="P171" s="55" t="s">
        <v>278</v>
      </c>
      <c r="Q171" s="61" t="s">
        <v>199</v>
      </c>
      <c r="R171" s="62">
        <v>95.3689011963006</v>
      </c>
      <c r="S171" s="63">
        <v>0.027</v>
      </c>
      <c r="T171" s="63">
        <v>99.9451710386269</v>
      </c>
      <c r="U171" s="60">
        <v>101.948996573081</v>
      </c>
      <c r="V171" s="60">
        <v>24.7177395821513</v>
      </c>
      <c r="W171" s="60">
        <v>36.0599048158422</v>
      </c>
      <c r="X171" s="60">
        <v>41.1713521750872</v>
      </c>
      <c r="Y171" s="60">
        <v>24.2452014370075</v>
      </c>
      <c r="Z171" s="60">
        <v>35.3705343141785</v>
      </c>
      <c r="AA171" s="60">
        <v>40.384264248814</v>
      </c>
      <c r="AB171" s="60">
        <v>1.55978451441956</v>
      </c>
      <c r="AC171" s="60">
        <v>0.444041020034136</v>
      </c>
      <c r="AD171" s="103">
        <v>4.8195</v>
      </c>
      <c r="AE171" s="103">
        <v>1.807</v>
      </c>
      <c r="AF171" s="103">
        <v>4.8195</v>
      </c>
      <c r="AG171" s="60" t="s">
        <v>134</v>
      </c>
      <c r="AH171" s="60" t="s">
        <v>134</v>
      </c>
      <c r="AI171" s="60" t="s">
        <v>134</v>
      </c>
      <c r="AK171" s="55" t="s">
        <v>134</v>
      </c>
      <c r="AL171" s="60">
        <v>34.49</v>
      </c>
      <c r="AM171" s="60">
        <v>1.39</v>
      </c>
      <c r="AN171" s="60">
        <v>1.87</v>
      </c>
      <c r="AO171" s="60">
        <v>0.38</v>
      </c>
      <c r="AP171" s="60">
        <v>3.54</v>
      </c>
      <c r="AQ171" s="60">
        <v>12.92</v>
      </c>
      <c r="AR171" s="60">
        <v>0.97</v>
      </c>
      <c r="AS171" s="60">
        <v>12.9234</v>
      </c>
      <c r="AT171" s="60">
        <f t="shared" si="44"/>
        <v>33.9934</v>
      </c>
      <c r="AU171" s="60">
        <f t="shared" si="45"/>
        <v>49.6374303845895</v>
      </c>
      <c r="AV171" s="97">
        <v>0</v>
      </c>
      <c r="AW171" s="53" t="s">
        <v>708</v>
      </c>
      <c r="AX171" s="53" t="s">
        <v>134</v>
      </c>
      <c r="AY171" s="53" t="s">
        <v>134</v>
      </c>
      <c r="AZ171" s="53" t="s">
        <v>212</v>
      </c>
      <c r="BA171" s="53" t="s">
        <v>204</v>
      </c>
      <c r="BB171" s="53" t="s">
        <v>709</v>
      </c>
      <c r="BC171" s="56">
        <v>11</v>
      </c>
      <c r="BD171" s="56">
        <v>22</v>
      </c>
      <c r="BE171" s="59">
        <f>U171/((VLOOKUP(B171,'Cell-Characteristics'!$B$4:$E$34,3,FALSE)*VLOOKUP(B171,'Cell-Characteristics'!$B$4:$E$34,4,FALSE)*3600)/1000)</f>
        <v>1.55599811619476</v>
      </c>
      <c r="BF171" s="90">
        <f t="shared" si="41"/>
        <v>5128.69376120993</v>
      </c>
      <c r="BG171" s="90">
        <f t="shared" si="39"/>
        <v>19955.6750502724</v>
      </c>
      <c r="BH171" s="90">
        <f t="shared" si="40"/>
        <v>8542.66047828347</v>
      </c>
      <c r="BI171" s="90">
        <f t="shared" si="42"/>
        <v>26720.8622854483</v>
      </c>
      <c r="BJ171" s="90">
        <f>BF171/((VLOOKUP(B171,'Cell-Characteristics'!$B$4:$Q$34,13,FALSE)))</f>
        <v>108.265135198274</v>
      </c>
      <c r="BK171" s="90">
        <f>BG171/((VLOOKUP(B171,'Cell-Characteristics'!$B$4:$Q$34,14,FALSE)))</f>
        <v>5709.94409430556</v>
      </c>
      <c r="BL171" s="90">
        <f>BH171/((VLOOKUP(B171,'Cell-Characteristics'!$B$4:$Q$34,15,FALSE)))</f>
        <v>2444.32291189099</v>
      </c>
      <c r="BM171" s="90">
        <f>BI171/((VLOOKUP(B171,'Cell-Characteristics'!$B$4:$Q$34,16,FALSE)))</f>
        <v>491.541035452749</v>
      </c>
      <c r="BN171" s="50">
        <f t="shared" si="43"/>
        <v>3.81533333333333</v>
      </c>
    </row>
    <row r="172" spans="2:66">
      <c r="B172" s="53" t="s">
        <v>144</v>
      </c>
      <c r="C172" s="53" t="s">
        <v>710</v>
      </c>
      <c r="D172" s="53" t="s">
        <v>244</v>
      </c>
      <c r="E172" s="55" t="s">
        <v>265</v>
      </c>
      <c r="F172" s="56" t="s">
        <v>245</v>
      </c>
      <c r="H172" s="57">
        <v>43511</v>
      </c>
      <c r="I172" s="58">
        <v>1</v>
      </c>
      <c r="J172" s="58">
        <v>100</v>
      </c>
      <c r="K172" s="59">
        <v>4.174</v>
      </c>
      <c r="L172" s="60">
        <v>68.4844</v>
      </c>
      <c r="M172" s="60">
        <v>47.6</v>
      </c>
      <c r="N172" s="60">
        <v>48.1</v>
      </c>
      <c r="O172" s="59" t="s">
        <v>278</v>
      </c>
      <c r="P172" s="59" t="s">
        <v>278</v>
      </c>
      <c r="Q172" s="61" t="s">
        <v>199</v>
      </c>
      <c r="R172" s="62">
        <v>85.5083429055572</v>
      </c>
      <c r="S172" s="63">
        <v>0.026</v>
      </c>
      <c r="T172" s="63">
        <v>88.9566960625417</v>
      </c>
      <c r="U172" s="60">
        <v>91.1894260583093</v>
      </c>
      <c r="V172" s="60">
        <v>27.0296597579302</v>
      </c>
      <c r="W172" s="60">
        <v>6.28535083182106</v>
      </c>
      <c r="X172" s="60">
        <v>57.874415468558</v>
      </c>
      <c r="Y172" s="60">
        <v>29.6412214949644</v>
      </c>
      <c r="Z172" s="60">
        <v>6.89263120024686</v>
      </c>
      <c r="AA172" s="60">
        <v>63.4661473047887</v>
      </c>
      <c r="AB172" s="60">
        <v>0.279607852367808</v>
      </c>
      <c r="AC172" s="60">
        <v>1.95312214339972</v>
      </c>
      <c r="AD172" s="103">
        <v>2.9048</v>
      </c>
      <c r="AE172" s="103">
        <v>2.9048</v>
      </c>
      <c r="AF172" s="103">
        <v>11.9401</v>
      </c>
      <c r="AG172" s="60" t="s">
        <v>134</v>
      </c>
      <c r="AH172" s="60" t="s">
        <v>134</v>
      </c>
      <c r="AI172" s="60" t="s">
        <v>134</v>
      </c>
      <c r="AK172" s="55" t="s">
        <v>134</v>
      </c>
      <c r="AL172" s="60">
        <v>32.5</v>
      </c>
      <c r="AM172" s="60">
        <v>0.4</v>
      </c>
      <c r="AN172" s="60">
        <v>2.1</v>
      </c>
      <c r="AO172" s="60">
        <v>1</v>
      </c>
      <c r="AP172" s="60">
        <v>2.6</v>
      </c>
      <c r="AQ172" s="60">
        <v>9.9</v>
      </c>
      <c r="AR172" s="60">
        <v>3.6</v>
      </c>
      <c r="AS172" s="60">
        <v>16.3844</v>
      </c>
      <c r="AT172" s="60">
        <f t="shared" si="44"/>
        <v>35.9844</v>
      </c>
      <c r="AU172" s="60">
        <f t="shared" si="45"/>
        <v>52.5439370133928</v>
      </c>
      <c r="AV172" s="97">
        <v>0</v>
      </c>
      <c r="AW172" s="53" t="s">
        <v>711</v>
      </c>
      <c r="AX172" s="53" t="s">
        <v>248</v>
      </c>
      <c r="AY172" s="53" t="s">
        <v>712</v>
      </c>
      <c r="AZ172" s="53" t="s">
        <v>212</v>
      </c>
      <c r="BA172" s="106" t="s">
        <v>322</v>
      </c>
      <c r="BB172" s="53" t="s">
        <v>600</v>
      </c>
      <c r="BC172" s="56">
        <v>4</v>
      </c>
      <c r="BD172" s="56">
        <v>8</v>
      </c>
      <c r="BE172" s="59">
        <f>U172/((VLOOKUP(B172,'Cell-Characteristics'!$B$4:$E$34,3,FALSE)*VLOOKUP(B172,'Cell-Characteristics'!$B$4:$E$34,4,FALSE)*3600)/1000)</f>
        <v>1.39178000699495</v>
      </c>
      <c r="BF172" s="90">
        <f t="shared" si="41"/>
        <v>9305.17066852458</v>
      </c>
      <c r="BG172" s="90">
        <f t="shared" si="39"/>
        <v>2163.78092530331</v>
      </c>
      <c r="BH172" s="90">
        <f t="shared" si="40"/>
        <v>4847.06287791208</v>
      </c>
      <c r="BI172" s="90">
        <f t="shared" si="42"/>
        <v>15412.5578559034</v>
      </c>
      <c r="BJ172" s="90">
        <f>BF172/((VLOOKUP(B172,'Cell-Characteristics'!$B$4:$Q$34,13,FALSE)))</f>
        <v>196.429267836254</v>
      </c>
      <c r="BK172" s="90">
        <f>BG172/((VLOOKUP(B172,'Cell-Characteristics'!$B$4:$Q$34,14,FALSE)))</f>
        <v>619.125541214806</v>
      </c>
      <c r="BL172" s="90">
        <f>BH172/((VLOOKUP(B172,'Cell-Characteristics'!$B$4:$Q$34,15,FALSE)))</f>
        <v>1386.89660884632</v>
      </c>
      <c r="BM172" s="90">
        <f>BI172/((VLOOKUP(B172,'Cell-Characteristics'!$B$4:$Q$34,16,FALSE)))</f>
        <v>283.520216022064</v>
      </c>
      <c r="BN172" s="50">
        <f t="shared" si="43"/>
        <v>5.91656666666667</v>
      </c>
    </row>
    <row r="173" spans="2:66">
      <c r="B173" s="53" t="s">
        <v>144</v>
      </c>
      <c r="C173" s="107" t="s">
        <v>713</v>
      </c>
      <c r="D173" s="53" t="s">
        <v>244</v>
      </c>
      <c r="E173" s="55" t="s">
        <v>265</v>
      </c>
      <c r="F173" s="56" t="s">
        <v>245</v>
      </c>
      <c r="H173" s="57">
        <v>43511</v>
      </c>
      <c r="I173" s="58">
        <v>69</v>
      </c>
      <c r="J173" s="58">
        <v>100</v>
      </c>
      <c r="K173" s="59">
        <v>4.189</v>
      </c>
      <c r="L173" s="60">
        <v>68.4189</v>
      </c>
      <c r="M173" s="60">
        <v>48.1</v>
      </c>
      <c r="N173" s="60">
        <v>47.5</v>
      </c>
      <c r="O173" s="59" t="s">
        <v>278</v>
      </c>
      <c r="P173" s="59" t="s">
        <v>278</v>
      </c>
      <c r="Q173" s="61" t="s">
        <v>481</v>
      </c>
      <c r="R173" s="62">
        <v>86.1542686274155</v>
      </c>
      <c r="S173" s="63">
        <v>0.023</v>
      </c>
      <c r="T173" s="63">
        <v>88.7447541640159</v>
      </c>
      <c r="U173" s="60">
        <v>93.7075305044559</v>
      </c>
      <c r="V173" s="60">
        <v>18.6714516861079</v>
      </c>
      <c r="W173" s="60">
        <v>0.487333339998828</v>
      </c>
      <c r="X173" s="60">
        <v>74.5487454783492</v>
      </c>
      <c r="Y173" s="60">
        <v>19.9252414246687</v>
      </c>
      <c r="Z173" s="60">
        <v>0.520057819660133</v>
      </c>
      <c r="AA173" s="60">
        <v>79.5547007556712</v>
      </c>
      <c r="AB173" s="60">
        <v>0</v>
      </c>
      <c r="AC173" s="60">
        <v>4.96277634044001</v>
      </c>
      <c r="AD173" s="103">
        <v>5.7214</v>
      </c>
      <c r="AE173" s="103">
        <v>0</v>
      </c>
      <c r="AF173" s="103">
        <v>5.7214</v>
      </c>
      <c r="AG173" s="60" t="s">
        <v>134</v>
      </c>
      <c r="AH173" s="60" t="s">
        <v>134</v>
      </c>
      <c r="AI173" s="60" t="s">
        <v>134</v>
      </c>
      <c r="AK173" s="55" t="s">
        <v>134</v>
      </c>
      <c r="AL173" s="60">
        <v>26.7</v>
      </c>
      <c r="AM173" s="60">
        <v>0.3</v>
      </c>
      <c r="AN173" s="60">
        <v>0.1</v>
      </c>
      <c r="AO173" s="60">
        <v>0</v>
      </c>
      <c r="AP173" s="60">
        <v>3.2</v>
      </c>
      <c r="AQ173" s="60">
        <v>13.9</v>
      </c>
      <c r="AR173" s="60">
        <v>8</v>
      </c>
      <c r="AS173" s="60">
        <v>16.2189</v>
      </c>
      <c r="AT173" s="60">
        <f t="shared" si="44"/>
        <v>41.7189</v>
      </c>
      <c r="AU173" s="60">
        <f t="shared" si="45"/>
        <v>60.9756953122602</v>
      </c>
      <c r="AV173" s="97">
        <v>0</v>
      </c>
      <c r="AW173" s="53" t="s">
        <v>714</v>
      </c>
      <c r="AX173" s="53" t="s">
        <v>248</v>
      </c>
      <c r="AY173" s="53" t="s">
        <v>715</v>
      </c>
      <c r="AZ173" s="53" t="s">
        <v>212</v>
      </c>
      <c r="BA173" s="53" t="s">
        <v>204</v>
      </c>
      <c r="BB173" s="53" t="s">
        <v>716</v>
      </c>
      <c r="BC173" s="56">
        <v>8</v>
      </c>
      <c r="BD173" s="56">
        <v>16</v>
      </c>
      <c r="BE173" s="59">
        <f>U173/((VLOOKUP(B173,'Cell-Characteristics'!$B$4:$E$34,3,FALSE)*VLOOKUP(B173,'Cell-Characteristics'!$B$4:$E$34,4,FALSE)*3600)/1000)</f>
        <v>1.43021261453687</v>
      </c>
      <c r="BF173" s="90">
        <f t="shared" si="41"/>
        <v>3263.441060948</v>
      </c>
      <c r="BG173" s="90" t="e">
        <f t="shared" si="39"/>
        <v>#DIV/0!</v>
      </c>
      <c r="BH173" s="90">
        <f t="shared" si="40"/>
        <v>13029.8083473187</v>
      </c>
      <c r="BI173" s="90">
        <f t="shared" si="42"/>
        <v>24567.640045563</v>
      </c>
      <c r="BJ173" s="90">
        <f>BF173/((VLOOKUP(B173,'Cell-Characteristics'!$B$4:$Q$34,13,FALSE)))</f>
        <v>68.89022899893</v>
      </c>
      <c r="BK173" s="90" t="e">
        <f>BG173/((VLOOKUP(B173,'Cell-Characteristics'!$B$4:$Q$34,14,FALSE)))</f>
        <v>#DIV/0!</v>
      </c>
      <c r="BL173" s="90">
        <f>BH173/((VLOOKUP(B173,'Cell-Characteristics'!$B$4:$Q$34,15,FALSE)))</f>
        <v>3728.23655603123</v>
      </c>
      <c r="BM173" s="90">
        <f>BI173/((VLOOKUP(B173,'Cell-Characteristics'!$B$4:$Q$34,16,FALSE)))</f>
        <v>451.931644182112</v>
      </c>
      <c r="BN173" s="50">
        <f t="shared" si="43"/>
        <v>3.81426666666667</v>
      </c>
    </row>
    <row r="174" spans="2:66">
      <c r="B174" s="53" t="s">
        <v>144</v>
      </c>
      <c r="C174" s="107" t="s">
        <v>717</v>
      </c>
      <c r="D174" s="53" t="s">
        <v>405</v>
      </c>
      <c r="E174" s="55" t="s">
        <v>265</v>
      </c>
      <c r="F174" s="56" t="s">
        <v>195</v>
      </c>
      <c r="H174" s="57">
        <v>44300</v>
      </c>
      <c r="I174" s="58" t="s">
        <v>718</v>
      </c>
      <c r="J174" s="58">
        <v>100</v>
      </c>
      <c r="K174" s="59">
        <v>4.1797</v>
      </c>
      <c r="L174" s="60">
        <v>68.46</v>
      </c>
      <c r="M174" s="60">
        <v>49.5</v>
      </c>
      <c r="N174" s="60">
        <v>50.6</v>
      </c>
      <c r="O174" s="59" t="s">
        <v>278</v>
      </c>
      <c r="P174" s="59" t="s">
        <v>278</v>
      </c>
      <c r="Q174" s="61" t="s">
        <v>199</v>
      </c>
      <c r="R174" s="62">
        <v>101.338706152457</v>
      </c>
      <c r="S174" s="63">
        <v>0.029</v>
      </c>
      <c r="T174" s="63">
        <v>103.716017607897</v>
      </c>
      <c r="U174" s="60">
        <v>106.454123159325</v>
      </c>
      <c r="V174" s="60">
        <v>33.0761080784505</v>
      </c>
      <c r="W174" s="60">
        <v>68.0178186288345</v>
      </c>
      <c r="X174" s="60">
        <v>5.36019645203987</v>
      </c>
      <c r="Y174" s="60">
        <v>31.0707627819611</v>
      </c>
      <c r="Z174" s="60">
        <v>63.8940198934666</v>
      </c>
      <c r="AA174" s="60">
        <v>5.03521732457231</v>
      </c>
      <c r="AB174" s="60">
        <v>2.4384227377176</v>
      </c>
      <c r="AC174" s="60">
        <v>0.2996828137104</v>
      </c>
      <c r="AD174" s="120">
        <v>2</v>
      </c>
      <c r="AE174" s="120">
        <v>2</v>
      </c>
      <c r="AF174" s="120">
        <v>2</v>
      </c>
      <c r="AG174" s="60">
        <v>0</v>
      </c>
      <c r="AH174" s="60">
        <v>0</v>
      </c>
      <c r="AI174" s="60">
        <v>0</v>
      </c>
      <c r="AJ174" s="60">
        <v>11.2431</v>
      </c>
      <c r="AK174" s="55">
        <v>23.93188</v>
      </c>
      <c r="AL174" s="60">
        <v>28.59</v>
      </c>
      <c r="AM174" s="60">
        <v>1.37</v>
      </c>
      <c r="AN174" s="60">
        <v>15.12</v>
      </c>
      <c r="AO174" s="60">
        <v>1.94</v>
      </c>
      <c r="AP174" s="60">
        <v>0.26</v>
      </c>
      <c r="AQ174" s="60">
        <v>0.4</v>
      </c>
      <c r="AR174" s="60">
        <v>0.22</v>
      </c>
      <c r="AS174" s="60">
        <v>20.56</v>
      </c>
      <c r="AT174" s="60">
        <v>39.87</v>
      </c>
      <c r="AU174" s="60">
        <v>58.2383873794917</v>
      </c>
      <c r="AV174" s="60">
        <v>0</v>
      </c>
      <c r="AZ174" s="53" t="s">
        <v>212</v>
      </c>
      <c r="BC174" s="56">
        <v>3</v>
      </c>
      <c r="BD174" s="56">
        <v>3.7037037037037</v>
      </c>
      <c r="BE174" s="59">
        <f>U174/((VLOOKUP(B174,'Cell-Characteristics'!$B$4:$E$34,3,FALSE)*VLOOKUP(B174,'Cell-Characteristics'!$B$4:$E$34,4,FALSE)*3600)/1000)</f>
        <v>1.62475767947688</v>
      </c>
      <c r="BF174" s="90">
        <f t="shared" si="41"/>
        <v>16538.0540392253</v>
      </c>
      <c r="BG174" s="90">
        <f t="shared" si="39"/>
        <v>34008.9093144173</v>
      </c>
      <c r="BH174" s="90">
        <f t="shared" si="40"/>
        <v>2680.09822601993</v>
      </c>
      <c r="BI174" s="90">
        <f t="shared" si="42"/>
        <v>53227.0615796625</v>
      </c>
      <c r="BJ174" s="90">
        <f>BF174/((VLOOKUP(B174,'Cell-Characteristics'!$B$4:$Q$34,13,FALSE)))</f>
        <v>349.113193307664</v>
      </c>
      <c r="BK174" s="90">
        <f>BG174/((VLOOKUP(B174,'Cell-Characteristics'!$B$4:$Q$34,14,FALSE)))</f>
        <v>9731.01488195358</v>
      </c>
      <c r="BL174" s="90">
        <f>BH174/((VLOOKUP(B174,'Cell-Characteristics'!$B$4:$Q$34,15,FALSE)))</f>
        <v>766.860103668228</v>
      </c>
      <c r="BM174" s="90">
        <f>BI174/((VLOOKUP(B174,'Cell-Characteristics'!$B$4:$Q$34,16,FALSE)))</f>
        <v>979.133258630751</v>
      </c>
      <c r="BN174" s="50">
        <f t="shared" si="43"/>
        <v>2</v>
      </c>
    </row>
    <row r="175" spans="2:66">
      <c r="B175" s="53" t="s">
        <v>144</v>
      </c>
      <c r="C175" s="107" t="s">
        <v>719</v>
      </c>
      <c r="D175" s="53" t="s">
        <v>405</v>
      </c>
      <c r="E175" s="55" t="s">
        <v>265</v>
      </c>
      <c r="F175" s="56" t="s">
        <v>195</v>
      </c>
      <c r="H175" s="57">
        <v>44300</v>
      </c>
      <c r="I175" s="58" t="s">
        <v>718</v>
      </c>
      <c r="J175" s="58">
        <v>100</v>
      </c>
      <c r="K175" s="59">
        <v>4.1768</v>
      </c>
      <c r="L175" s="60">
        <v>68.36</v>
      </c>
      <c r="M175" s="60">
        <v>48.9</v>
      </c>
      <c r="N175" s="60">
        <v>48.4</v>
      </c>
      <c r="O175" s="59" t="s">
        <v>278</v>
      </c>
      <c r="P175" s="59" t="s">
        <v>278</v>
      </c>
      <c r="Q175" s="61" t="s">
        <v>381</v>
      </c>
      <c r="R175" s="62">
        <v>100.261328237565</v>
      </c>
      <c r="S175" s="63">
        <v>0.03</v>
      </c>
      <c r="T175" s="63">
        <v>102.803454300057</v>
      </c>
      <c r="U175" s="60">
        <v>109.369716830584</v>
      </c>
      <c r="V175" s="60">
        <v>33.2229118228995</v>
      </c>
      <c r="W175" s="60">
        <v>74.6753119701417</v>
      </c>
      <c r="X175" s="60">
        <v>1.4714930375432</v>
      </c>
      <c r="Y175" s="60">
        <v>30.3767009604335</v>
      </c>
      <c r="Z175" s="60">
        <v>68.2778689880079</v>
      </c>
      <c r="AA175" s="60">
        <v>1.34543005155857</v>
      </c>
      <c r="AB175" s="60">
        <v>6.5662625305272</v>
      </c>
      <c r="AC175" s="60">
        <v>0</v>
      </c>
      <c r="AD175" s="120">
        <v>2</v>
      </c>
      <c r="AE175" s="120">
        <v>2</v>
      </c>
      <c r="AF175" s="120">
        <v>2</v>
      </c>
      <c r="AG175" s="60">
        <v>0</v>
      </c>
      <c r="AH175" s="60">
        <v>0</v>
      </c>
      <c r="AI175" s="60">
        <v>0</v>
      </c>
      <c r="AJ175" s="60">
        <v>18.9807</v>
      </c>
      <c r="AK175" s="55">
        <v>29.300635</v>
      </c>
      <c r="AL175" s="60">
        <v>27.96</v>
      </c>
      <c r="AM175" s="60">
        <v>1.06</v>
      </c>
      <c r="AN175" s="60">
        <v>15.85</v>
      </c>
      <c r="AO175" s="60">
        <v>1.31</v>
      </c>
      <c r="AP175" s="60">
        <v>0</v>
      </c>
      <c r="AQ175" s="60">
        <v>0</v>
      </c>
      <c r="AR175" s="60">
        <v>0</v>
      </c>
      <c r="AS175" s="60">
        <v>22.18</v>
      </c>
      <c r="AT175" s="60">
        <v>40.4</v>
      </c>
      <c r="AU175" s="60">
        <v>59.0988882387361</v>
      </c>
      <c r="AV175" s="60">
        <v>0</v>
      </c>
      <c r="AZ175" s="53" t="s">
        <v>212</v>
      </c>
      <c r="BC175" s="56">
        <v>1</v>
      </c>
      <c r="BD175" s="56">
        <v>1.23456790123457</v>
      </c>
      <c r="BE175" s="59">
        <f>U175/((VLOOKUP(B175,'Cell-Characteristics'!$B$4:$E$34,3,FALSE)*VLOOKUP(B175,'Cell-Characteristics'!$B$4:$E$34,4,FALSE)*3600)/1000)</f>
        <v>1.66925697238376</v>
      </c>
      <c r="BF175" s="90">
        <f t="shared" si="41"/>
        <v>16611.4559114497</v>
      </c>
      <c r="BG175" s="90">
        <f t="shared" si="39"/>
        <v>37337.6559850709</v>
      </c>
      <c r="BH175" s="90">
        <f t="shared" si="40"/>
        <v>735.7465187716</v>
      </c>
      <c r="BI175" s="90">
        <f t="shared" si="42"/>
        <v>54684.858415292</v>
      </c>
      <c r="BJ175" s="90">
        <f>BF175/((VLOOKUP(B175,'Cell-Characteristics'!$B$4:$Q$34,13,FALSE)))</f>
        <v>350.662684072797</v>
      </c>
      <c r="BK175" s="90">
        <f>BG175/((VLOOKUP(B175,'Cell-Characteristics'!$B$4:$Q$34,14,FALSE)))</f>
        <v>10683.4736359499</v>
      </c>
      <c r="BL175" s="90">
        <f>BH175/((VLOOKUP(B175,'Cell-Characteristics'!$B$4:$Q$34,15,FALSE)))</f>
        <v>210.520139217663</v>
      </c>
      <c r="BM175" s="90">
        <f>BI175/((VLOOKUP(B175,'Cell-Characteristics'!$B$4:$Q$34,16,FALSE)))</f>
        <v>1005.95001919822</v>
      </c>
      <c r="BN175" s="50">
        <f t="shared" si="43"/>
        <v>2</v>
      </c>
    </row>
    <row r="176" spans="2:66">
      <c r="B176" s="53" t="s">
        <v>144</v>
      </c>
      <c r="C176" s="107" t="s">
        <v>720</v>
      </c>
      <c r="D176" s="53" t="s">
        <v>405</v>
      </c>
      <c r="E176" s="55" t="s">
        <v>265</v>
      </c>
      <c r="F176" s="56" t="s">
        <v>195</v>
      </c>
      <c r="H176" s="57">
        <v>44300</v>
      </c>
      <c r="I176" s="58" t="s">
        <v>718</v>
      </c>
      <c r="J176" s="58">
        <v>100</v>
      </c>
      <c r="K176" s="59">
        <v>4.1757</v>
      </c>
      <c r="L176" s="60">
        <v>68.52</v>
      </c>
      <c r="M176" s="60">
        <v>49.8</v>
      </c>
      <c r="N176" s="60">
        <v>48.4</v>
      </c>
      <c r="O176" s="59" t="s">
        <v>278</v>
      </c>
      <c r="P176" s="59" t="s">
        <v>278</v>
      </c>
      <c r="Q176" s="61" t="s">
        <v>381</v>
      </c>
      <c r="R176" s="62">
        <v>101.446895704406</v>
      </c>
      <c r="S176" s="63">
        <v>0.028</v>
      </c>
      <c r="T176" s="63">
        <v>103.984778889196</v>
      </c>
      <c r="U176" s="60">
        <v>110.490191280742</v>
      </c>
      <c r="V176" s="60">
        <v>27.0408810395301</v>
      </c>
      <c r="W176" s="60">
        <v>83.0611455134069</v>
      </c>
      <c r="X176" s="60">
        <v>0.388164727805354</v>
      </c>
      <c r="Y176" s="60">
        <v>24.4735579928742</v>
      </c>
      <c r="Z176" s="60">
        <v>75.1751305257119</v>
      </c>
      <c r="AA176" s="60">
        <v>0.351311481413833</v>
      </c>
      <c r="AB176" s="60">
        <v>6.5054123915466</v>
      </c>
      <c r="AC176" s="60">
        <v>0</v>
      </c>
      <c r="AD176" s="120">
        <v>2</v>
      </c>
      <c r="AE176" s="120">
        <v>2</v>
      </c>
      <c r="AF176" s="120">
        <v>2</v>
      </c>
      <c r="AG176" s="60">
        <v>0</v>
      </c>
      <c r="AH176" s="60">
        <v>0</v>
      </c>
      <c r="AI176" s="60">
        <v>0</v>
      </c>
      <c r="AJ176" s="60">
        <v>20.5987</v>
      </c>
      <c r="AK176" s="55">
        <v>29.21702</v>
      </c>
      <c r="AL176" s="60">
        <v>26.88</v>
      </c>
      <c r="AM176" s="60">
        <v>0.75</v>
      </c>
      <c r="AN176" s="60">
        <v>18.92</v>
      </c>
      <c r="AO176" s="60">
        <v>1.74</v>
      </c>
      <c r="AP176" s="60">
        <v>0</v>
      </c>
      <c r="AQ176" s="60">
        <v>0</v>
      </c>
      <c r="AR176" s="60">
        <v>0</v>
      </c>
      <c r="AS176" s="60">
        <v>20.23</v>
      </c>
      <c r="AT176" s="60">
        <v>41.64</v>
      </c>
      <c r="AU176" s="60">
        <v>60.7705779334501</v>
      </c>
      <c r="AV176" s="60">
        <v>0</v>
      </c>
      <c r="AW176" s="53" t="s">
        <v>721</v>
      </c>
      <c r="AZ176" s="53" t="s">
        <v>212</v>
      </c>
      <c r="BC176" s="56">
        <v>3</v>
      </c>
      <c r="BD176" s="56">
        <v>3.7037037037037</v>
      </c>
      <c r="BE176" s="59">
        <f>U176/((VLOOKUP(B176,'Cell-Characteristics'!$B$4:$E$34,3,FALSE)*VLOOKUP(B176,'Cell-Characteristics'!$B$4:$E$34,4,FALSE)*3600)/1000)</f>
        <v>1.68635823078056</v>
      </c>
      <c r="BF176" s="90">
        <f t="shared" si="41"/>
        <v>13520.4405197651</v>
      </c>
      <c r="BG176" s="90">
        <f t="shared" si="39"/>
        <v>41530.5727567034</v>
      </c>
      <c r="BH176" s="90">
        <f t="shared" si="40"/>
        <v>194.082363902677</v>
      </c>
      <c r="BI176" s="90">
        <f t="shared" si="42"/>
        <v>55245.095640371</v>
      </c>
      <c r="BJ176" s="90">
        <f>BF176/((VLOOKUP(B176,'Cell-Characteristics'!$B$4:$Q$34,13,FALSE)))</f>
        <v>285.412307493139</v>
      </c>
      <c r="BK176" s="90">
        <f>BG176/((VLOOKUP(B176,'Cell-Characteristics'!$B$4:$Q$34,14,FALSE)))</f>
        <v>11883.1985411603</v>
      </c>
      <c r="BL176" s="90">
        <f>BH176/((VLOOKUP(B176,'Cell-Characteristics'!$B$4:$Q$34,15,FALSE)))</f>
        <v>55.5330473553601</v>
      </c>
      <c r="BM176" s="90">
        <f>BI176/((VLOOKUP(B176,'Cell-Characteristics'!$B$4:$Q$34,16,FALSE)))</f>
        <v>1016.25580883826</v>
      </c>
      <c r="BN176" s="50">
        <f t="shared" si="43"/>
        <v>2</v>
      </c>
    </row>
    <row r="177" spans="2:66">
      <c r="B177" s="53" t="s">
        <v>144</v>
      </c>
      <c r="C177" s="107" t="s">
        <v>722</v>
      </c>
      <c r="D177" s="53" t="s">
        <v>405</v>
      </c>
      <c r="E177" s="55" t="s">
        <v>265</v>
      </c>
      <c r="F177" s="56" t="s">
        <v>195</v>
      </c>
      <c r="H177" s="57">
        <v>44300</v>
      </c>
      <c r="I177" s="58" t="s">
        <v>718</v>
      </c>
      <c r="J177" s="58">
        <v>100</v>
      </c>
      <c r="K177" s="59">
        <v>4.176</v>
      </c>
      <c r="L177" s="60">
        <v>68.05</v>
      </c>
      <c r="M177" s="60">
        <v>46.9</v>
      </c>
      <c r="N177" s="60">
        <v>48.4</v>
      </c>
      <c r="O177" s="59" t="s">
        <v>278</v>
      </c>
      <c r="P177" s="59" t="s">
        <v>278</v>
      </c>
      <c r="Q177" s="61" t="s">
        <v>381</v>
      </c>
      <c r="R177" s="62">
        <v>104.613007564152</v>
      </c>
      <c r="S177" s="63">
        <v>0.027</v>
      </c>
      <c r="T177" s="63">
        <v>106.54390531807</v>
      </c>
      <c r="U177" s="60">
        <v>110.833034304706</v>
      </c>
      <c r="V177" s="60">
        <v>21.4952545814092</v>
      </c>
      <c r="W177" s="60">
        <v>89.3261016522013</v>
      </c>
      <c r="X177" s="60">
        <v>0.0116780710954399</v>
      </c>
      <c r="Y177" s="60">
        <v>19.3942669857019</v>
      </c>
      <c r="Z177" s="60">
        <v>80.5951963803706</v>
      </c>
      <c r="AA177" s="60">
        <v>0.0105366339275113</v>
      </c>
      <c r="AB177" s="60">
        <v>4.289128986636</v>
      </c>
      <c r="AC177" s="60">
        <v>0</v>
      </c>
      <c r="AD177" s="120">
        <v>2</v>
      </c>
      <c r="AE177" s="120">
        <v>2</v>
      </c>
      <c r="AF177" s="120">
        <v>2</v>
      </c>
      <c r="AG177" s="60">
        <v>0</v>
      </c>
      <c r="AH177" s="60">
        <v>0</v>
      </c>
      <c r="AI177" s="60">
        <v>0</v>
      </c>
      <c r="AJ177" s="60">
        <v>21.0691</v>
      </c>
      <c r="AK177" s="55">
        <v>29.11062</v>
      </c>
      <c r="AL177" s="60">
        <v>20.97</v>
      </c>
      <c r="AM177" s="60">
        <v>2.26</v>
      </c>
      <c r="AN177" s="60">
        <v>27.31</v>
      </c>
      <c r="AO177" s="60">
        <v>3.73</v>
      </c>
      <c r="AP177" s="60">
        <v>0</v>
      </c>
      <c r="AQ177" s="60">
        <v>0</v>
      </c>
      <c r="AR177" s="60">
        <v>0</v>
      </c>
      <c r="AS177" s="60">
        <v>13.78</v>
      </c>
      <c r="AT177" s="60">
        <v>47.08</v>
      </c>
      <c r="AU177" s="60">
        <v>69.1844232182219</v>
      </c>
      <c r="AV177" s="60">
        <v>0</v>
      </c>
      <c r="AZ177" s="53" t="s">
        <v>212</v>
      </c>
      <c r="BC177" s="56">
        <v>5</v>
      </c>
      <c r="BD177" s="56">
        <v>6.17283950617284</v>
      </c>
      <c r="BE177" s="59">
        <f>U177/((VLOOKUP(B177,'Cell-Characteristics'!$B$4:$E$34,3,FALSE)*VLOOKUP(B177,'Cell-Characteristics'!$B$4:$E$34,4,FALSE)*3600)/1000)</f>
        <v>1.69159087766645</v>
      </c>
      <c r="BF177" s="90">
        <f t="shared" si="41"/>
        <v>10747.6272907046</v>
      </c>
      <c r="BG177" s="90">
        <f t="shared" si="39"/>
        <v>44663.0508261007</v>
      </c>
      <c r="BH177" s="90">
        <f t="shared" si="40"/>
        <v>5.83903554771995</v>
      </c>
      <c r="BI177" s="90">
        <f t="shared" si="42"/>
        <v>55416.517152353</v>
      </c>
      <c r="BJ177" s="90">
        <f>BF177/((VLOOKUP(B177,'Cell-Characteristics'!$B$4:$Q$34,13,FALSE)))</f>
        <v>226.87907991104</v>
      </c>
      <c r="BK177" s="90">
        <f>BG177/((VLOOKUP(B177,'Cell-Characteristics'!$B$4:$Q$34,14,FALSE)))</f>
        <v>12779.4986967721</v>
      </c>
      <c r="BL177" s="90">
        <f>BH177/((VLOOKUP(B177,'Cell-Characteristics'!$B$4:$Q$34,15,FALSE)))</f>
        <v>1.67073108066513</v>
      </c>
      <c r="BM177" s="90">
        <f>BI177/((VLOOKUP(B177,'Cell-Characteristics'!$B$4:$Q$34,16,FALSE)))</f>
        <v>1019.40917666743</v>
      </c>
      <c r="BN177" s="50">
        <f t="shared" si="43"/>
        <v>2</v>
      </c>
    </row>
    <row r="178" spans="2:66">
      <c r="B178" s="53" t="s">
        <v>144</v>
      </c>
      <c r="C178" s="107" t="s">
        <v>723</v>
      </c>
      <c r="D178" s="53" t="s">
        <v>405</v>
      </c>
      <c r="E178" s="55" t="s">
        <v>265</v>
      </c>
      <c r="F178" s="56" t="s">
        <v>195</v>
      </c>
      <c r="H178" s="57">
        <v>44300</v>
      </c>
      <c r="I178" s="58" t="s">
        <v>718</v>
      </c>
      <c r="J178" s="58">
        <v>100</v>
      </c>
      <c r="K178" s="59">
        <v>4.1727</v>
      </c>
      <c r="L178" s="60">
        <v>68.23</v>
      </c>
      <c r="M178" s="60">
        <v>51</v>
      </c>
      <c r="N178" s="60">
        <v>48.4</v>
      </c>
      <c r="O178" s="59" t="s">
        <v>278</v>
      </c>
      <c r="P178" s="59" t="s">
        <v>278</v>
      </c>
      <c r="Q178" s="61" t="s">
        <v>381</v>
      </c>
      <c r="R178" s="62">
        <v>103.656124874233</v>
      </c>
      <c r="S178" s="63">
        <v>0.028</v>
      </c>
      <c r="T178" s="63">
        <v>105.699488604156</v>
      </c>
      <c r="U178" s="60">
        <v>109.462838443749</v>
      </c>
      <c r="V178" s="60">
        <v>24.7390417936356</v>
      </c>
      <c r="W178" s="60">
        <v>84.1607484057353</v>
      </c>
      <c r="X178" s="60">
        <v>0.563048244377881</v>
      </c>
      <c r="Y178" s="60">
        <v>22.6004022418517</v>
      </c>
      <c r="Z178" s="60">
        <v>76.8852238826095</v>
      </c>
      <c r="AA178" s="60">
        <v>0.514373875538795</v>
      </c>
      <c r="AB178" s="60">
        <v>3.7633498395924</v>
      </c>
      <c r="AC178" s="60">
        <v>0</v>
      </c>
      <c r="AD178" s="120">
        <v>2</v>
      </c>
      <c r="AE178" s="120">
        <v>2</v>
      </c>
      <c r="AF178" s="120">
        <v>2</v>
      </c>
      <c r="AG178" s="60">
        <v>0</v>
      </c>
      <c r="AH178" s="60">
        <v>0</v>
      </c>
      <c r="AI178" s="60">
        <v>0</v>
      </c>
      <c r="AJ178" s="60">
        <v>23.8592</v>
      </c>
      <c r="AK178" s="55">
        <v>29.151325</v>
      </c>
      <c r="AL178" s="60">
        <v>19.38</v>
      </c>
      <c r="AM178" s="60">
        <v>10.94</v>
      </c>
      <c r="AN178" s="60">
        <v>22.52</v>
      </c>
      <c r="AO178" s="60">
        <v>3.26</v>
      </c>
      <c r="AP178" s="60">
        <v>0</v>
      </c>
      <c r="AQ178" s="60">
        <v>0</v>
      </c>
      <c r="AR178" s="60">
        <v>0</v>
      </c>
      <c r="AS178" s="60">
        <v>12.13</v>
      </c>
      <c r="AT178" s="60">
        <v>48.85</v>
      </c>
      <c r="AU178" s="60">
        <v>71.596072109043</v>
      </c>
      <c r="AV178" s="60">
        <v>0</v>
      </c>
      <c r="AZ178" s="53" t="s">
        <v>212</v>
      </c>
      <c r="BC178" s="56">
        <v>2</v>
      </c>
      <c r="BD178" s="56">
        <v>2.46913580246914</v>
      </c>
      <c r="BE178" s="59">
        <f>U178/((VLOOKUP(B178,'Cell-Characteristics'!$B$4:$E$34,3,FALSE)*VLOOKUP(B178,'Cell-Characteristics'!$B$4:$E$34,4,FALSE)*3600)/1000)</f>
        <v>1.67067824242596</v>
      </c>
      <c r="BF178" s="90">
        <f t="shared" si="41"/>
        <v>12369.5208968178</v>
      </c>
      <c r="BG178" s="90">
        <f t="shared" si="39"/>
        <v>42080.3742028676</v>
      </c>
      <c r="BH178" s="90">
        <f t="shared" si="40"/>
        <v>281.524122188941</v>
      </c>
      <c r="BI178" s="90">
        <f t="shared" si="42"/>
        <v>54731.4192218745</v>
      </c>
      <c r="BJ178" s="90">
        <f>BF178/((VLOOKUP(B178,'Cell-Characteristics'!$B$4:$Q$34,13,FALSE)))</f>
        <v>261.116751083989</v>
      </c>
      <c r="BK178" s="90">
        <f>BG178/((VLOOKUP(B178,'Cell-Characteristics'!$B$4:$Q$34,14,FALSE)))</f>
        <v>12040.513967106</v>
      </c>
      <c r="BL178" s="90">
        <f>BH178/((VLOOKUP(B178,'Cell-Characteristics'!$B$4:$Q$34,15,FALSE)))</f>
        <v>80.5528750517191</v>
      </c>
      <c r="BM178" s="90">
        <f>BI178/((VLOOKUP(B178,'Cell-Characteristics'!$B$4:$Q$34,16,FALSE)))</f>
        <v>1006.80652400837</v>
      </c>
      <c r="BN178" s="50">
        <f t="shared" si="43"/>
        <v>2</v>
      </c>
    </row>
    <row r="179" spans="2:66">
      <c r="B179" s="53" t="s">
        <v>144</v>
      </c>
      <c r="C179" s="107" t="s">
        <v>724</v>
      </c>
      <c r="D179" s="53" t="s">
        <v>405</v>
      </c>
      <c r="E179" s="55" t="s">
        <v>265</v>
      </c>
      <c r="F179" s="56" t="s">
        <v>195</v>
      </c>
      <c r="H179" s="57">
        <v>44301</v>
      </c>
      <c r="I179" s="58" t="s">
        <v>725</v>
      </c>
      <c r="J179" s="58">
        <v>60</v>
      </c>
      <c r="K179" s="59">
        <v>3.8277</v>
      </c>
      <c r="L179" s="60">
        <v>68.41</v>
      </c>
      <c r="M179" s="60">
        <v>54.3</v>
      </c>
      <c r="N179" s="60">
        <v>48.4</v>
      </c>
      <c r="O179" s="59" t="s">
        <v>278</v>
      </c>
      <c r="P179" s="59" t="s">
        <v>278</v>
      </c>
      <c r="Q179" s="61" t="s">
        <v>381</v>
      </c>
      <c r="R179" s="62">
        <v>81.4314869428501</v>
      </c>
      <c r="S179" s="63">
        <v>0.026</v>
      </c>
      <c r="T179" s="63">
        <v>84.3588208628</v>
      </c>
      <c r="U179" s="60">
        <v>86.9198050075772</v>
      </c>
      <c r="V179" s="60">
        <v>24.2828527722727</v>
      </c>
      <c r="W179" s="60">
        <v>62.4461150458017</v>
      </c>
      <c r="X179" s="60">
        <v>0.190837189502764</v>
      </c>
      <c r="Y179" s="60">
        <v>27.9370769068751</v>
      </c>
      <c r="Z179" s="60">
        <v>71.8433676195638</v>
      </c>
      <c r="AA179" s="60">
        <v>0.219555473561093</v>
      </c>
      <c r="AB179" s="60">
        <v>2.5609841447772</v>
      </c>
      <c r="AC179" s="60">
        <v>0</v>
      </c>
      <c r="AD179" s="120">
        <v>2</v>
      </c>
      <c r="AE179" s="120">
        <v>2</v>
      </c>
      <c r="AF179" s="120">
        <v>2</v>
      </c>
      <c r="AG179" s="60">
        <v>0</v>
      </c>
      <c r="AH179" s="60">
        <v>0</v>
      </c>
      <c r="AI179" s="60">
        <v>0</v>
      </c>
      <c r="AJ179" s="60">
        <v>11.2142</v>
      </c>
      <c r="AK179" s="55">
        <v>20.34709</v>
      </c>
      <c r="AL179" s="60">
        <v>27.14</v>
      </c>
      <c r="AM179" s="60">
        <v>9.32</v>
      </c>
      <c r="AN179" s="60">
        <v>18.22</v>
      </c>
      <c r="AO179" s="60">
        <v>1.47</v>
      </c>
      <c r="AP179" s="60">
        <v>0</v>
      </c>
      <c r="AQ179" s="60">
        <v>0</v>
      </c>
      <c r="AR179" s="60">
        <v>0</v>
      </c>
      <c r="AS179" s="60">
        <v>12.26</v>
      </c>
      <c r="AT179" s="60">
        <v>41.27</v>
      </c>
      <c r="AU179" s="60">
        <v>60.3274375091361</v>
      </c>
      <c r="AV179" s="60">
        <v>0</v>
      </c>
      <c r="AZ179" s="53" t="s">
        <v>212</v>
      </c>
      <c r="BC179" s="56">
        <v>3</v>
      </c>
      <c r="BD179" s="56">
        <v>3.7037037037037</v>
      </c>
      <c r="BE179" s="59">
        <f>U179/((VLOOKUP(B179,'Cell-Characteristics'!$B$4:$E$34,3,FALSE)*VLOOKUP(B179,'Cell-Characteristics'!$B$4:$E$34,4,FALSE)*3600)/1000)</f>
        <v>1.326614850543</v>
      </c>
      <c r="BF179" s="90">
        <f t="shared" si="41"/>
        <v>12141.4263861364</v>
      </c>
      <c r="BG179" s="90">
        <f t="shared" si="39"/>
        <v>31223.0575229009</v>
      </c>
      <c r="BH179" s="90">
        <f t="shared" si="40"/>
        <v>95.418594751382</v>
      </c>
      <c r="BI179" s="90">
        <f t="shared" si="42"/>
        <v>43459.9025037886</v>
      </c>
      <c r="BJ179" s="90">
        <f>BF179/((VLOOKUP(B179,'Cell-Characteristics'!$B$4:$Q$34,13,FALSE)))</f>
        <v>256.301746681955</v>
      </c>
      <c r="BK179" s="90">
        <f>BG179/((VLOOKUP(B179,'Cell-Characteristics'!$B$4:$Q$34,14,FALSE)))</f>
        <v>8933.8953686068</v>
      </c>
      <c r="BL179" s="90">
        <f>BH179/((VLOOKUP(B179,'Cell-Characteristics'!$B$4:$Q$34,15,FALSE)))</f>
        <v>27.3022506236968</v>
      </c>
      <c r="BM179" s="90">
        <f>BI179/((VLOOKUP(B179,'Cell-Characteristics'!$B$4:$Q$34,16,FALSE)))</f>
        <v>799.462429362592</v>
      </c>
      <c r="BN179" s="50">
        <f t="shared" si="43"/>
        <v>2</v>
      </c>
    </row>
    <row r="180" spans="2:66">
      <c r="B180" s="53" t="s">
        <v>144</v>
      </c>
      <c r="C180" s="107" t="s">
        <v>726</v>
      </c>
      <c r="D180" s="53" t="s">
        <v>405</v>
      </c>
      <c r="E180" s="55" t="s">
        <v>265</v>
      </c>
      <c r="F180" s="56" t="s">
        <v>195</v>
      </c>
      <c r="H180" s="57">
        <v>44301</v>
      </c>
      <c r="I180" s="58" t="s">
        <v>725</v>
      </c>
      <c r="J180" s="58">
        <v>60</v>
      </c>
      <c r="K180" s="59">
        <v>3.8249</v>
      </c>
      <c r="L180" s="60">
        <v>68.4</v>
      </c>
      <c r="M180" s="60">
        <v>48.7</v>
      </c>
      <c r="N180" s="60">
        <v>48.4</v>
      </c>
      <c r="O180" s="59" t="s">
        <v>278</v>
      </c>
      <c r="P180" s="59" t="s">
        <v>278</v>
      </c>
      <c r="Q180" s="61" t="s">
        <v>381</v>
      </c>
      <c r="R180" s="62">
        <v>75.4188127735055</v>
      </c>
      <c r="S180" s="63">
        <v>0.022</v>
      </c>
      <c r="T180" s="63">
        <v>79.0714351198736</v>
      </c>
      <c r="U180" s="60">
        <v>81.4254620617646</v>
      </c>
      <c r="V180" s="60">
        <v>27.2056276805991</v>
      </c>
      <c r="W180" s="60">
        <v>54.1746079232117</v>
      </c>
      <c r="X180" s="60">
        <v>0.0452264579537878</v>
      </c>
      <c r="Y180" s="60">
        <v>33.4116957911304</v>
      </c>
      <c r="Z180" s="60">
        <v>66.5327608237802</v>
      </c>
      <c r="AA180" s="60">
        <v>0.0555433850893983</v>
      </c>
      <c r="AB180" s="60">
        <v>2.354026941891</v>
      </c>
      <c r="AC180" s="60">
        <v>0</v>
      </c>
      <c r="AD180" s="120">
        <v>2</v>
      </c>
      <c r="AE180" s="120">
        <v>2</v>
      </c>
      <c r="AF180" s="120">
        <v>2</v>
      </c>
      <c r="AG180" s="60">
        <v>0</v>
      </c>
      <c r="AH180" s="60">
        <v>0</v>
      </c>
      <c r="AI180" s="60">
        <v>0</v>
      </c>
      <c r="AJ180" s="60">
        <v>14.6308</v>
      </c>
      <c r="AK180" s="55">
        <v>24.691545</v>
      </c>
      <c r="AL180" s="60">
        <v>35.67</v>
      </c>
      <c r="AM180" s="60">
        <v>6.94</v>
      </c>
      <c r="AN180" s="60">
        <v>12.26</v>
      </c>
      <c r="AO180" s="60">
        <v>1.36</v>
      </c>
      <c r="AP180" s="60">
        <v>0</v>
      </c>
      <c r="AQ180" s="60">
        <v>0</v>
      </c>
      <c r="AR180" s="60">
        <v>0</v>
      </c>
      <c r="AS180" s="60">
        <v>12.17</v>
      </c>
      <c r="AT180" s="60">
        <v>32.73</v>
      </c>
      <c r="AU180" s="60">
        <v>47.8508771929825</v>
      </c>
      <c r="AV180" s="60">
        <v>0</v>
      </c>
      <c r="AZ180" s="53" t="s">
        <v>212</v>
      </c>
      <c r="BC180" s="56">
        <v>2</v>
      </c>
      <c r="BD180" s="56">
        <v>2.46913580246914</v>
      </c>
      <c r="BE180" s="59">
        <f>U180/((VLOOKUP(B180,'Cell-Characteristics'!$B$4:$E$34,3,FALSE)*VLOOKUP(B180,'Cell-Characteristics'!$B$4:$E$34,4,FALSE)*3600)/1000)</f>
        <v>1.24275735747504</v>
      </c>
      <c r="BF180" s="90">
        <f t="shared" si="41"/>
        <v>13602.8138402996</v>
      </c>
      <c r="BG180" s="90">
        <f t="shared" si="39"/>
        <v>27087.3039616059</v>
      </c>
      <c r="BH180" s="90">
        <f t="shared" si="40"/>
        <v>22.6132289768939</v>
      </c>
      <c r="BI180" s="90">
        <f t="shared" si="42"/>
        <v>40712.7310308823</v>
      </c>
      <c r="BJ180" s="90">
        <f>BF180/((VLOOKUP(B180,'Cell-Characteristics'!$B$4:$Q$34,13,FALSE)))</f>
        <v>287.151182750587</v>
      </c>
      <c r="BK180" s="90">
        <f>BG180/((VLOOKUP(B180,'Cell-Characteristics'!$B$4:$Q$34,14,FALSE)))</f>
        <v>7750.52664951667</v>
      </c>
      <c r="BL180" s="90">
        <f>BH180/((VLOOKUP(B180,'Cell-Characteristics'!$B$4:$Q$34,15,FALSE)))</f>
        <v>6.47035356731931</v>
      </c>
      <c r="BM180" s="90">
        <f>BI180/((VLOOKUP(B180,'Cell-Characteristics'!$B$4:$Q$34,16,FALSE)))</f>
        <v>748.92710247331</v>
      </c>
      <c r="BN180" s="50">
        <f t="shared" si="43"/>
        <v>2</v>
      </c>
    </row>
    <row r="181" spans="2:66">
      <c r="B181" s="53" t="s">
        <v>144</v>
      </c>
      <c r="C181" s="107" t="s">
        <v>727</v>
      </c>
      <c r="D181" s="53" t="s">
        <v>405</v>
      </c>
      <c r="E181" s="55" t="s">
        <v>265</v>
      </c>
      <c r="F181" s="56" t="s">
        <v>195</v>
      </c>
      <c r="H181" s="57">
        <v>44301</v>
      </c>
      <c r="I181" s="58" t="s">
        <v>725</v>
      </c>
      <c r="J181" s="58">
        <v>60</v>
      </c>
      <c r="K181" s="59">
        <v>3.8199</v>
      </c>
      <c r="L181" s="60">
        <v>68.26</v>
      </c>
      <c r="M181" s="60">
        <v>51</v>
      </c>
      <c r="N181" s="60">
        <v>48.4</v>
      </c>
      <c r="O181" s="59" t="s">
        <v>278</v>
      </c>
      <c r="P181" s="59" t="s">
        <v>278</v>
      </c>
      <c r="Q181" s="61" t="s">
        <v>381</v>
      </c>
      <c r="R181" s="62">
        <v>76.0948716444177</v>
      </c>
      <c r="S181" s="63">
        <v>0.02</v>
      </c>
      <c r="T181" s="63">
        <v>78.8525827429126</v>
      </c>
      <c r="U181" s="60">
        <v>81.4189762746286</v>
      </c>
      <c r="V181" s="60">
        <v>28.705450020599</v>
      </c>
      <c r="W181" s="60">
        <v>52.5353975791728</v>
      </c>
      <c r="X181" s="60">
        <v>0.178128674856844</v>
      </c>
      <c r="Y181" s="60">
        <v>35.2564614958737</v>
      </c>
      <c r="Z181" s="60">
        <v>64.5247582111194</v>
      </c>
      <c r="AA181" s="60">
        <v>0.218780293006891</v>
      </c>
      <c r="AB181" s="60">
        <v>2.566393531716</v>
      </c>
      <c r="AC181" s="60">
        <v>0</v>
      </c>
      <c r="AD181" s="120">
        <v>2</v>
      </c>
      <c r="AE181" s="120">
        <v>2</v>
      </c>
      <c r="AF181" s="120">
        <v>2</v>
      </c>
      <c r="AG181" s="60">
        <v>0</v>
      </c>
      <c r="AH181" s="60">
        <v>0</v>
      </c>
      <c r="AI181" s="60">
        <v>0</v>
      </c>
      <c r="AJ181" s="60">
        <v>17.0655</v>
      </c>
      <c r="AK181" s="55">
        <v>26.47647</v>
      </c>
      <c r="AL181" s="60">
        <v>35.11</v>
      </c>
      <c r="AM181" s="60">
        <v>7.76</v>
      </c>
      <c r="AN181" s="60">
        <v>11.85</v>
      </c>
      <c r="AO181" s="60">
        <v>1.43</v>
      </c>
      <c r="AP181" s="60">
        <v>0</v>
      </c>
      <c r="AQ181" s="60">
        <v>0</v>
      </c>
      <c r="AR181" s="60">
        <v>0</v>
      </c>
      <c r="AS181" s="60">
        <v>12.11</v>
      </c>
      <c r="AT181" s="60">
        <v>33.15</v>
      </c>
      <c r="AU181" s="60">
        <v>48.5643129211837</v>
      </c>
      <c r="AV181" s="60">
        <v>0</v>
      </c>
      <c r="AZ181" s="53" t="s">
        <v>212</v>
      </c>
      <c r="BC181" s="56">
        <v>5</v>
      </c>
      <c r="BD181" s="56">
        <v>6.17283950617284</v>
      </c>
      <c r="BE181" s="59">
        <f>U181/((VLOOKUP(B181,'Cell-Characteristics'!$B$4:$E$34,3,FALSE)*VLOOKUP(B181,'Cell-Characteristics'!$B$4:$E$34,4,FALSE)*3600)/1000)</f>
        <v>1.24265836804989</v>
      </c>
      <c r="BF181" s="90">
        <f t="shared" si="41"/>
        <v>14352.7250102995</v>
      </c>
      <c r="BG181" s="90">
        <f t="shared" si="39"/>
        <v>26267.6987895864</v>
      </c>
      <c r="BH181" s="90">
        <f t="shared" si="40"/>
        <v>89.064337428422</v>
      </c>
      <c r="BI181" s="90">
        <f t="shared" si="42"/>
        <v>40709.4881373143</v>
      </c>
      <c r="BJ181" s="90">
        <f>BF181/((VLOOKUP(B181,'Cell-Characteristics'!$B$4:$Q$34,13,FALSE)))</f>
        <v>302.981575046732</v>
      </c>
      <c r="BK181" s="90">
        <f>BG181/((VLOOKUP(B181,'Cell-Characteristics'!$B$4:$Q$34,14,FALSE)))</f>
        <v>7516.01192125791</v>
      </c>
      <c r="BL181" s="90">
        <f>BH181/((VLOOKUP(B181,'Cell-Characteristics'!$B$4:$Q$34,15,FALSE)))</f>
        <v>25.4840984447537</v>
      </c>
      <c r="BM181" s="90">
        <f>BI181/((VLOOKUP(B181,'Cell-Characteristics'!$B$4:$Q$34,16,FALSE)))</f>
        <v>748.867448138609</v>
      </c>
      <c r="BN181" s="50">
        <f t="shared" si="43"/>
        <v>2</v>
      </c>
    </row>
    <row r="182" spans="2:66">
      <c r="B182" s="53" t="s">
        <v>144</v>
      </c>
      <c r="C182" s="107" t="s">
        <v>728</v>
      </c>
      <c r="D182" s="53" t="s">
        <v>405</v>
      </c>
      <c r="E182" s="55" t="s">
        <v>265</v>
      </c>
      <c r="F182" s="56" t="s">
        <v>195</v>
      </c>
      <c r="H182" s="57">
        <v>44301</v>
      </c>
      <c r="I182" s="58" t="s">
        <v>725</v>
      </c>
      <c r="J182" s="58">
        <v>60</v>
      </c>
      <c r="K182" s="59">
        <v>3.8257</v>
      </c>
      <c r="L182" s="60">
        <v>68.44</v>
      </c>
      <c r="M182" s="60">
        <v>50.9</v>
      </c>
      <c r="N182" s="60">
        <v>48.4</v>
      </c>
      <c r="O182" s="59" t="s">
        <v>278</v>
      </c>
      <c r="P182" s="59" t="s">
        <v>278</v>
      </c>
      <c r="Q182" s="61" t="s">
        <v>381</v>
      </c>
      <c r="R182" s="62">
        <v>71.0989974308544</v>
      </c>
      <c r="S182" s="63">
        <v>0.025</v>
      </c>
      <c r="T182" s="63">
        <v>75.1939243995805</v>
      </c>
      <c r="U182" s="60">
        <v>77.0521173304129</v>
      </c>
      <c r="V182" s="60">
        <v>39.3597284393427</v>
      </c>
      <c r="W182" s="60">
        <v>36.9015893457969</v>
      </c>
      <c r="X182" s="60">
        <v>0.790799545273276</v>
      </c>
      <c r="Y182" s="60">
        <v>51.0819556983247</v>
      </c>
      <c r="Z182" s="60">
        <v>47.8917265667814</v>
      </c>
      <c r="AA182" s="60">
        <v>1.02631773489389</v>
      </c>
      <c r="AB182" s="60">
        <v>1.8581929308324</v>
      </c>
      <c r="AC182" s="60">
        <v>0</v>
      </c>
      <c r="AD182" s="120">
        <v>2</v>
      </c>
      <c r="AE182" s="120">
        <v>2</v>
      </c>
      <c r="AF182" s="120">
        <v>2</v>
      </c>
      <c r="AG182" s="60">
        <v>0</v>
      </c>
      <c r="AH182" s="60">
        <v>0</v>
      </c>
      <c r="AI182" s="60">
        <v>0</v>
      </c>
      <c r="AJ182" s="60">
        <v>16.4257</v>
      </c>
      <c r="AK182" s="55">
        <v>27.050485</v>
      </c>
      <c r="AL182" s="60">
        <v>46.86</v>
      </c>
      <c r="AM182" s="60">
        <v>0.61</v>
      </c>
      <c r="AN182" s="60">
        <v>6.97</v>
      </c>
      <c r="AO182" s="60">
        <v>2.13</v>
      </c>
      <c r="AP182" s="60">
        <v>0</v>
      </c>
      <c r="AQ182" s="60">
        <v>0</v>
      </c>
      <c r="AR182" s="60">
        <v>0</v>
      </c>
      <c r="AS182" s="60">
        <v>11.87</v>
      </c>
      <c r="AT182" s="60">
        <v>21.58</v>
      </c>
      <c r="AU182" s="60">
        <v>31.531268264173</v>
      </c>
      <c r="AV182" s="60">
        <v>0</v>
      </c>
      <c r="AZ182" s="53" t="s">
        <v>212</v>
      </c>
      <c r="BC182" s="56">
        <v>2</v>
      </c>
      <c r="BD182" s="56">
        <v>2.46913580246914</v>
      </c>
      <c r="BE182" s="59">
        <f>U182/((VLOOKUP(B182,'Cell-Characteristics'!$B$4:$E$34,3,FALSE)*VLOOKUP(B182,'Cell-Characteristics'!$B$4:$E$34,4,FALSE)*3600)/1000)</f>
        <v>1.17600911676454</v>
      </c>
      <c r="BF182" s="90">
        <f t="shared" si="41"/>
        <v>19679.8642196714</v>
      </c>
      <c r="BG182" s="90">
        <f t="shared" si="39"/>
        <v>18450.7946728984</v>
      </c>
      <c r="BH182" s="90">
        <f t="shared" si="40"/>
        <v>395.399772636638</v>
      </c>
      <c r="BI182" s="90">
        <f t="shared" si="42"/>
        <v>38526.0586652065</v>
      </c>
      <c r="BJ182" s="90">
        <f>BF182/((VLOOKUP(B182,'Cell-Characteristics'!$B$4:$Q$34,13,FALSE)))</f>
        <v>415.435832129652</v>
      </c>
      <c r="BK182" s="90">
        <f>BG182/((VLOOKUP(B182,'Cell-Characteristics'!$B$4:$Q$34,14,FALSE)))</f>
        <v>5279.35065149916</v>
      </c>
      <c r="BL182" s="90">
        <f>BH182/((VLOOKUP(B182,'Cell-Characteristics'!$B$4:$Q$34,15,FALSE)))</f>
        <v>113.136267801951</v>
      </c>
      <c r="BM182" s="90">
        <f>BI182/((VLOOKUP(B182,'Cell-Characteristics'!$B$4:$Q$34,16,FALSE)))</f>
        <v>708.702382651841</v>
      </c>
      <c r="BN182" s="50">
        <f t="shared" si="43"/>
        <v>2</v>
      </c>
    </row>
    <row r="183" spans="2:66">
      <c r="B183" s="53" t="s">
        <v>144</v>
      </c>
      <c r="C183" s="107" t="s">
        <v>729</v>
      </c>
      <c r="D183" s="53" t="s">
        <v>405</v>
      </c>
      <c r="E183" s="55" t="s">
        <v>265</v>
      </c>
      <c r="F183" s="56" t="s">
        <v>195</v>
      </c>
      <c r="H183" s="57">
        <v>44302</v>
      </c>
      <c r="I183" s="58" t="s">
        <v>730</v>
      </c>
      <c r="J183" s="58">
        <v>40</v>
      </c>
      <c r="K183" s="59">
        <v>3.443</v>
      </c>
      <c r="L183" s="60">
        <v>68.36</v>
      </c>
      <c r="M183" s="60">
        <v>51</v>
      </c>
      <c r="N183" s="60">
        <v>48.4</v>
      </c>
      <c r="O183" s="59" t="s">
        <v>278</v>
      </c>
      <c r="P183" s="59" t="s">
        <v>278</v>
      </c>
      <c r="Q183" s="61" t="s">
        <v>424</v>
      </c>
      <c r="R183" s="62">
        <v>10.9342915419639</v>
      </c>
      <c r="S183" s="63">
        <v>0.001</v>
      </c>
      <c r="T183" s="63">
        <v>11.2763213303316</v>
      </c>
      <c r="U183" s="60">
        <v>11.2752345919146</v>
      </c>
      <c r="V183" s="60">
        <v>11.2752345919146</v>
      </c>
      <c r="W183" s="60">
        <v>0</v>
      </c>
      <c r="X183" s="60">
        <v>0</v>
      </c>
      <c r="Y183" s="60">
        <v>100</v>
      </c>
      <c r="Z183" s="60">
        <v>0</v>
      </c>
      <c r="AA183" s="60">
        <v>0</v>
      </c>
      <c r="AB183" s="60">
        <v>-0.00108673841700001</v>
      </c>
      <c r="AC183" s="60">
        <v>0</v>
      </c>
      <c r="AD183" s="120">
        <v>2</v>
      </c>
      <c r="AE183" s="120">
        <v>2</v>
      </c>
      <c r="AF183" s="120">
        <v>2</v>
      </c>
      <c r="AG183" s="60">
        <v>0</v>
      </c>
      <c r="AH183" s="60">
        <v>0</v>
      </c>
      <c r="AI183" s="60">
        <v>0</v>
      </c>
      <c r="AJ183" s="60">
        <v>18.2947</v>
      </c>
      <c r="AK183" s="55">
        <v>20.12067</v>
      </c>
      <c r="AL183" s="60">
        <v>68.81</v>
      </c>
      <c r="AM183" s="60">
        <v>0</v>
      </c>
      <c r="AN183" s="60">
        <v>0</v>
      </c>
      <c r="AO183" s="60">
        <v>0</v>
      </c>
      <c r="AP183" s="60">
        <v>0</v>
      </c>
      <c r="AQ183" s="60">
        <v>0</v>
      </c>
      <c r="AR183" s="60">
        <v>0</v>
      </c>
      <c r="AS183" s="60">
        <v>-0.450000000000003</v>
      </c>
      <c r="AT183" s="60">
        <v>-0.450000000000003</v>
      </c>
      <c r="AU183" s="60">
        <v>-0.6582796957285</v>
      </c>
      <c r="AV183" s="60">
        <v>0.0011</v>
      </c>
      <c r="AZ183" s="53" t="s">
        <v>212</v>
      </c>
      <c r="BC183" s="56">
        <v>1</v>
      </c>
      <c r="BD183" s="56">
        <v>1.23456790123457</v>
      </c>
      <c r="BE183" s="59">
        <f>U183/((VLOOKUP(B183,'Cell-Characteristics'!$B$4:$E$34,3,FALSE)*VLOOKUP(B183,'Cell-Characteristics'!$B$4:$E$34,4,FALSE)*3600)/1000)</f>
        <v>0.172088440047537</v>
      </c>
      <c r="BF183" s="90">
        <f t="shared" si="41"/>
        <v>5637.6172959573</v>
      </c>
      <c r="BG183" s="90">
        <f t="shared" si="39"/>
        <v>0</v>
      </c>
      <c r="BH183" s="90">
        <f t="shared" si="40"/>
        <v>0</v>
      </c>
      <c r="BI183" s="90">
        <f t="shared" si="42"/>
        <v>5637.6172959573</v>
      </c>
      <c r="BJ183" s="90">
        <f>BF183/((VLOOKUP(B183,'Cell-Characteristics'!$B$4:$Q$34,13,FALSE)))</f>
        <v>119.008353230074</v>
      </c>
      <c r="BK183" s="90">
        <f>BG183/((VLOOKUP(B183,'Cell-Characteristics'!$B$4:$Q$34,14,FALSE)))</f>
        <v>0</v>
      </c>
      <c r="BL183" s="90">
        <f>BH183/((VLOOKUP(B183,'Cell-Characteristics'!$B$4:$Q$34,15,FALSE)))</f>
        <v>0</v>
      </c>
      <c r="BM183" s="90">
        <f>BI183/((VLOOKUP(B183,'Cell-Characteristics'!$B$4:$Q$34,16,FALSE)))</f>
        <v>103.706243216944</v>
      </c>
      <c r="BN183" s="50">
        <f t="shared" si="43"/>
        <v>2</v>
      </c>
    </row>
    <row r="184" spans="2:66">
      <c r="B184" s="53" t="s">
        <v>144</v>
      </c>
      <c r="C184" s="107" t="s">
        <v>731</v>
      </c>
      <c r="D184" s="53" t="s">
        <v>405</v>
      </c>
      <c r="E184" s="55" t="s">
        <v>265</v>
      </c>
      <c r="F184" s="56" t="s">
        <v>195</v>
      </c>
      <c r="H184" s="57">
        <v>44302</v>
      </c>
      <c r="I184" s="58" t="s">
        <v>730</v>
      </c>
      <c r="J184" s="58">
        <v>40</v>
      </c>
      <c r="K184" s="59">
        <v>3.449</v>
      </c>
      <c r="L184" s="60">
        <v>68.36</v>
      </c>
      <c r="M184" s="60">
        <v>51</v>
      </c>
      <c r="N184" s="60">
        <v>48.4</v>
      </c>
      <c r="O184" s="59" t="s">
        <v>278</v>
      </c>
      <c r="P184" s="59" t="s">
        <v>278</v>
      </c>
      <c r="Q184" s="61" t="s">
        <v>424</v>
      </c>
      <c r="R184" s="62">
        <v>11.0686792230542</v>
      </c>
      <c r="S184" s="63">
        <v>0.002</v>
      </c>
      <c r="T184" s="63">
        <v>12.1043368607736</v>
      </c>
      <c r="U184" s="60">
        <v>12.1046933845398</v>
      </c>
      <c r="V184" s="60">
        <v>11.7523563686735</v>
      </c>
      <c r="W184" s="60">
        <v>0.210192864872533</v>
      </c>
      <c r="X184" s="60">
        <v>0.142144150993691</v>
      </c>
      <c r="Y184" s="60">
        <v>97.0892528652049</v>
      </c>
      <c r="Z184" s="60">
        <v>1.73645757224213</v>
      </c>
      <c r="AA184" s="60">
        <v>1.17428956255298</v>
      </c>
      <c r="AB184" s="60">
        <v>0.00035652376619999</v>
      </c>
      <c r="AC184" s="60">
        <v>0</v>
      </c>
      <c r="AD184" s="120">
        <v>2</v>
      </c>
      <c r="AE184" s="120">
        <v>2</v>
      </c>
      <c r="AF184" s="120">
        <v>2</v>
      </c>
      <c r="AG184" s="60">
        <v>0</v>
      </c>
      <c r="AH184" s="60">
        <v>0</v>
      </c>
      <c r="AI184" s="60">
        <v>0</v>
      </c>
      <c r="AJ184" s="60">
        <v>16.0239</v>
      </c>
      <c r="AK184" s="55">
        <v>19.49284</v>
      </c>
      <c r="AL184" s="60">
        <v>68.15</v>
      </c>
      <c r="AM184" s="60">
        <v>0</v>
      </c>
      <c r="AN184" s="60">
        <v>0</v>
      </c>
      <c r="AO184" s="60">
        <v>0</v>
      </c>
      <c r="AP184" s="60">
        <v>0</v>
      </c>
      <c r="AQ184" s="60">
        <v>0</v>
      </c>
      <c r="AR184" s="60">
        <v>0</v>
      </c>
      <c r="AS184" s="60">
        <v>0.209999999999994</v>
      </c>
      <c r="AT184" s="60">
        <v>0.209999999999994</v>
      </c>
      <c r="AU184" s="60">
        <v>0.307197191339956</v>
      </c>
      <c r="AV184" s="60">
        <v>0.0016</v>
      </c>
      <c r="AZ184" s="53" t="s">
        <v>212</v>
      </c>
      <c r="BC184" s="56">
        <v>2</v>
      </c>
      <c r="BD184" s="56">
        <v>2.46913580246914</v>
      </c>
      <c r="BE184" s="59">
        <f>U184/((VLOOKUP(B184,'Cell-Characteristics'!$B$4:$E$34,3,FALSE)*VLOOKUP(B184,'Cell-Characteristics'!$B$4:$E$34,4,FALSE)*3600)/1000)</f>
        <v>0.184748067529606</v>
      </c>
      <c r="BF184" s="90">
        <f t="shared" si="41"/>
        <v>5876.17818433675</v>
      </c>
      <c r="BG184" s="90">
        <f t="shared" si="39"/>
        <v>105.096432436266</v>
      </c>
      <c r="BH184" s="90">
        <f t="shared" si="40"/>
        <v>71.0720754968455</v>
      </c>
      <c r="BI184" s="90">
        <f t="shared" si="42"/>
        <v>6052.3466922699</v>
      </c>
      <c r="BJ184" s="90">
        <f>BF184/((VLOOKUP(B184,'Cell-Characteristics'!$B$4:$Q$34,13,FALSE)))</f>
        <v>124.044299620316</v>
      </c>
      <c r="BK184" s="90">
        <f>BG184/((VLOOKUP(B184,'Cell-Characteristics'!$B$4:$Q$34,14,FALSE)))</f>
        <v>30.0713833137834</v>
      </c>
      <c r="BL184" s="90">
        <f>BH184/((VLOOKUP(B184,'Cell-Characteristics'!$B$4:$Q$34,15,FALSE)))</f>
        <v>20.3359483821477</v>
      </c>
      <c r="BM184" s="90">
        <f>BI184/((VLOOKUP(B184,'Cell-Characteristics'!$B$4:$Q$34,16,FALSE)))</f>
        <v>111.335357678838</v>
      </c>
      <c r="BN184" s="50">
        <f t="shared" si="43"/>
        <v>2</v>
      </c>
    </row>
    <row r="185" spans="2:66">
      <c r="B185" s="53" t="s">
        <v>144</v>
      </c>
      <c r="C185" s="107" t="s">
        <v>732</v>
      </c>
      <c r="D185" s="53" t="s">
        <v>405</v>
      </c>
      <c r="E185" s="55" t="s">
        <v>265</v>
      </c>
      <c r="F185" s="56" t="s">
        <v>195</v>
      </c>
      <c r="H185" s="57">
        <v>44302</v>
      </c>
      <c r="I185" s="58" t="s">
        <v>730</v>
      </c>
      <c r="J185" s="58">
        <v>40</v>
      </c>
      <c r="K185" s="59">
        <v>3.447</v>
      </c>
      <c r="L185" s="60">
        <v>68.37</v>
      </c>
      <c r="M185" s="60">
        <v>51</v>
      </c>
      <c r="N185" s="60">
        <v>48.4</v>
      </c>
      <c r="O185" s="59" t="s">
        <v>278</v>
      </c>
      <c r="P185" s="59" t="s">
        <v>278</v>
      </c>
      <c r="Q185" s="61" t="s">
        <v>424</v>
      </c>
      <c r="R185" s="62">
        <v>10.8762056117396</v>
      </c>
      <c r="S185" s="63">
        <v>0.003</v>
      </c>
      <c r="T185" s="63">
        <v>12.268215965769</v>
      </c>
      <c r="U185" s="60">
        <v>12.2685767471538</v>
      </c>
      <c r="V185" s="60">
        <v>11.6804345284091</v>
      </c>
      <c r="W185" s="60">
        <v>0.130319902819003</v>
      </c>
      <c r="X185" s="60">
        <v>0.457822315925631</v>
      </c>
      <c r="Y185" s="60">
        <v>95.2061088187668</v>
      </c>
      <c r="Z185" s="60">
        <v>1.06222510976456</v>
      </c>
      <c r="AA185" s="60">
        <v>3.73166607146866</v>
      </c>
      <c r="AB185" s="60">
        <v>0.000360781384800004</v>
      </c>
      <c r="AC185" s="60">
        <v>0</v>
      </c>
      <c r="AD185" s="120">
        <v>2</v>
      </c>
      <c r="AE185" s="120">
        <v>2</v>
      </c>
      <c r="AF185" s="120">
        <v>2</v>
      </c>
      <c r="AG185" s="60">
        <v>0</v>
      </c>
      <c r="AH185" s="60">
        <v>0</v>
      </c>
      <c r="AI185" s="60">
        <v>0</v>
      </c>
      <c r="AJ185" s="60">
        <v>27.3717</v>
      </c>
      <c r="AK185" s="55">
        <v>21.74805</v>
      </c>
      <c r="AL185" s="60">
        <v>68.2</v>
      </c>
      <c r="AM185" s="60">
        <v>0</v>
      </c>
      <c r="AN185" s="60">
        <v>0</v>
      </c>
      <c r="AO185" s="60">
        <v>0</v>
      </c>
      <c r="AP185" s="60">
        <v>0</v>
      </c>
      <c r="AQ185" s="60">
        <v>0</v>
      </c>
      <c r="AR185" s="60">
        <v>0</v>
      </c>
      <c r="AS185" s="60">
        <v>0.170000000000002</v>
      </c>
      <c r="AT185" s="60">
        <v>0.170000000000002</v>
      </c>
      <c r="AU185" s="60">
        <v>0.248647067427237</v>
      </c>
      <c r="AV185" s="60">
        <v>0.0021</v>
      </c>
      <c r="AZ185" s="53" t="s">
        <v>212</v>
      </c>
      <c r="BC185" s="56">
        <v>2</v>
      </c>
      <c r="BD185" s="56">
        <v>2.46913580246914</v>
      </c>
      <c r="BE185" s="59">
        <f>U185/((VLOOKUP(B185,'Cell-Characteristics'!$B$4:$E$34,3,FALSE)*VLOOKUP(B185,'Cell-Characteristics'!$B$4:$E$34,4,FALSE)*3600)/1000)</f>
        <v>0.187249339852775</v>
      </c>
      <c r="BF185" s="90">
        <f t="shared" si="41"/>
        <v>5840.21726420455</v>
      </c>
      <c r="BG185" s="90">
        <f t="shared" si="39"/>
        <v>65.1599514095015</v>
      </c>
      <c r="BH185" s="90">
        <f t="shared" si="40"/>
        <v>228.911157962816</v>
      </c>
      <c r="BI185" s="90">
        <f t="shared" si="42"/>
        <v>6134.2883735769</v>
      </c>
      <c r="BJ185" s="90">
        <f>BF185/((VLOOKUP(B185,'Cell-Characteristics'!$B$4:$Q$34,13,FALSE)))</f>
        <v>123.285175745653</v>
      </c>
      <c r="BK185" s="90">
        <f>BG185/((VLOOKUP(B185,'Cell-Characteristics'!$B$4:$Q$34,14,FALSE)))</f>
        <v>18.6443043795125</v>
      </c>
      <c r="BL185" s="90">
        <f>BH185/((VLOOKUP(B185,'Cell-Characteristics'!$B$4:$Q$34,15,FALSE)))</f>
        <v>65.4986569603711</v>
      </c>
      <c r="BM185" s="90">
        <f>BI185/((VLOOKUP(B185,'Cell-Characteristics'!$B$4:$Q$34,16,FALSE)))</f>
        <v>112.842707944938</v>
      </c>
      <c r="BN185" s="50">
        <f t="shared" si="43"/>
        <v>2</v>
      </c>
    </row>
    <row r="186" spans="2:66">
      <c r="B186" s="53" t="s">
        <v>145</v>
      </c>
      <c r="C186" s="107" t="s">
        <v>733</v>
      </c>
      <c r="D186" s="53" t="s">
        <v>391</v>
      </c>
      <c r="E186" s="55" t="s">
        <v>228</v>
      </c>
      <c r="F186" s="56" t="s">
        <v>392</v>
      </c>
      <c r="H186" s="57">
        <v>43139</v>
      </c>
      <c r="I186" s="58">
        <v>4</v>
      </c>
      <c r="J186" s="58">
        <v>100</v>
      </c>
      <c r="K186" s="59" t="s">
        <v>134</v>
      </c>
      <c r="L186" s="60">
        <v>48</v>
      </c>
      <c r="M186" s="60">
        <v>37</v>
      </c>
      <c r="N186" s="60">
        <v>37</v>
      </c>
      <c r="O186" s="59" t="s">
        <v>197</v>
      </c>
      <c r="P186" s="59" t="s">
        <v>197</v>
      </c>
      <c r="Q186" s="61" t="s">
        <v>381</v>
      </c>
      <c r="R186" s="62">
        <v>31.4544236828683</v>
      </c>
      <c r="S186" s="63">
        <v>0.01</v>
      </c>
      <c r="T186" s="63">
        <v>32.8164576244157</v>
      </c>
      <c r="U186" s="60">
        <v>33.5668270753037</v>
      </c>
      <c r="V186" s="60">
        <v>15.3131139617304</v>
      </c>
      <c r="W186" s="60">
        <v>17.4522572367481</v>
      </c>
      <c r="X186" s="60">
        <v>0.801455876825195</v>
      </c>
      <c r="Y186" s="60">
        <v>45.6197838639231</v>
      </c>
      <c r="Z186" s="60">
        <v>51.9925734940506</v>
      </c>
      <c r="AA186" s="60">
        <v>2.38764264202634</v>
      </c>
      <c r="AB186" s="60">
        <v>0.750369450888</v>
      </c>
      <c r="AC186" s="60">
        <v>0</v>
      </c>
      <c r="AD186" s="124">
        <v>4.703700066</v>
      </c>
      <c r="AE186" s="124">
        <v>0</v>
      </c>
      <c r="AF186" s="124">
        <v>2.101099968</v>
      </c>
      <c r="AG186" s="60">
        <v>906.414448220795</v>
      </c>
      <c r="AH186" s="60">
        <v>346.83360004425</v>
      </c>
      <c r="AI186" s="60">
        <v>91.1533751260445</v>
      </c>
      <c r="AK186" s="55">
        <v>279.253675</v>
      </c>
      <c r="AL186" s="60">
        <v>34.6</v>
      </c>
      <c r="AM186" s="60">
        <v>0.3</v>
      </c>
      <c r="AN186" s="60">
        <v>1.7</v>
      </c>
      <c r="AO186" s="60">
        <v>1.2</v>
      </c>
      <c r="AP186" s="60">
        <v>0</v>
      </c>
      <c r="AQ186" s="60">
        <v>0</v>
      </c>
      <c r="AR186" s="60">
        <v>0</v>
      </c>
      <c r="AS186" s="60">
        <v>10.2</v>
      </c>
      <c r="AT186" s="60">
        <f>L186-AL186</f>
        <v>13.4</v>
      </c>
      <c r="AU186" s="60">
        <f>100*(AT186/L186)</f>
        <v>27.9166666666667</v>
      </c>
      <c r="AV186" s="97">
        <v>0</v>
      </c>
      <c r="AW186" s="53" t="s">
        <v>734</v>
      </c>
      <c r="AX186" s="53" t="s">
        <v>395</v>
      </c>
      <c r="AY186" s="53" t="s">
        <v>735</v>
      </c>
      <c r="AZ186" s="53" t="s">
        <v>212</v>
      </c>
      <c r="BA186" s="53" t="s">
        <v>204</v>
      </c>
      <c r="BB186" s="53" t="s">
        <v>736</v>
      </c>
      <c r="BC186" s="56">
        <v>2</v>
      </c>
      <c r="BD186" s="56">
        <v>4</v>
      </c>
      <c r="BE186" s="59">
        <f>U186/((VLOOKUP(B186,'Cell-Characteristics'!$B$4:$E$34,3,FALSE)*VLOOKUP(B186,'Cell-Characteristics'!$B$4:$E$34,4,FALSE)*3600)/1000)</f>
        <v>1.06330466781033</v>
      </c>
      <c r="BF186" s="90">
        <f t="shared" si="41"/>
        <v>3255.54643086598</v>
      </c>
      <c r="BG186" s="90" t="e">
        <f t="shared" si="39"/>
        <v>#DIV/0!</v>
      </c>
      <c r="BH186" s="90">
        <f t="shared" si="40"/>
        <v>381.445856471116</v>
      </c>
      <c r="BI186" s="90">
        <f t="shared" si="42"/>
        <v>14798.4482604579</v>
      </c>
      <c r="BJ186" s="90">
        <f>BF186/((VLOOKUP(B186,'Cell-Characteristics'!$B$4:$Q$34,13,FALSE)))</f>
        <v>88.6152330248238</v>
      </c>
      <c r="BK186" s="90" t="e">
        <f>BG186/((VLOOKUP(B186,'Cell-Characteristics'!$B$4:$Q$34,14,FALSE)))</f>
        <v>#DIV/0!</v>
      </c>
      <c r="BL186" s="90">
        <f>BH186/((VLOOKUP(B186,'Cell-Characteristics'!$B$4:$Q$34,15,FALSE)))</f>
        <v>149.974780400691</v>
      </c>
      <c r="BM186" s="90">
        <f>BI186/((VLOOKUP(B186,'Cell-Characteristics'!$B$4:$Q$34,16,FALSE)))</f>
        <v>353.819940811621</v>
      </c>
      <c r="BN186" s="50">
        <f t="shared" si="43"/>
        <v>2.268266678</v>
      </c>
    </row>
    <row r="187" spans="2:66">
      <c r="B187" s="53" t="s">
        <v>145</v>
      </c>
      <c r="C187" s="107" t="s">
        <v>737</v>
      </c>
      <c r="D187" s="53" t="s">
        <v>391</v>
      </c>
      <c r="E187" s="55" t="s">
        <v>228</v>
      </c>
      <c r="F187" s="56" t="s">
        <v>392</v>
      </c>
      <c r="H187" s="57">
        <v>43139</v>
      </c>
      <c r="I187" s="58">
        <v>5</v>
      </c>
      <c r="J187" s="58">
        <v>100</v>
      </c>
      <c r="K187" s="59" t="s">
        <v>134</v>
      </c>
      <c r="L187" s="60">
        <v>48</v>
      </c>
      <c r="M187" s="60">
        <v>37</v>
      </c>
      <c r="N187" s="60">
        <v>37</v>
      </c>
      <c r="O187" s="59" t="s">
        <v>197</v>
      </c>
      <c r="P187" s="59" t="s">
        <v>197</v>
      </c>
      <c r="Q187" s="61" t="s">
        <v>381</v>
      </c>
      <c r="R187" s="62">
        <v>33.491205809266</v>
      </c>
      <c r="S187" s="63">
        <v>0.013</v>
      </c>
      <c r="T187" s="63">
        <v>33.5835331079072</v>
      </c>
      <c r="U187" s="60">
        <v>35.6525593632632</v>
      </c>
      <c r="V187" s="60">
        <v>20.9362108283529</v>
      </c>
      <c r="W187" s="60">
        <v>14.1072974905746</v>
      </c>
      <c r="X187" s="60">
        <v>0.609051044335694</v>
      </c>
      <c r="Y187" s="60">
        <v>58.7228833000017</v>
      </c>
      <c r="Z187" s="60">
        <v>39.5688212642342</v>
      </c>
      <c r="AA187" s="60">
        <v>1.70829543576405</v>
      </c>
      <c r="AB187" s="60">
        <v>2.069026255356</v>
      </c>
      <c r="AC187" s="60">
        <v>0</v>
      </c>
      <c r="AD187" s="124">
        <v>1.601899624</v>
      </c>
      <c r="AE187" s="124">
        <v>2.602399826</v>
      </c>
      <c r="AF187" s="124">
        <v>0</v>
      </c>
      <c r="AG187" s="60">
        <v>907.139731331327</v>
      </c>
      <c r="AH187" s="60">
        <v>103.825300216675</v>
      </c>
      <c r="AI187" s="60">
        <v>94.2215633473158</v>
      </c>
      <c r="AK187" s="55">
        <v>293.5351</v>
      </c>
      <c r="AL187" s="60">
        <v>36.1</v>
      </c>
      <c r="AM187" s="60">
        <v>0.4</v>
      </c>
      <c r="AN187" s="60">
        <v>3.3</v>
      </c>
      <c r="AO187" s="60">
        <v>0.3</v>
      </c>
      <c r="AP187" s="60">
        <v>0</v>
      </c>
      <c r="AQ187" s="60">
        <v>0</v>
      </c>
      <c r="AR187" s="60">
        <v>0</v>
      </c>
      <c r="AS187" s="60">
        <v>7.90000000000001</v>
      </c>
      <c r="AT187" s="60">
        <f>L187-AL187</f>
        <v>11.9</v>
      </c>
      <c r="AU187" s="60">
        <f>100*(AT187/L187)</f>
        <v>24.7916666666667</v>
      </c>
      <c r="AV187" s="97">
        <v>0</v>
      </c>
      <c r="AW187" s="53" t="s">
        <v>738</v>
      </c>
      <c r="AX187" s="53" t="s">
        <v>395</v>
      </c>
      <c r="AY187" s="53" t="s">
        <v>739</v>
      </c>
      <c r="AZ187" s="53" t="s">
        <v>203</v>
      </c>
      <c r="BA187" s="53" t="s">
        <v>204</v>
      </c>
      <c r="BB187" s="53" t="s">
        <v>134</v>
      </c>
      <c r="BC187" s="56">
        <v>2</v>
      </c>
      <c r="BD187" s="56">
        <v>4</v>
      </c>
      <c r="BE187" s="59">
        <f>U187/((VLOOKUP(B187,'Cell-Characteristics'!$B$4:$E$34,3,FALSE)*VLOOKUP(B187,'Cell-Characteristics'!$B$4:$E$34,4,FALSE)*3600)/1000)</f>
        <v>1.12937492439475</v>
      </c>
      <c r="BF187" s="90">
        <f t="shared" si="41"/>
        <v>13069.6146716574</v>
      </c>
      <c r="BG187" s="90">
        <f t="shared" si="39"/>
        <v>5420.88012365807</v>
      </c>
      <c r="BH187" s="90" t="e">
        <f t="shared" si="40"/>
        <v>#DIV/0!</v>
      </c>
      <c r="BI187" s="90">
        <f t="shared" si="42"/>
        <v>25440.0713749801</v>
      </c>
      <c r="BJ187" s="90">
        <f>BF187/((VLOOKUP(B187,'Cell-Characteristics'!$B$4:$Q$34,13,FALSE)))</f>
        <v>355.751937276319</v>
      </c>
      <c r="BK187" s="90">
        <f>BG187/((VLOOKUP(B187,'Cell-Characteristics'!$B$4:$Q$34,14,FALSE)))</f>
        <v>2131.3517825187</v>
      </c>
      <c r="BL187" s="90" t="e">
        <f>BH187/((VLOOKUP(B187,'Cell-Characteristics'!$B$4:$Q$34,15,FALSE)))</f>
        <v>#DIV/0!</v>
      </c>
      <c r="BM187" s="90">
        <f>BI187/((VLOOKUP(B187,'Cell-Characteristics'!$B$4:$Q$34,16,FALSE)))</f>
        <v>608.253270188503</v>
      </c>
      <c r="BN187" s="50">
        <f t="shared" si="43"/>
        <v>1.40143315</v>
      </c>
    </row>
    <row r="188" spans="2:66">
      <c r="B188" s="53" t="s">
        <v>145</v>
      </c>
      <c r="C188" s="107" t="s">
        <v>740</v>
      </c>
      <c r="D188" s="53" t="s">
        <v>391</v>
      </c>
      <c r="E188" s="55" t="s">
        <v>228</v>
      </c>
      <c r="F188" s="56" t="s">
        <v>392</v>
      </c>
      <c r="H188" s="57">
        <v>43139</v>
      </c>
      <c r="I188" s="58">
        <v>6</v>
      </c>
      <c r="J188" s="58">
        <v>100</v>
      </c>
      <c r="K188" s="59" t="s">
        <v>134</v>
      </c>
      <c r="L188" s="60">
        <v>48</v>
      </c>
      <c r="M188" s="60">
        <v>37</v>
      </c>
      <c r="N188" s="60">
        <v>37</v>
      </c>
      <c r="O188" s="59" t="s">
        <v>197</v>
      </c>
      <c r="P188" s="59" t="s">
        <v>197</v>
      </c>
      <c r="Q188" s="61" t="s">
        <v>381</v>
      </c>
      <c r="R188" s="62">
        <v>34.4865344994592</v>
      </c>
      <c r="S188" s="63">
        <v>0.025</v>
      </c>
      <c r="T188" s="63">
        <v>37.5657953421238</v>
      </c>
      <c r="U188" s="60">
        <v>38.7648712789078</v>
      </c>
      <c r="V188" s="60">
        <v>18.7340432972673</v>
      </c>
      <c r="W188" s="60">
        <v>19.4709063748223</v>
      </c>
      <c r="X188" s="60">
        <v>0.55992160681818</v>
      </c>
      <c r="Y188" s="60">
        <v>48.3273713524766</v>
      </c>
      <c r="Z188" s="60">
        <v>50.2282239884969</v>
      </c>
      <c r="AA188" s="60">
        <v>1.44440465902653</v>
      </c>
      <c r="AB188" s="60">
        <v>1.199075936784</v>
      </c>
      <c r="AC188" s="60">
        <v>0</v>
      </c>
      <c r="AD188" s="124">
        <v>4.700399876</v>
      </c>
      <c r="AE188" s="124">
        <v>2.700700283</v>
      </c>
      <c r="AF188" s="124">
        <v>0</v>
      </c>
      <c r="AG188" s="60">
        <v>906.312093665476</v>
      </c>
      <c r="AH188" s="60">
        <v>95.2807998657227</v>
      </c>
      <c r="AI188" s="60">
        <v>86.392756541531</v>
      </c>
      <c r="AK188" s="55">
        <v>271.626205</v>
      </c>
      <c r="AL188" s="60">
        <v>35.4</v>
      </c>
      <c r="AM188" s="60">
        <v>0.4</v>
      </c>
      <c r="AN188" s="60">
        <v>2.6</v>
      </c>
      <c r="AO188" s="60">
        <v>0.8</v>
      </c>
      <c r="AP188" s="60">
        <v>0</v>
      </c>
      <c r="AQ188" s="60">
        <v>0</v>
      </c>
      <c r="AR188" s="60">
        <v>0</v>
      </c>
      <c r="AS188" s="60">
        <v>8.8</v>
      </c>
      <c r="AT188" s="60">
        <f>L188-AL188</f>
        <v>12.6</v>
      </c>
      <c r="AU188" s="60">
        <f>100*(AT188/L188)</f>
        <v>26.25</v>
      </c>
      <c r="AV188" s="97">
        <v>0</v>
      </c>
      <c r="AW188" s="53" t="s">
        <v>741</v>
      </c>
      <c r="AX188" s="53" t="s">
        <v>395</v>
      </c>
      <c r="AY188" s="53" t="s">
        <v>742</v>
      </c>
      <c r="AZ188" s="53" t="s">
        <v>212</v>
      </c>
      <c r="BA188" s="53" t="s">
        <v>204</v>
      </c>
      <c r="BB188" s="53" t="s">
        <v>134</v>
      </c>
      <c r="BC188" s="56">
        <v>3</v>
      </c>
      <c r="BD188" s="56">
        <v>6</v>
      </c>
      <c r="BE188" s="59">
        <f>U188/((VLOOKUP(B188,'Cell-Characteristics'!$B$4:$E$34,3,FALSE)*VLOOKUP(B188,'Cell-Characteristics'!$B$4:$E$34,4,FALSE)*3600)/1000)</f>
        <v>1.2279643972741</v>
      </c>
      <c r="BF188" s="90">
        <f t="shared" si="41"/>
        <v>3985.62756180008</v>
      </c>
      <c r="BG188" s="90">
        <f t="shared" si="39"/>
        <v>7209.57690025254</v>
      </c>
      <c r="BH188" s="90" t="e">
        <f t="shared" si="40"/>
        <v>#DIV/0!</v>
      </c>
      <c r="BI188" s="90">
        <f t="shared" si="42"/>
        <v>15713.1522798411</v>
      </c>
      <c r="BJ188" s="90">
        <f>BF188/((VLOOKUP(B188,'Cell-Characteristics'!$B$4:$Q$34,13,FALSE)))</f>
        <v>108.487875273561</v>
      </c>
      <c r="BK188" s="90">
        <f>BG188/((VLOOKUP(B188,'Cell-Characteristics'!$B$4:$Q$34,14,FALSE)))</f>
        <v>2834.62172692166</v>
      </c>
      <c r="BL188" s="90" t="e">
        <f>BH188/((VLOOKUP(B188,'Cell-Characteristics'!$B$4:$Q$34,15,FALSE)))</f>
        <v>#DIV/0!</v>
      </c>
      <c r="BM188" s="90">
        <f>BI188/((VLOOKUP(B188,'Cell-Characteristics'!$B$4:$Q$34,16,FALSE)))</f>
        <v>375.68983664814</v>
      </c>
      <c r="BN188" s="50">
        <f t="shared" si="43"/>
        <v>2.46703338633333</v>
      </c>
    </row>
    <row r="189" spans="2:66">
      <c r="B189" s="53" t="s">
        <v>145</v>
      </c>
      <c r="C189" s="107" t="s">
        <v>743</v>
      </c>
      <c r="D189" s="53" t="s">
        <v>391</v>
      </c>
      <c r="E189" s="55" t="s">
        <v>228</v>
      </c>
      <c r="F189" s="56" t="s">
        <v>392</v>
      </c>
      <c r="H189" s="57">
        <v>43139</v>
      </c>
      <c r="I189" s="58">
        <v>9</v>
      </c>
      <c r="J189" s="58">
        <v>100</v>
      </c>
      <c r="K189" s="59" t="s">
        <v>134</v>
      </c>
      <c r="L189" s="60">
        <v>48</v>
      </c>
      <c r="M189" s="60">
        <v>37</v>
      </c>
      <c r="N189" s="60">
        <v>37</v>
      </c>
      <c r="O189" s="59" t="s">
        <v>197</v>
      </c>
      <c r="P189" s="59" t="s">
        <v>197</v>
      </c>
      <c r="Q189" s="61" t="s">
        <v>381</v>
      </c>
      <c r="R189" s="62">
        <v>30.3012160099885</v>
      </c>
      <c r="S189" s="63">
        <v>0.026</v>
      </c>
      <c r="T189" s="63">
        <v>35.3831416897366</v>
      </c>
      <c r="U189" s="60">
        <v>36.2964882412726</v>
      </c>
      <c r="V189" s="60">
        <v>15.5026608337732</v>
      </c>
      <c r="W189" s="60">
        <v>20.0801719713171</v>
      </c>
      <c r="X189" s="60">
        <v>0.713655436182344</v>
      </c>
      <c r="Y189" s="60">
        <v>42.7111866324995</v>
      </c>
      <c r="Z189" s="60">
        <v>55.3226302165618</v>
      </c>
      <c r="AA189" s="60">
        <v>1.96618315093869</v>
      </c>
      <c r="AB189" s="60">
        <v>0.913346551536</v>
      </c>
      <c r="AC189" s="60">
        <v>0</v>
      </c>
      <c r="AD189" s="124">
        <v>3.30150032</v>
      </c>
      <c r="AE189" s="124">
        <v>3.30150032</v>
      </c>
      <c r="AF189" s="124">
        <v>0</v>
      </c>
      <c r="AG189" s="60">
        <v>907.945917755172</v>
      </c>
      <c r="AH189" s="60">
        <v>112.200099945068</v>
      </c>
      <c r="AI189" s="60">
        <v>101.841081595784</v>
      </c>
      <c r="AK189" s="55">
        <v>329.57417</v>
      </c>
      <c r="AL189" s="60">
        <v>35.5</v>
      </c>
      <c r="AM189" s="60">
        <v>0.4</v>
      </c>
      <c r="AN189" s="60">
        <v>2.5</v>
      </c>
      <c r="AO189" s="60">
        <v>0.4</v>
      </c>
      <c r="AP189" s="60">
        <v>0</v>
      </c>
      <c r="AQ189" s="60">
        <v>0</v>
      </c>
      <c r="AR189" s="60">
        <v>0</v>
      </c>
      <c r="AS189" s="60">
        <v>9.2</v>
      </c>
      <c r="AT189" s="60">
        <f>L189-AL189</f>
        <v>12.5</v>
      </c>
      <c r="AU189" s="60">
        <f>100*(AT189/L189)</f>
        <v>26.0416666666667</v>
      </c>
      <c r="AV189" s="97">
        <v>0</v>
      </c>
      <c r="AW189" s="53" t="s">
        <v>744</v>
      </c>
      <c r="AX189" s="53" t="s">
        <v>395</v>
      </c>
      <c r="AY189" s="53" t="s">
        <v>745</v>
      </c>
      <c r="AZ189" s="53" t="s">
        <v>212</v>
      </c>
      <c r="BA189" s="53" t="s">
        <v>204</v>
      </c>
      <c r="BB189" s="53" t="s">
        <v>134</v>
      </c>
      <c r="BC189" s="56">
        <v>5</v>
      </c>
      <c r="BD189" s="56">
        <v>10</v>
      </c>
      <c r="BE189" s="59">
        <f>U189/((VLOOKUP(B189,'Cell-Characteristics'!$B$4:$E$34,3,FALSE)*VLOOKUP(B189,'Cell-Characteristics'!$B$4:$E$34,4,FALSE)*3600)/1000)</f>
        <v>1.14977281842832</v>
      </c>
      <c r="BF189" s="90">
        <f t="shared" si="41"/>
        <v>4695.64117254824</v>
      </c>
      <c r="BG189" s="90">
        <f t="shared" si="39"/>
        <v>6082.13540058572</v>
      </c>
      <c r="BH189" s="90" t="e">
        <f t="shared" si="40"/>
        <v>#DIV/0!</v>
      </c>
      <c r="BI189" s="90">
        <f t="shared" si="42"/>
        <v>16490.9062804237</v>
      </c>
      <c r="BJ189" s="90">
        <f>BF189/((VLOOKUP(B189,'Cell-Characteristics'!$B$4:$Q$34,13,FALSE)))</f>
        <v>127.814284189347</v>
      </c>
      <c r="BK189" s="90">
        <f>BG189/((VLOOKUP(B189,'Cell-Characteristics'!$B$4:$Q$34,14,FALSE)))</f>
        <v>2391.34048933935</v>
      </c>
      <c r="BL189" s="90" t="e">
        <f>BH189/((VLOOKUP(B189,'Cell-Characteristics'!$B$4:$Q$34,15,FALSE)))</f>
        <v>#DIV/0!</v>
      </c>
      <c r="BM189" s="90">
        <f>BI189/((VLOOKUP(B189,'Cell-Characteristics'!$B$4:$Q$34,16,FALSE)))</f>
        <v>394.285358935935</v>
      </c>
      <c r="BN189" s="50">
        <f t="shared" si="43"/>
        <v>2.20100021333333</v>
      </c>
    </row>
    <row r="190" spans="2:66">
      <c r="B190" s="53" t="s">
        <v>146</v>
      </c>
      <c r="C190" s="53" t="s">
        <v>746</v>
      </c>
      <c r="D190" s="53" t="s">
        <v>747</v>
      </c>
      <c r="E190" s="55" t="s">
        <v>228</v>
      </c>
      <c r="F190" s="56" t="s">
        <v>195</v>
      </c>
      <c r="H190" s="57">
        <v>44181</v>
      </c>
      <c r="I190" s="58" t="s">
        <v>748</v>
      </c>
      <c r="J190" s="58">
        <v>100</v>
      </c>
      <c r="K190" s="59">
        <v>4.164</v>
      </c>
      <c r="L190" s="60">
        <v>45.689</v>
      </c>
      <c r="M190" s="60">
        <v>51.5</v>
      </c>
      <c r="N190" s="60">
        <v>53.2</v>
      </c>
      <c r="O190" s="59" t="s">
        <v>198</v>
      </c>
      <c r="P190" s="59" t="s">
        <v>198</v>
      </c>
      <c r="Q190" s="61" t="s">
        <v>381</v>
      </c>
      <c r="R190" s="62">
        <v>63.0748547774339</v>
      </c>
      <c r="S190" s="63">
        <v>0.0315</v>
      </c>
      <c r="T190" s="63">
        <v>64.2742121349324</v>
      </c>
      <c r="U190" s="60">
        <v>66.8435128109186</v>
      </c>
      <c r="V190" s="60">
        <v>5.28687915047417</v>
      </c>
      <c r="W190" s="60">
        <v>60.4628778900612</v>
      </c>
      <c r="X190" s="60">
        <v>1.09375577038329</v>
      </c>
      <c r="Y190" s="60">
        <v>7.90933768760665</v>
      </c>
      <c r="Z190" s="60">
        <v>90.4543692386328</v>
      </c>
      <c r="AA190" s="60">
        <v>1.63629307376053</v>
      </c>
      <c r="AB190" s="60">
        <v>2.56930067598624</v>
      </c>
      <c r="AC190" s="60">
        <v>0</v>
      </c>
      <c r="AD190" s="120">
        <v>2</v>
      </c>
      <c r="AE190" s="120">
        <v>2</v>
      </c>
      <c r="AF190" s="120">
        <v>2</v>
      </c>
      <c r="AG190" s="60">
        <v>905.544955358</v>
      </c>
      <c r="AH190" s="60">
        <v>107.3963</v>
      </c>
      <c r="AI190" s="60">
        <v>93.7606768624202</v>
      </c>
      <c r="AJ190" s="60">
        <v>130.6067</v>
      </c>
      <c r="AK190" s="55">
        <v>223.511345</v>
      </c>
      <c r="AL190" s="60">
        <v>8.2</v>
      </c>
      <c r="AM190" s="60">
        <v>10.8</v>
      </c>
      <c r="AN190" s="60">
        <v>11.8</v>
      </c>
      <c r="AO190" s="60">
        <v>2.2</v>
      </c>
      <c r="AP190" s="60">
        <v>0.1</v>
      </c>
      <c r="AQ190" s="60">
        <v>0.1</v>
      </c>
      <c r="AR190" s="60">
        <v>0</v>
      </c>
      <c r="AS190" s="60">
        <v>12.489</v>
      </c>
      <c r="AT190" s="53">
        <v>37.489</v>
      </c>
      <c r="AU190" s="53">
        <v>82.0525728293462</v>
      </c>
      <c r="AV190" s="53">
        <v>0</v>
      </c>
      <c r="AW190" s="53" t="s">
        <v>749</v>
      </c>
      <c r="AX190" s="53" t="s">
        <v>408</v>
      </c>
      <c r="AY190" s="53" t="s">
        <v>408</v>
      </c>
      <c r="AZ190" s="53" t="s">
        <v>408</v>
      </c>
      <c r="BA190" s="53" t="s">
        <v>408</v>
      </c>
      <c r="BC190" s="56">
        <v>6</v>
      </c>
      <c r="BD190" s="56">
        <v>7.40740740740741</v>
      </c>
      <c r="BE190" s="59">
        <f>U190/((VLOOKUP(B190,'Cell-Characteristics'!$B$4:$E$34,3,FALSE)*VLOOKUP(B190,'Cell-Characteristics'!$B$4:$E$34,4,FALSE)*3600)/1000)</f>
        <v>1.47362241646646</v>
      </c>
      <c r="BF190" s="90">
        <f t="shared" si="41"/>
        <v>2643.43957523709</v>
      </c>
      <c r="BG190" s="90">
        <f t="shared" si="39"/>
        <v>30231.4389450306</v>
      </c>
      <c r="BH190" s="90">
        <f t="shared" si="40"/>
        <v>546.877885191645</v>
      </c>
      <c r="BI190" s="90">
        <f t="shared" si="42"/>
        <v>33421.7564054593</v>
      </c>
      <c r="BJ190" s="90">
        <f>BF190/((VLOOKUP(B190,'Cell-Characteristics'!$B$4:$Q$34,13,FALSE)))</f>
        <v>71.9538237039873</v>
      </c>
      <c r="BK190" s="90">
        <f>BG190/((VLOOKUP(B190,'Cell-Characteristics'!$B$4:$Q$34,14,FALSE)))</f>
        <v>11886.2306145438</v>
      </c>
      <c r="BL190" s="90">
        <f>BH190/((VLOOKUP(B190,'Cell-Characteristics'!$B$4:$Q$34,15,FALSE)))</f>
        <v>215.018434061353</v>
      </c>
      <c r="BM190" s="90">
        <f>BI190/((VLOOKUP(B190,'Cell-Characteristics'!$B$4:$Q$34,16,FALSE)))</f>
        <v>799.089449452461</v>
      </c>
      <c r="BN190" s="50">
        <f t="shared" si="43"/>
        <v>2</v>
      </c>
    </row>
    <row r="191" spans="2:66">
      <c r="B191" s="53" t="s">
        <v>146</v>
      </c>
      <c r="C191" s="53" t="s">
        <v>750</v>
      </c>
      <c r="D191" s="53" t="s">
        <v>747</v>
      </c>
      <c r="E191" s="55" t="s">
        <v>228</v>
      </c>
      <c r="F191" s="56" t="s">
        <v>195</v>
      </c>
      <c r="H191" s="57">
        <v>44181</v>
      </c>
      <c r="I191" s="58" t="s">
        <v>748</v>
      </c>
      <c r="J191" s="58">
        <v>100</v>
      </c>
      <c r="K191" s="59">
        <v>4.16</v>
      </c>
      <c r="L191" s="60">
        <v>45.145</v>
      </c>
      <c r="M191" s="60">
        <v>55.2</v>
      </c>
      <c r="N191" s="60">
        <v>52</v>
      </c>
      <c r="O191" s="59" t="s">
        <v>198</v>
      </c>
      <c r="P191" s="59" t="s">
        <v>198</v>
      </c>
      <c r="Q191" s="61" t="s">
        <v>381</v>
      </c>
      <c r="R191" s="62">
        <v>59.3277874682699</v>
      </c>
      <c r="S191" s="63">
        <v>0.0296</v>
      </c>
      <c r="T191" s="63">
        <v>60.6679557059005</v>
      </c>
      <c r="U191" s="60">
        <v>66.1210767382921</v>
      </c>
      <c r="V191" s="60">
        <v>4.02400682269048</v>
      </c>
      <c r="W191" s="60">
        <v>61.3426361714918</v>
      </c>
      <c r="X191" s="60">
        <v>0.754433744109791</v>
      </c>
      <c r="Y191" s="60">
        <v>6.08581562973866</v>
      </c>
      <c r="Z191" s="60">
        <v>92.7731960782892</v>
      </c>
      <c r="AA191" s="60">
        <v>1.14098829197208</v>
      </c>
      <c r="AB191" s="60">
        <v>5.4531210323916</v>
      </c>
      <c r="AC191" s="60">
        <v>0</v>
      </c>
      <c r="AD191" s="120">
        <v>2</v>
      </c>
      <c r="AE191" s="120">
        <v>2</v>
      </c>
      <c r="AF191" s="120">
        <v>2</v>
      </c>
      <c r="AG191" s="60">
        <v>905.915339717773</v>
      </c>
      <c r="AH191" s="60">
        <v>110.3785</v>
      </c>
      <c r="AI191" s="60">
        <v>99.9197886525111</v>
      </c>
      <c r="AJ191" s="60">
        <v>128.0324</v>
      </c>
      <c r="AK191" s="55">
        <v>252.82497</v>
      </c>
      <c r="AL191" s="60">
        <v>7.8</v>
      </c>
      <c r="AM191" s="60">
        <v>9.2</v>
      </c>
      <c r="AN191" s="60">
        <v>5</v>
      </c>
      <c r="AO191" s="60">
        <v>3.59999999999999</v>
      </c>
      <c r="AP191" s="60">
        <v>0</v>
      </c>
      <c r="AQ191" s="60">
        <v>0</v>
      </c>
      <c r="AR191" s="60">
        <v>0</v>
      </c>
      <c r="AS191" s="60">
        <v>19.545</v>
      </c>
      <c r="AT191" s="53">
        <v>37.345</v>
      </c>
      <c r="AU191" s="53">
        <v>82.7223391294717</v>
      </c>
      <c r="AV191" s="53">
        <v>0</v>
      </c>
      <c r="AW191" s="53" t="s">
        <v>751</v>
      </c>
      <c r="AX191" s="53" t="s">
        <v>408</v>
      </c>
      <c r="AY191" s="53" t="s">
        <v>408</v>
      </c>
      <c r="AZ191" s="53" t="s">
        <v>408</v>
      </c>
      <c r="BA191" s="53" t="s">
        <v>408</v>
      </c>
      <c r="BC191" s="56">
        <v>10</v>
      </c>
      <c r="BD191" s="56">
        <v>12.3456790123457</v>
      </c>
      <c r="BE191" s="59">
        <f>U191/((VLOOKUP(B191,'Cell-Characteristics'!$B$4:$E$34,3,FALSE)*VLOOKUP(B191,'Cell-Characteristics'!$B$4:$E$34,4,FALSE)*3600)/1000)</f>
        <v>1.45769569528863</v>
      </c>
      <c r="BF191" s="90">
        <f t="shared" si="41"/>
        <v>2012.00341134524</v>
      </c>
      <c r="BG191" s="90">
        <f t="shared" si="39"/>
        <v>30671.3180857459</v>
      </c>
      <c r="BH191" s="90">
        <f t="shared" si="40"/>
        <v>377.216872054896</v>
      </c>
      <c r="BI191" s="90">
        <f t="shared" si="42"/>
        <v>33060.5383691461</v>
      </c>
      <c r="BJ191" s="90">
        <f>BF191/((VLOOKUP(B191,'Cell-Characteristics'!$B$4:$Q$34,13,FALSE)))</f>
        <v>54.7662750107583</v>
      </c>
      <c r="BK191" s="90">
        <f>BG191/((VLOOKUP(B191,'Cell-Characteristics'!$B$4:$Q$34,14,FALSE)))</f>
        <v>12059.1798717252</v>
      </c>
      <c r="BL191" s="90">
        <f>BH191/((VLOOKUP(B191,'Cell-Characteristics'!$B$4:$Q$34,15,FALSE)))</f>
        <v>148.312051606077</v>
      </c>
      <c r="BM191" s="90">
        <f>BI191/((VLOOKUP(B191,'Cell-Characteristics'!$B$4:$Q$34,16,FALSE)))</f>
        <v>790.452993657975</v>
      </c>
      <c r="BN191" s="50">
        <f t="shared" si="43"/>
        <v>2</v>
      </c>
    </row>
    <row r="192" spans="2:66">
      <c r="B192" s="53" t="s">
        <v>146</v>
      </c>
      <c r="C192" s="53" t="s">
        <v>752</v>
      </c>
      <c r="D192" s="53" t="s">
        <v>747</v>
      </c>
      <c r="E192" s="55" t="s">
        <v>228</v>
      </c>
      <c r="F192" s="56" t="s">
        <v>195</v>
      </c>
      <c r="H192" s="57">
        <v>44181</v>
      </c>
      <c r="I192" s="58" t="s">
        <v>748</v>
      </c>
      <c r="J192" s="58">
        <v>100</v>
      </c>
      <c r="K192" s="59">
        <v>4.158</v>
      </c>
      <c r="L192" s="60">
        <v>45.294</v>
      </c>
      <c r="M192" s="60">
        <v>53.9</v>
      </c>
      <c r="N192" s="60">
        <v>52</v>
      </c>
      <c r="O192" s="59" t="s">
        <v>198</v>
      </c>
      <c r="P192" s="59" t="s">
        <v>198</v>
      </c>
      <c r="Q192" s="61" t="s">
        <v>199</v>
      </c>
      <c r="R192" s="62">
        <v>62.9146390864602</v>
      </c>
      <c r="S192" s="63">
        <v>0.028</v>
      </c>
      <c r="T192" s="63">
        <v>63.941411507859</v>
      </c>
      <c r="U192" s="60">
        <v>64.7664238919619</v>
      </c>
      <c r="V192" s="60">
        <v>4.71820610265622</v>
      </c>
      <c r="W192" s="60">
        <v>59.2355737882156</v>
      </c>
      <c r="X192" s="60">
        <v>0.812644001090141</v>
      </c>
      <c r="Y192" s="60">
        <v>7.28495695628764</v>
      </c>
      <c r="Z192" s="60">
        <v>91.4603126567981</v>
      </c>
      <c r="AA192" s="60">
        <v>1.25473038691426</v>
      </c>
      <c r="AB192" s="60">
        <v>0.735314908781879</v>
      </c>
      <c r="AC192" s="60">
        <v>0.0896974753210199</v>
      </c>
      <c r="AD192" s="120">
        <v>2</v>
      </c>
      <c r="AE192" s="120">
        <v>2</v>
      </c>
      <c r="AF192" s="120">
        <v>2</v>
      </c>
      <c r="AG192" s="60">
        <v>906.527109384992</v>
      </c>
      <c r="AH192" s="60">
        <v>104.615</v>
      </c>
      <c r="AI192" s="60">
        <v>94.761428497603</v>
      </c>
      <c r="AJ192" s="60">
        <v>112.5014</v>
      </c>
      <c r="AK192" s="55">
        <v>234.10745</v>
      </c>
      <c r="AL192" s="60">
        <v>8.4</v>
      </c>
      <c r="AM192" s="60">
        <v>9.6</v>
      </c>
      <c r="AN192" s="60">
        <v>16.8</v>
      </c>
      <c r="AO192" s="60">
        <v>1</v>
      </c>
      <c r="AP192" s="60">
        <v>0.4</v>
      </c>
      <c r="AQ192" s="60">
        <v>2.5</v>
      </c>
      <c r="AR192" s="60">
        <v>0</v>
      </c>
      <c r="AS192" s="60">
        <v>6.594</v>
      </c>
      <c r="AT192" s="53">
        <v>36.894</v>
      </c>
      <c r="AU192" s="53">
        <v>81.4544972844085</v>
      </c>
      <c r="AV192" s="53">
        <v>0</v>
      </c>
      <c r="AW192" s="53" t="s">
        <v>753</v>
      </c>
      <c r="AX192" s="53" t="s">
        <v>408</v>
      </c>
      <c r="AY192" s="53" t="s">
        <v>408</v>
      </c>
      <c r="AZ192" s="53" t="s">
        <v>408</v>
      </c>
      <c r="BA192" s="53" t="s">
        <v>408</v>
      </c>
      <c r="BC192" s="56">
        <v>12</v>
      </c>
      <c r="BD192" s="56">
        <v>14.8148148148148</v>
      </c>
      <c r="BE192" s="59">
        <f>U192/((VLOOKUP(B192,'Cell-Characteristics'!$B$4:$E$34,3,FALSE)*VLOOKUP(B192,'Cell-Characteristics'!$B$4:$E$34,4,FALSE)*3600)/1000)</f>
        <v>1.42783121454942</v>
      </c>
      <c r="BF192" s="90">
        <f t="shared" si="41"/>
        <v>2359.10305132811</v>
      </c>
      <c r="BG192" s="90">
        <f t="shared" si="39"/>
        <v>29617.7868941078</v>
      </c>
      <c r="BH192" s="90">
        <f t="shared" si="40"/>
        <v>406.322000545071</v>
      </c>
      <c r="BI192" s="90">
        <f t="shared" si="42"/>
        <v>32383.211945981</v>
      </c>
      <c r="BJ192" s="90">
        <f>BF192/((VLOOKUP(B192,'Cell-Characteristics'!$B$4:$Q$34,13,FALSE)))</f>
        <v>64.214248226036</v>
      </c>
      <c r="BK192" s="90">
        <f>BG192/((VLOOKUP(B192,'Cell-Characteristics'!$B$4:$Q$34,14,FALSE)))</f>
        <v>11644.9582818699</v>
      </c>
      <c r="BL192" s="90">
        <f>BH192/((VLOOKUP(B192,'Cell-Characteristics'!$B$4:$Q$34,15,FALSE)))</f>
        <v>159.755445681006</v>
      </c>
      <c r="BM192" s="90">
        <f>BI192/((VLOOKUP(B192,'Cell-Characteristics'!$B$4:$Q$34,16,FALSE)))</f>
        <v>774.258620387449</v>
      </c>
      <c r="BN192" s="50">
        <f t="shared" si="43"/>
        <v>2</v>
      </c>
    </row>
    <row r="193" spans="2:66">
      <c r="B193" s="53" t="s">
        <v>146</v>
      </c>
      <c r="C193" s="53" t="s">
        <v>754</v>
      </c>
      <c r="D193" s="53" t="s">
        <v>747</v>
      </c>
      <c r="E193" s="55" t="s">
        <v>228</v>
      </c>
      <c r="F193" s="56" t="s">
        <v>195</v>
      </c>
      <c r="H193" s="57">
        <v>44181</v>
      </c>
      <c r="I193" s="58" t="s">
        <v>748</v>
      </c>
      <c r="J193" s="58">
        <v>100</v>
      </c>
      <c r="K193" s="59">
        <v>4.16</v>
      </c>
      <c r="L193" s="60">
        <v>45.141</v>
      </c>
      <c r="M193" s="60">
        <v>53.2</v>
      </c>
      <c r="N193" s="60">
        <v>56</v>
      </c>
      <c r="O193" s="59" t="s">
        <v>198</v>
      </c>
      <c r="P193" s="59" t="s">
        <v>198</v>
      </c>
      <c r="Q193" s="61" t="s">
        <v>381</v>
      </c>
      <c r="R193" s="62">
        <v>62.1834625905966</v>
      </c>
      <c r="S193" s="63">
        <v>0.031</v>
      </c>
      <c r="T193" s="63">
        <v>63.2297556656903</v>
      </c>
      <c r="U193" s="60">
        <v>68.1452764208372</v>
      </c>
      <c r="V193" s="60">
        <v>4.92082893165009</v>
      </c>
      <c r="W193" s="60">
        <v>62.1052757346685</v>
      </c>
      <c r="X193" s="60">
        <v>1.11917175451866</v>
      </c>
      <c r="Y193" s="60">
        <v>7.22108587726766</v>
      </c>
      <c r="Z193" s="60">
        <v>91.1365820150641</v>
      </c>
      <c r="AA193" s="60">
        <v>1.6423321076682</v>
      </c>
      <c r="AB193" s="60">
        <v>4.91552075514696</v>
      </c>
      <c r="AC193" s="60">
        <v>0</v>
      </c>
      <c r="AD193" s="120">
        <v>2</v>
      </c>
      <c r="AE193" s="120">
        <v>2</v>
      </c>
      <c r="AF193" s="120">
        <v>2</v>
      </c>
      <c r="AG193" s="60">
        <v>907.042661827123</v>
      </c>
      <c r="AH193" s="60">
        <v>110.9397</v>
      </c>
      <c r="AI193" s="60">
        <v>100.550877888218</v>
      </c>
      <c r="AJ193" s="60">
        <v>123.4227</v>
      </c>
      <c r="AK193" s="55">
        <v>259.22771</v>
      </c>
      <c r="AL193" s="60">
        <v>7.7</v>
      </c>
      <c r="AM193" s="60">
        <v>8.9</v>
      </c>
      <c r="AN193" s="60">
        <v>10.7</v>
      </c>
      <c r="AO193" s="60">
        <v>1.1</v>
      </c>
      <c r="AP193" s="60">
        <v>0</v>
      </c>
      <c r="AQ193" s="60">
        <v>0</v>
      </c>
      <c r="AR193" s="60">
        <v>0</v>
      </c>
      <c r="AS193" s="60">
        <v>16.741</v>
      </c>
      <c r="AT193" s="53">
        <v>37.441</v>
      </c>
      <c r="AU193" s="53">
        <v>82.9423362353515</v>
      </c>
      <c r="AV193" s="53">
        <v>0</v>
      </c>
      <c r="AW193" s="53" t="s">
        <v>755</v>
      </c>
      <c r="AX193" s="53" t="s">
        <v>408</v>
      </c>
      <c r="AY193" s="53" t="s">
        <v>408</v>
      </c>
      <c r="AZ193" s="53" t="s">
        <v>408</v>
      </c>
      <c r="BA193" s="53" t="s">
        <v>408</v>
      </c>
      <c r="BC193" s="56">
        <v>10</v>
      </c>
      <c r="BD193" s="56">
        <v>12.3456790123457</v>
      </c>
      <c r="BE193" s="59">
        <f>U193/((VLOOKUP(B193,'Cell-Characteristics'!$B$4:$E$34,3,FALSE)*VLOOKUP(B193,'Cell-Characteristics'!$B$4:$E$34,4,FALSE)*3600)/1000)</f>
        <v>1.50232090874862</v>
      </c>
      <c r="BF193" s="90">
        <f t="shared" si="41"/>
        <v>2460.41446582504</v>
      </c>
      <c r="BG193" s="90">
        <f t="shared" si="39"/>
        <v>31052.6378673343</v>
      </c>
      <c r="BH193" s="90">
        <f t="shared" si="40"/>
        <v>559.58587725933</v>
      </c>
      <c r="BI193" s="90">
        <f t="shared" si="42"/>
        <v>34072.6382104186</v>
      </c>
      <c r="BJ193" s="90">
        <f>BF193/((VLOOKUP(B193,'Cell-Characteristics'!$B$4:$Q$34,13,FALSE)))</f>
        <v>66.9719218744908</v>
      </c>
      <c r="BK193" s="90">
        <f>BG193/((VLOOKUP(B193,'Cell-Characteristics'!$B$4:$Q$34,14,FALSE)))</f>
        <v>12209.1050826981</v>
      </c>
      <c r="BL193" s="90">
        <f>BH193/((VLOOKUP(B193,'Cell-Characteristics'!$B$4:$Q$34,15,FALSE)))</f>
        <v>220.014892372151</v>
      </c>
      <c r="BM193" s="90">
        <f>BI193/((VLOOKUP(B193,'Cell-Characteristics'!$B$4:$Q$34,16,FALSE)))</f>
        <v>814.651551481863</v>
      </c>
      <c r="BN193" s="50">
        <f t="shared" si="43"/>
        <v>2</v>
      </c>
    </row>
    <row r="194" spans="2:66">
      <c r="B194" s="53" t="s">
        <v>146</v>
      </c>
      <c r="C194" s="53" t="s">
        <v>756</v>
      </c>
      <c r="D194" s="53" t="s">
        <v>747</v>
      </c>
      <c r="E194" s="55" t="s">
        <v>228</v>
      </c>
      <c r="F194" s="56" t="s">
        <v>195</v>
      </c>
      <c r="H194" s="57">
        <v>44181</v>
      </c>
      <c r="I194" s="58" t="s">
        <v>748</v>
      </c>
      <c r="J194" s="58">
        <v>100</v>
      </c>
      <c r="K194" s="59">
        <v>4.159</v>
      </c>
      <c r="L194" s="60">
        <v>45.288</v>
      </c>
      <c r="M194" s="60">
        <v>52.2</v>
      </c>
      <c r="N194" s="60">
        <v>56</v>
      </c>
      <c r="O194" s="59" t="s">
        <v>198</v>
      </c>
      <c r="P194" s="59" t="s">
        <v>198</v>
      </c>
      <c r="Q194" s="61" t="s">
        <v>381</v>
      </c>
      <c r="R194" s="62">
        <v>64.516589679307</v>
      </c>
      <c r="S194" s="63">
        <v>0.0367</v>
      </c>
      <c r="T194" s="63">
        <v>66.3995410446593</v>
      </c>
      <c r="U194" s="60">
        <v>70.6886763642121</v>
      </c>
      <c r="V194" s="60">
        <v>5.99578997186245</v>
      </c>
      <c r="W194" s="60">
        <v>63.3390545091289</v>
      </c>
      <c r="X194" s="60">
        <v>1.35383188322065</v>
      </c>
      <c r="Y194" s="60">
        <v>8.48196667450683</v>
      </c>
      <c r="Z194" s="60">
        <v>89.6028299961151</v>
      </c>
      <c r="AA194" s="60">
        <v>1.91520332937803</v>
      </c>
      <c r="AB194" s="60">
        <v>4.28913531955272</v>
      </c>
      <c r="AC194" s="60">
        <v>0</v>
      </c>
      <c r="AD194" s="120">
        <v>2</v>
      </c>
      <c r="AE194" s="120">
        <v>2</v>
      </c>
      <c r="AF194" s="120">
        <v>2</v>
      </c>
      <c r="AG194" s="60">
        <v>907.54601557279</v>
      </c>
      <c r="AH194" s="60">
        <v>113.8374</v>
      </c>
      <c r="AI194" s="60">
        <v>103.238232733327</v>
      </c>
      <c r="AJ194" s="60">
        <v>122.3788</v>
      </c>
      <c r="AK194" s="55">
        <v>239.39041</v>
      </c>
      <c r="AL194" s="60">
        <v>7.9</v>
      </c>
      <c r="AM194" s="60">
        <v>10.2</v>
      </c>
      <c r="AN194" s="60">
        <v>11.6</v>
      </c>
      <c r="AO194" s="60">
        <v>1.3</v>
      </c>
      <c r="AP194" s="60">
        <v>0.1</v>
      </c>
      <c r="AQ194" s="60">
        <v>0.2</v>
      </c>
      <c r="AR194" s="60">
        <v>0</v>
      </c>
      <c r="AS194" s="60">
        <v>13.988</v>
      </c>
      <c r="AT194" s="53">
        <v>37.388</v>
      </c>
      <c r="AU194" s="53">
        <v>82.556085497262</v>
      </c>
      <c r="AV194" s="53">
        <v>0</v>
      </c>
      <c r="AW194" s="53" t="s">
        <v>757</v>
      </c>
      <c r="AX194" s="53" t="s">
        <v>408</v>
      </c>
      <c r="AY194" s="53" t="s">
        <v>408</v>
      </c>
      <c r="AZ194" s="53" t="s">
        <v>408</v>
      </c>
      <c r="BA194" s="53" t="s">
        <v>408</v>
      </c>
      <c r="BC194" s="56">
        <v>6</v>
      </c>
      <c r="BD194" s="56">
        <v>7.40740740740741</v>
      </c>
      <c r="BE194" s="59">
        <f>U194/((VLOOKUP(B194,'Cell-Characteristics'!$B$4:$E$34,3,FALSE)*VLOOKUP(B194,'Cell-Characteristics'!$B$4:$E$34,4,FALSE)*3600)/1000)</f>
        <v>1.5583923360717</v>
      </c>
      <c r="BF194" s="90">
        <f t="shared" si="41"/>
        <v>2997.89498593123</v>
      </c>
      <c r="BG194" s="90">
        <f t="shared" si="39"/>
        <v>31669.5272545645</v>
      </c>
      <c r="BH194" s="90">
        <f t="shared" si="40"/>
        <v>676.915941610325</v>
      </c>
      <c r="BI194" s="90">
        <f t="shared" si="42"/>
        <v>35344.338182106</v>
      </c>
      <c r="BJ194" s="90">
        <f>BF194/((VLOOKUP(B194,'Cell-Characteristics'!$B$4:$Q$34,13,FALSE)))</f>
        <v>81.6020193241664</v>
      </c>
      <c r="BK194" s="90">
        <f>BG194/((VLOOKUP(B194,'Cell-Characteristics'!$B$4:$Q$34,14,FALSE)))</f>
        <v>12451.6502534263</v>
      </c>
      <c r="BL194" s="90">
        <f>BH194/((VLOOKUP(B194,'Cell-Characteristics'!$B$4:$Q$34,15,FALSE)))</f>
        <v>266.146080683465</v>
      </c>
      <c r="BM194" s="90">
        <f>BI194/((VLOOKUP(B194,'Cell-Characteristics'!$B$4:$Q$34,16,FALSE)))</f>
        <v>845.056956210336</v>
      </c>
      <c r="BN194" s="50">
        <f t="shared" si="43"/>
        <v>2</v>
      </c>
    </row>
    <row r="195" spans="2:66">
      <c r="B195" s="53" t="s">
        <v>146</v>
      </c>
      <c r="C195" s="53" t="s">
        <v>758</v>
      </c>
      <c r="D195" s="53" t="s">
        <v>747</v>
      </c>
      <c r="E195" s="55" t="s">
        <v>228</v>
      </c>
      <c r="F195" s="56" t="s">
        <v>195</v>
      </c>
      <c r="H195" s="57">
        <v>44181</v>
      </c>
      <c r="I195" s="58" t="s">
        <v>748</v>
      </c>
      <c r="J195" s="58">
        <v>100</v>
      </c>
      <c r="K195" s="59">
        <v>4.156</v>
      </c>
      <c r="L195" s="60">
        <v>45.13</v>
      </c>
      <c r="M195" s="60">
        <v>48.1</v>
      </c>
      <c r="N195" s="60">
        <v>50</v>
      </c>
      <c r="O195" s="59" t="s">
        <v>198</v>
      </c>
      <c r="P195" s="59" t="s">
        <v>198</v>
      </c>
      <c r="Q195" s="61" t="s">
        <v>199</v>
      </c>
      <c r="R195" s="62">
        <v>57.3007359569245</v>
      </c>
      <c r="S195" s="63">
        <v>0.0276</v>
      </c>
      <c r="T195" s="63">
        <v>58.5902426514215</v>
      </c>
      <c r="U195" s="60">
        <v>60.0268354673705</v>
      </c>
      <c r="V195" s="60">
        <v>6.58884773623067</v>
      </c>
      <c r="W195" s="60">
        <v>39.8098483506352</v>
      </c>
      <c r="X195" s="60">
        <v>13.6281393805047</v>
      </c>
      <c r="Y195" s="60">
        <v>10.9765035669959</v>
      </c>
      <c r="Z195" s="60">
        <v>66.3200850764073</v>
      </c>
      <c r="AA195" s="60">
        <v>22.7034113565968</v>
      </c>
      <c r="AB195" s="60">
        <v>1.1908339439853</v>
      </c>
      <c r="AC195" s="60">
        <v>0.2457588719637</v>
      </c>
      <c r="AD195" s="120">
        <v>2</v>
      </c>
      <c r="AE195" s="120">
        <v>2</v>
      </c>
      <c r="AF195" s="120">
        <v>2</v>
      </c>
      <c r="AG195" s="60">
        <v>907.194742103459</v>
      </c>
      <c r="AH195" s="60">
        <v>110.4541</v>
      </c>
      <c r="AI195" s="60">
        <v>100.12848771737</v>
      </c>
      <c r="AJ195" s="60">
        <v>122.8522</v>
      </c>
      <c r="AK195" s="55">
        <v>262.17321</v>
      </c>
      <c r="AL195" s="60">
        <v>1.7</v>
      </c>
      <c r="AM195" s="60">
        <v>9.2</v>
      </c>
      <c r="AN195" s="60">
        <v>9</v>
      </c>
      <c r="AO195" s="60">
        <v>1</v>
      </c>
      <c r="AP195" s="60">
        <v>7.2</v>
      </c>
      <c r="AQ195" s="60">
        <v>3.7</v>
      </c>
      <c r="AR195" s="60">
        <v>1.4</v>
      </c>
      <c r="AS195" s="60">
        <v>11.93</v>
      </c>
      <c r="AT195" s="53">
        <v>43.43</v>
      </c>
      <c r="AU195" s="53">
        <v>96.2331043651673</v>
      </c>
      <c r="AV195" s="53">
        <v>0</v>
      </c>
      <c r="AW195" s="53" t="s">
        <v>759</v>
      </c>
      <c r="AX195" s="53" t="s">
        <v>408</v>
      </c>
      <c r="AY195" s="53" t="s">
        <v>408</v>
      </c>
      <c r="AZ195" s="53" t="s">
        <v>408</v>
      </c>
      <c r="BA195" s="53" t="s">
        <v>408</v>
      </c>
      <c r="BC195" s="56">
        <v>9</v>
      </c>
      <c r="BD195" s="56">
        <v>11.1111111111111</v>
      </c>
      <c r="BE195" s="59">
        <f>U195/((VLOOKUP(B195,'Cell-Characteristics'!$B$4:$E$34,3,FALSE)*VLOOKUP(B195,'Cell-Characteristics'!$B$4:$E$34,4,FALSE)*3600)/1000)</f>
        <v>1.32334293358401</v>
      </c>
      <c r="BF195" s="90">
        <f t="shared" si="41"/>
        <v>3294.42386811533</v>
      </c>
      <c r="BG195" s="90">
        <f t="shared" si="39"/>
        <v>19904.9241753176</v>
      </c>
      <c r="BH195" s="90">
        <f t="shared" si="40"/>
        <v>6814.06969025235</v>
      </c>
      <c r="BI195" s="90">
        <f t="shared" si="42"/>
        <v>30013.4177336853</v>
      </c>
      <c r="BJ195" s="90">
        <f>BF195/((VLOOKUP(B195,'Cell-Characteristics'!$B$4:$Q$34,13,FALSE)))</f>
        <v>89.6734680199068</v>
      </c>
      <c r="BK195" s="90">
        <f>BG195/((VLOOKUP(B195,'Cell-Characteristics'!$B$4:$Q$34,14,FALSE)))</f>
        <v>7826.10842782008</v>
      </c>
      <c r="BL195" s="90">
        <f>BH195/((VLOOKUP(B195,'Cell-Characteristics'!$B$4:$Q$34,15,FALSE)))</f>
        <v>2679.11838100666</v>
      </c>
      <c r="BM195" s="90">
        <f>BI195/((VLOOKUP(B195,'Cell-Characteristics'!$B$4:$Q$34,16,FALSE)))</f>
        <v>717.598595419111</v>
      </c>
      <c r="BN195" s="50">
        <f t="shared" si="43"/>
        <v>2</v>
      </c>
    </row>
    <row r="196" spans="2:66">
      <c r="B196" s="53" t="s">
        <v>146</v>
      </c>
      <c r="C196" s="53" t="s">
        <v>760</v>
      </c>
      <c r="D196" s="53" t="s">
        <v>405</v>
      </c>
      <c r="E196" s="55" t="s">
        <v>228</v>
      </c>
      <c r="F196" s="56" t="s">
        <v>195</v>
      </c>
      <c r="H196" s="57">
        <v>44298</v>
      </c>
      <c r="I196" s="58" t="s">
        <v>761</v>
      </c>
      <c r="J196" s="58">
        <v>100</v>
      </c>
      <c r="K196" s="59">
        <v>4.1564</v>
      </c>
      <c r="L196" s="60">
        <v>45.26</v>
      </c>
      <c r="M196" s="60">
        <v>48.2</v>
      </c>
      <c r="N196" s="60">
        <v>50.6</v>
      </c>
      <c r="O196" s="59" t="s">
        <v>198</v>
      </c>
      <c r="P196" s="59" t="s">
        <v>198</v>
      </c>
      <c r="Q196" s="61" t="s">
        <v>381</v>
      </c>
      <c r="R196" s="62">
        <v>66.9052639302921</v>
      </c>
      <c r="S196" s="63">
        <v>0.035</v>
      </c>
      <c r="T196" s="63">
        <v>68.2001377867979</v>
      </c>
      <c r="U196" s="60">
        <v>71.103695751187</v>
      </c>
      <c r="V196" s="60">
        <v>5.71071595553315</v>
      </c>
      <c r="W196" s="60">
        <v>64.4721761003847</v>
      </c>
      <c r="X196" s="60">
        <v>0.920803695269199</v>
      </c>
      <c r="Y196" s="60">
        <v>8.0315318285517</v>
      </c>
      <c r="Z196" s="60">
        <v>90.6734529327308</v>
      </c>
      <c r="AA196" s="60">
        <v>1.2950152387175</v>
      </c>
      <c r="AB196" s="60">
        <v>2.9035579643892</v>
      </c>
      <c r="AC196" s="60">
        <v>0</v>
      </c>
      <c r="AD196" s="120">
        <v>2</v>
      </c>
      <c r="AE196" s="120">
        <v>2</v>
      </c>
      <c r="AF196" s="120">
        <v>2</v>
      </c>
      <c r="AG196" s="60">
        <v>948.20377771135</v>
      </c>
      <c r="AH196" s="60">
        <v>99.8689</v>
      </c>
      <c r="AI196" s="60">
        <v>94.5466588177717</v>
      </c>
      <c r="AJ196" s="60">
        <v>109.5983</v>
      </c>
      <c r="AK196" s="55">
        <v>232.06845</v>
      </c>
      <c r="AL196" s="60">
        <v>7.84</v>
      </c>
      <c r="AM196" s="60">
        <v>8.25</v>
      </c>
      <c r="AN196" s="60">
        <v>14.98</v>
      </c>
      <c r="AO196" s="60">
        <v>0.3</v>
      </c>
      <c r="AP196" s="60">
        <v>0</v>
      </c>
      <c r="AQ196" s="60">
        <v>0</v>
      </c>
      <c r="AR196" s="60">
        <v>0</v>
      </c>
      <c r="AS196" s="60">
        <v>13.89</v>
      </c>
      <c r="AT196" s="53">
        <v>37.42</v>
      </c>
      <c r="AU196" s="53">
        <v>82.6778612461335</v>
      </c>
      <c r="AV196" s="53">
        <v>0</v>
      </c>
      <c r="AZ196" s="53" t="s">
        <v>212</v>
      </c>
      <c r="BC196" s="56">
        <v>0</v>
      </c>
      <c r="BD196" s="56">
        <v>0</v>
      </c>
      <c r="BE196" s="59">
        <f>U196/((VLOOKUP(B196,'Cell-Characteristics'!$B$4:$E$34,3,FALSE)*VLOOKUP(B196,'Cell-Characteristics'!$B$4:$E$34,4,FALSE)*3600)/1000)</f>
        <v>1.5675417934565</v>
      </c>
      <c r="BF196" s="90">
        <f t="shared" si="41"/>
        <v>2855.35797776658</v>
      </c>
      <c r="BG196" s="90">
        <f t="shared" si="39"/>
        <v>32236.0880501923</v>
      </c>
      <c r="BH196" s="90">
        <f t="shared" si="40"/>
        <v>460.4018476346</v>
      </c>
      <c r="BI196" s="90">
        <f t="shared" si="42"/>
        <v>35551.8478755935</v>
      </c>
      <c r="BJ196" s="90">
        <f>BF196/((VLOOKUP(B196,'Cell-Characteristics'!$B$4:$Q$34,13,FALSE)))</f>
        <v>77.722194397261</v>
      </c>
      <c r="BK196" s="90">
        <f>BG196/((VLOOKUP(B196,'Cell-Characteristics'!$B$4:$Q$34,14,FALSE)))</f>
        <v>12674.4075057767</v>
      </c>
      <c r="BL196" s="90">
        <f>BH196/((VLOOKUP(B196,'Cell-Characteristics'!$B$4:$Q$34,15,FALSE)))</f>
        <v>181.018262025084</v>
      </c>
      <c r="BM196" s="90">
        <f>BI196/((VLOOKUP(B196,'Cell-Characteristics'!$B$4:$Q$34,16,FALSE)))</f>
        <v>850.018359336889</v>
      </c>
      <c r="BN196" s="50">
        <f t="shared" si="43"/>
        <v>2</v>
      </c>
    </row>
    <row r="197" spans="2:66">
      <c r="B197" s="53" t="s">
        <v>146</v>
      </c>
      <c r="C197" s="53" t="s">
        <v>762</v>
      </c>
      <c r="D197" s="53" t="s">
        <v>405</v>
      </c>
      <c r="E197" s="55" t="s">
        <v>228</v>
      </c>
      <c r="F197" s="56" t="s">
        <v>195</v>
      </c>
      <c r="H197" s="57">
        <v>44298</v>
      </c>
      <c r="I197" s="58" t="s">
        <v>761</v>
      </c>
      <c r="J197" s="58">
        <v>100</v>
      </c>
      <c r="K197" s="59">
        <v>4.1569</v>
      </c>
      <c r="L197" s="60">
        <v>45.08</v>
      </c>
      <c r="M197" s="60">
        <v>48.5</v>
      </c>
      <c r="N197" s="60">
        <v>50.8</v>
      </c>
      <c r="O197" s="59" t="s">
        <v>198</v>
      </c>
      <c r="P197" s="59" t="s">
        <v>198</v>
      </c>
      <c r="Q197" s="61" t="s">
        <v>381</v>
      </c>
      <c r="R197" s="62">
        <v>61.6966239588293</v>
      </c>
      <c r="S197" s="63">
        <v>0.034</v>
      </c>
      <c r="T197" s="63">
        <v>63.0944226631988</v>
      </c>
      <c r="U197" s="60">
        <v>64.051412831702</v>
      </c>
      <c r="V197" s="60">
        <v>25.5588223776657</v>
      </c>
      <c r="W197" s="60">
        <v>23.1685387819899</v>
      </c>
      <c r="X197" s="60">
        <v>15.3240516720463</v>
      </c>
      <c r="Y197" s="60">
        <v>39.9036043823463</v>
      </c>
      <c r="Z197" s="60">
        <v>36.1717841304552</v>
      </c>
      <c r="AA197" s="60">
        <v>23.9246114871985</v>
      </c>
      <c r="AB197" s="60">
        <v>0.9569901685032</v>
      </c>
      <c r="AC197" s="60">
        <v>0</v>
      </c>
      <c r="AD197" s="120">
        <v>2</v>
      </c>
      <c r="AE197" s="120">
        <v>2</v>
      </c>
      <c r="AF197" s="120">
        <v>2</v>
      </c>
      <c r="AG197" s="60">
        <v>966.233661594134</v>
      </c>
      <c r="AH197" s="60">
        <v>95.7253</v>
      </c>
      <c r="AI197" s="60">
        <v>92.3374357638243</v>
      </c>
      <c r="AJ197" s="60">
        <v>99.2353</v>
      </c>
      <c r="AK197" s="55">
        <v>256.6409</v>
      </c>
      <c r="AL197" s="60">
        <v>17.88</v>
      </c>
      <c r="AM197" s="60">
        <v>2.25</v>
      </c>
      <c r="AN197" s="60">
        <v>6.45</v>
      </c>
      <c r="AO197" s="60">
        <v>0.61</v>
      </c>
      <c r="AP197" s="60">
        <v>1.45</v>
      </c>
      <c r="AQ197" s="60">
        <v>4.02</v>
      </c>
      <c r="AR197" s="60">
        <v>0.3</v>
      </c>
      <c r="AS197" s="60">
        <v>12.12</v>
      </c>
      <c r="AT197" s="53">
        <v>27.2</v>
      </c>
      <c r="AU197" s="53">
        <v>60.3371783496007</v>
      </c>
      <c r="AV197" s="53">
        <v>0</v>
      </c>
      <c r="AW197" s="53" t="s">
        <v>763</v>
      </c>
      <c r="AZ197" s="53" t="s">
        <v>212</v>
      </c>
      <c r="BC197" s="56">
        <v>3</v>
      </c>
      <c r="BD197" s="56">
        <v>3.7037037037037</v>
      </c>
      <c r="BE197" s="59">
        <f>U197/((VLOOKUP(B197,'Cell-Characteristics'!$B$4:$E$34,3,FALSE)*VLOOKUP(B197,'Cell-Characteristics'!$B$4:$E$34,4,FALSE)*3600)/1000)</f>
        <v>1.41206818412041</v>
      </c>
      <c r="BF197" s="90">
        <f t="shared" si="41"/>
        <v>12779.4111888328</v>
      </c>
      <c r="BG197" s="90">
        <f t="shared" si="39"/>
        <v>11584.2693909949</v>
      </c>
      <c r="BH197" s="90">
        <f t="shared" si="40"/>
        <v>7662.02583602315</v>
      </c>
      <c r="BI197" s="90">
        <f t="shared" si="42"/>
        <v>32025.706415851</v>
      </c>
      <c r="BJ197" s="90">
        <f>BF197/((VLOOKUP(B197,'Cell-Characteristics'!$B$4:$Q$34,13,FALSE)))</f>
        <v>347.852664511755</v>
      </c>
      <c r="BK197" s="90">
        <f>BG197/((VLOOKUP(B197,'Cell-Characteristics'!$B$4:$Q$34,14,FALSE)))</f>
        <v>4554.63921954665</v>
      </c>
      <c r="BL197" s="90">
        <f>BH197/((VLOOKUP(B197,'Cell-Characteristics'!$B$4:$Q$34,15,FALSE)))</f>
        <v>3012.51310687393</v>
      </c>
      <c r="BM197" s="90">
        <f>BI197/((VLOOKUP(B197,'Cell-Characteristics'!$B$4:$Q$34,16,FALSE)))</f>
        <v>765.710927866983</v>
      </c>
      <c r="BN197" s="50">
        <f t="shared" si="43"/>
        <v>2</v>
      </c>
    </row>
    <row r="198" spans="2:66">
      <c r="B198" s="53" t="s">
        <v>146</v>
      </c>
      <c r="C198" s="53" t="s">
        <v>764</v>
      </c>
      <c r="D198" s="53" t="s">
        <v>405</v>
      </c>
      <c r="E198" s="55" t="s">
        <v>228</v>
      </c>
      <c r="F198" s="56" t="s">
        <v>195</v>
      </c>
      <c r="H198" s="57">
        <v>44301</v>
      </c>
      <c r="I198" s="58" t="s">
        <v>761</v>
      </c>
      <c r="J198" s="58">
        <v>100</v>
      </c>
      <c r="K198" s="59">
        <v>4.154</v>
      </c>
      <c r="L198" s="60">
        <v>45.02</v>
      </c>
      <c r="M198" s="60">
        <v>48.3</v>
      </c>
      <c r="N198" s="60">
        <v>47.9</v>
      </c>
      <c r="O198" s="59" t="s">
        <v>198</v>
      </c>
      <c r="P198" s="59" t="s">
        <v>198</v>
      </c>
      <c r="Q198" s="61" t="s">
        <v>381</v>
      </c>
      <c r="R198" s="62">
        <v>65.402574069619</v>
      </c>
      <c r="S198" s="63">
        <v>0.043</v>
      </c>
      <c r="T198" s="63">
        <v>67.0753304048912</v>
      </c>
      <c r="U198" s="60">
        <v>70.0730601167912</v>
      </c>
      <c r="V198" s="60">
        <v>4.60080681573075</v>
      </c>
      <c r="W198" s="60">
        <v>64.1101257632045</v>
      </c>
      <c r="X198" s="60">
        <v>1.36212753785601</v>
      </c>
      <c r="Y198" s="60">
        <v>6.56572840983761</v>
      </c>
      <c r="Z198" s="60">
        <v>91.4904039531765</v>
      </c>
      <c r="AA198" s="60">
        <v>1.94386763698595</v>
      </c>
      <c r="AB198" s="60">
        <v>2.9977297119</v>
      </c>
      <c r="AC198" s="60">
        <v>0</v>
      </c>
      <c r="AD198" s="120">
        <v>2</v>
      </c>
      <c r="AE198" s="120">
        <v>2</v>
      </c>
      <c r="AF198" s="120">
        <v>2</v>
      </c>
      <c r="AG198" s="60">
        <v>965.877037163414</v>
      </c>
      <c r="AH198" s="60">
        <v>111.177</v>
      </c>
      <c r="AI198" s="60">
        <v>107.3001050628</v>
      </c>
      <c r="AJ198" s="60">
        <v>123.163</v>
      </c>
      <c r="AK198" s="55">
        <v>239.99156</v>
      </c>
      <c r="AL198" s="60">
        <v>8.11</v>
      </c>
      <c r="AM198" s="60">
        <v>8.44</v>
      </c>
      <c r="AN198" s="60">
        <v>12.53</v>
      </c>
      <c r="AO198" s="60">
        <v>2.19</v>
      </c>
      <c r="AP198" s="60">
        <v>0</v>
      </c>
      <c r="AQ198" s="60">
        <v>0</v>
      </c>
      <c r="AR198" s="60">
        <v>0</v>
      </c>
      <c r="AS198" s="60">
        <v>13.75</v>
      </c>
      <c r="AT198" s="53">
        <v>36.91</v>
      </c>
      <c r="AU198" s="53">
        <v>81.9857840959574</v>
      </c>
      <c r="AV198" s="53">
        <v>0</v>
      </c>
      <c r="AZ198" s="53" t="s">
        <v>212</v>
      </c>
      <c r="BC198" s="56">
        <v>1</v>
      </c>
      <c r="BD198" s="56">
        <v>1.23456790123457</v>
      </c>
      <c r="BE198" s="59">
        <f>U198/((VLOOKUP(B198,'Cell-Characteristics'!$B$4:$E$34,3,FALSE)*VLOOKUP(B198,'Cell-Characteristics'!$B$4:$E$34,4,FALSE)*3600)/1000)</f>
        <v>1.54482054931198</v>
      </c>
      <c r="BF198" s="90">
        <f t="shared" si="41"/>
        <v>2300.40340786537</v>
      </c>
      <c r="BG198" s="90">
        <f t="shared" si="39"/>
        <v>32055.0628816022</v>
      </c>
      <c r="BH198" s="90">
        <f t="shared" si="40"/>
        <v>681.063768928005</v>
      </c>
      <c r="BI198" s="90">
        <f t="shared" si="42"/>
        <v>35036.5300583956</v>
      </c>
      <c r="BJ198" s="90">
        <f>BF198/((VLOOKUP(B198,'Cell-Characteristics'!$B$4:$Q$34,13,FALSE)))</f>
        <v>62.6164572885126</v>
      </c>
      <c r="BK198" s="90">
        <f>BG198/((VLOOKUP(B198,'Cell-Characteristics'!$B$4:$Q$34,14,FALSE)))</f>
        <v>12603.2330272872</v>
      </c>
      <c r="BL198" s="90">
        <f>BH198/((VLOOKUP(B198,'Cell-Characteristics'!$B$4:$Q$34,15,FALSE)))</f>
        <v>267.776900577182</v>
      </c>
      <c r="BM198" s="90">
        <f>BI198/((VLOOKUP(B198,'Cell-Characteristics'!$B$4:$Q$34,16,FALSE)))</f>
        <v>837.69749188031</v>
      </c>
      <c r="BN198" s="50">
        <f t="shared" si="43"/>
        <v>2</v>
      </c>
    </row>
    <row r="199" spans="2:66">
      <c r="B199" s="53" t="s">
        <v>146</v>
      </c>
      <c r="C199" s="53" t="s">
        <v>765</v>
      </c>
      <c r="D199" s="53" t="s">
        <v>405</v>
      </c>
      <c r="E199" s="55" t="s">
        <v>228</v>
      </c>
      <c r="F199" s="56" t="s">
        <v>195</v>
      </c>
      <c r="H199" s="57">
        <v>44301</v>
      </c>
      <c r="I199" s="58" t="s">
        <v>761</v>
      </c>
      <c r="J199" s="58">
        <v>100</v>
      </c>
      <c r="K199" s="59">
        <v>4.1535</v>
      </c>
      <c r="L199" s="60">
        <v>45.14</v>
      </c>
      <c r="M199" s="60">
        <v>50.6</v>
      </c>
      <c r="N199" s="60">
        <v>47.9</v>
      </c>
      <c r="O199" s="59" t="s">
        <v>198</v>
      </c>
      <c r="P199" s="59" t="s">
        <v>198</v>
      </c>
      <c r="Q199" s="61" t="s">
        <v>199</v>
      </c>
      <c r="R199" s="62">
        <v>62.9105451511409</v>
      </c>
      <c r="S199" s="63">
        <v>0.044</v>
      </c>
      <c r="T199" s="63">
        <v>65.5304737734315</v>
      </c>
      <c r="U199" s="60">
        <v>66.5481950302935</v>
      </c>
      <c r="V199" s="60">
        <v>17.8297122422019</v>
      </c>
      <c r="W199" s="60">
        <v>19.8214438042533</v>
      </c>
      <c r="X199" s="60">
        <v>28.8970389838383</v>
      </c>
      <c r="Y199" s="60">
        <v>26.7921800645166</v>
      </c>
      <c r="Z199" s="60">
        <v>29.7850960423951</v>
      </c>
      <c r="AA199" s="60">
        <v>43.4227238930883</v>
      </c>
      <c r="AB199" s="60">
        <v>0.4105053764625</v>
      </c>
      <c r="AC199" s="60">
        <v>0.6072158803995</v>
      </c>
      <c r="AD199" s="120">
        <v>2</v>
      </c>
      <c r="AE199" s="120">
        <v>2</v>
      </c>
      <c r="AF199" s="120">
        <v>2</v>
      </c>
      <c r="AG199" s="60">
        <v>964.467307684053</v>
      </c>
      <c r="AH199" s="60">
        <v>102.912</v>
      </c>
      <c r="AI199" s="60">
        <v>99.1633307350796</v>
      </c>
      <c r="AJ199" s="60">
        <v>125.6034</v>
      </c>
      <c r="AK199" s="55">
        <v>226.01044</v>
      </c>
      <c r="AL199" s="60">
        <v>17.03</v>
      </c>
      <c r="AM199" s="60">
        <v>1.73</v>
      </c>
      <c r="AN199" s="60">
        <v>3.76</v>
      </c>
      <c r="AO199" s="60">
        <v>0.63</v>
      </c>
      <c r="AP199" s="60">
        <v>3.4</v>
      </c>
      <c r="AQ199" s="60">
        <v>5.78</v>
      </c>
      <c r="AR199" s="60">
        <v>0.26</v>
      </c>
      <c r="AS199" s="60">
        <v>12.55</v>
      </c>
      <c r="AT199" s="53">
        <v>28.11</v>
      </c>
      <c r="AU199" s="53">
        <v>62.2729286663713</v>
      </c>
      <c r="AV199" s="53">
        <v>0</v>
      </c>
      <c r="AZ199" s="53" t="s">
        <v>212</v>
      </c>
      <c r="BC199" s="56">
        <v>4</v>
      </c>
      <c r="BD199" s="56">
        <v>4.93827160493827</v>
      </c>
      <c r="BE199" s="59">
        <f>U199/((VLOOKUP(B199,'Cell-Characteristics'!$B$4:$E$34,3,FALSE)*VLOOKUP(B199,'Cell-Characteristics'!$B$4:$E$34,4,FALSE)*3600)/1000)</f>
        <v>1.4671118833839</v>
      </c>
      <c r="BF199" s="90">
        <f t="shared" si="41"/>
        <v>8914.85612110095</v>
      </c>
      <c r="BG199" s="90">
        <f t="shared" si="39"/>
        <v>9910.72190212665</v>
      </c>
      <c r="BH199" s="90">
        <f t="shared" si="40"/>
        <v>14448.5194919192</v>
      </c>
      <c r="BI199" s="90">
        <f t="shared" si="42"/>
        <v>33274.0975151468</v>
      </c>
      <c r="BJ199" s="90">
        <f>BF199/((VLOOKUP(B199,'Cell-Characteristics'!$B$4:$Q$34,13,FALSE)))</f>
        <v>242.6603549758</v>
      </c>
      <c r="BK199" s="90">
        <f>BG199/((VLOOKUP(B199,'Cell-Characteristics'!$B$4:$Q$34,14,FALSE)))</f>
        <v>3896.64303771591</v>
      </c>
      <c r="BL199" s="90">
        <f>BH199/((VLOOKUP(B199,'Cell-Characteristics'!$B$4:$Q$34,15,FALSE)))</f>
        <v>5680.78929461318</v>
      </c>
      <c r="BM199" s="90">
        <f>BI199/((VLOOKUP(B199,'Cell-Characteristics'!$B$4:$Q$34,16,FALSE)))</f>
        <v>795.559034714972</v>
      </c>
      <c r="BN199" s="50">
        <f t="shared" si="43"/>
        <v>2</v>
      </c>
    </row>
    <row r="200" spans="2:66">
      <c r="B200" s="53" t="s">
        <v>147</v>
      </c>
      <c r="C200" s="53" t="s">
        <v>766</v>
      </c>
      <c r="D200" s="53" t="s">
        <v>405</v>
      </c>
      <c r="E200" s="55" t="s">
        <v>265</v>
      </c>
      <c r="F200" s="56" t="s">
        <v>195</v>
      </c>
      <c r="H200" s="57">
        <v>44260</v>
      </c>
      <c r="I200" s="58" t="s">
        <v>767</v>
      </c>
      <c r="J200" s="58">
        <v>100</v>
      </c>
      <c r="K200" s="59">
        <v>4.191</v>
      </c>
      <c r="L200" s="60">
        <v>44.51</v>
      </c>
      <c r="M200" s="60">
        <v>50.9</v>
      </c>
      <c r="N200" s="60">
        <v>47.7</v>
      </c>
      <c r="O200" s="59" t="s">
        <v>198</v>
      </c>
      <c r="P200" s="59" t="s">
        <v>198</v>
      </c>
      <c r="Q200" s="61" t="s">
        <v>381</v>
      </c>
      <c r="R200" s="62">
        <v>64.9532960516899</v>
      </c>
      <c r="S200" s="63">
        <v>0.016</v>
      </c>
      <c r="T200" s="63">
        <v>66.0920127848184</v>
      </c>
      <c r="U200" s="60">
        <v>67.7746253045303</v>
      </c>
      <c r="V200" s="60">
        <v>25.1298688899144</v>
      </c>
      <c r="W200" s="60">
        <v>42.4803699831857</v>
      </c>
      <c r="X200" s="60">
        <v>0.164386431430244</v>
      </c>
      <c r="Y200" s="60">
        <v>37.0785803344524</v>
      </c>
      <c r="Z200" s="60">
        <v>62.6788710263016</v>
      </c>
      <c r="AA200" s="60">
        <v>0.242548639246044</v>
      </c>
      <c r="AB200" s="60">
        <v>1.682612519712</v>
      </c>
      <c r="AC200" s="60">
        <v>0</v>
      </c>
      <c r="AD200" s="120">
        <v>2</v>
      </c>
      <c r="AE200" s="120">
        <v>2</v>
      </c>
      <c r="AF200" s="120">
        <v>2</v>
      </c>
      <c r="AG200" s="60">
        <v>0</v>
      </c>
      <c r="AH200" s="60">
        <v>0</v>
      </c>
      <c r="AI200" s="60">
        <v>0</v>
      </c>
      <c r="AJ200" s="60">
        <v>2.2112</v>
      </c>
      <c r="AK200" s="55">
        <v>19.13635</v>
      </c>
      <c r="AL200" s="60">
        <v>20.92</v>
      </c>
      <c r="AM200" s="60">
        <v>2.75</v>
      </c>
      <c r="AN200" s="60">
        <v>10.73</v>
      </c>
      <c r="AO200" s="60">
        <v>0.56</v>
      </c>
      <c r="AP200" s="60">
        <v>0</v>
      </c>
      <c r="AQ200" s="60">
        <v>0</v>
      </c>
      <c r="AR200" s="60">
        <v>0</v>
      </c>
      <c r="AS200" s="60">
        <v>9.55</v>
      </c>
      <c r="AT200" s="53">
        <v>23.59</v>
      </c>
      <c r="AU200" s="53">
        <v>52.9993259941586</v>
      </c>
      <c r="AV200" s="53">
        <v>0</v>
      </c>
      <c r="AX200" s="53" t="s">
        <v>768</v>
      </c>
      <c r="AY200" s="53" t="s">
        <v>768</v>
      </c>
      <c r="AZ200" s="53" t="s">
        <v>768</v>
      </c>
      <c r="BA200" s="53" t="s">
        <v>768</v>
      </c>
      <c r="BC200" s="56">
        <v>4</v>
      </c>
      <c r="BD200" s="56">
        <v>4.93827160493827</v>
      </c>
      <c r="BE200" s="59">
        <f>U200/((VLOOKUP(B200,'Cell-Characteristics'!$B$4:$E$34,3,FALSE)*VLOOKUP(B200,'Cell-Characteristics'!$B$4:$E$34,4,FALSE)*3600)/1000)</f>
        <v>1.86768698480297</v>
      </c>
      <c r="BF200" s="90">
        <f t="shared" si="41"/>
        <v>12564.9344449572</v>
      </c>
      <c r="BG200" s="90">
        <f t="shared" si="39"/>
        <v>21240.1849915929</v>
      </c>
      <c r="BH200" s="90">
        <f t="shared" si="40"/>
        <v>82.193215715122</v>
      </c>
      <c r="BI200" s="90">
        <f t="shared" si="42"/>
        <v>33887.3126522652</v>
      </c>
      <c r="BJ200" s="90">
        <f>BF200/((VLOOKUP(B200,'Cell-Characteristics'!$B$4:$Q$34,13,FALSE)))</f>
        <v>202.099569660896</v>
      </c>
      <c r="BK200" s="90">
        <f>BG200/((VLOOKUP(B200,'Cell-Characteristics'!$B$4:$Q$34,14,FALSE)))</f>
        <v>2484.62447188654</v>
      </c>
      <c r="BL200" s="90">
        <f>BH200/((VLOOKUP(B200,'Cell-Characteristics'!$B$4:$Q$34,15,FALSE)))</f>
        <v>9.61475972406427</v>
      </c>
      <c r="BM200" s="90">
        <f>BI200/((VLOOKUP(B200,'Cell-Characteristics'!$B$4:$Q$34,16,FALSE)))</f>
        <v>427.496050201846</v>
      </c>
      <c r="BN200" s="50">
        <f t="shared" si="43"/>
        <v>2</v>
      </c>
    </row>
    <row r="201" spans="2:66">
      <c r="B201" s="53" t="s">
        <v>147</v>
      </c>
      <c r="C201" s="53" t="s">
        <v>769</v>
      </c>
      <c r="D201" s="53" t="s">
        <v>405</v>
      </c>
      <c r="E201" s="55" t="s">
        <v>265</v>
      </c>
      <c r="F201" s="56" t="s">
        <v>195</v>
      </c>
      <c r="H201" s="57">
        <v>44260</v>
      </c>
      <c r="I201" s="58" t="s">
        <v>767</v>
      </c>
      <c r="J201" s="58">
        <v>100</v>
      </c>
      <c r="K201" s="59">
        <v>4.19</v>
      </c>
      <c r="L201" s="60">
        <v>44.22</v>
      </c>
      <c r="M201" s="60">
        <v>49.9</v>
      </c>
      <c r="N201" s="60">
        <v>51.4</v>
      </c>
      <c r="O201" s="59" t="s">
        <v>198</v>
      </c>
      <c r="P201" s="59" t="s">
        <v>198</v>
      </c>
      <c r="Q201" s="61" t="s">
        <v>381</v>
      </c>
      <c r="R201" s="62">
        <v>64.3954815279806</v>
      </c>
      <c r="S201" s="63">
        <v>0.017</v>
      </c>
      <c r="T201" s="63">
        <v>65.4987785818827</v>
      </c>
      <c r="U201" s="60">
        <v>67.3194042645159</v>
      </c>
      <c r="V201" s="60">
        <v>24.2410995054671</v>
      </c>
      <c r="W201" s="60">
        <v>43.0582264419947</v>
      </c>
      <c r="X201" s="60">
        <v>0.0200783170540778</v>
      </c>
      <c r="Y201" s="60">
        <v>36.0090820326</v>
      </c>
      <c r="Z201" s="60">
        <v>63.9610925147338</v>
      </c>
      <c r="AA201" s="60">
        <v>0.0298254526661952</v>
      </c>
      <c r="AB201" s="60">
        <v>1.8206256826332</v>
      </c>
      <c r="AC201" s="60">
        <v>0</v>
      </c>
      <c r="AD201" s="120">
        <v>2</v>
      </c>
      <c r="AE201" s="120">
        <v>2</v>
      </c>
      <c r="AF201" s="120">
        <v>2</v>
      </c>
      <c r="AG201" s="60">
        <v>0</v>
      </c>
      <c r="AH201" s="60">
        <v>0</v>
      </c>
      <c r="AI201" s="60">
        <v>0</v>
      </c>
      <c r="AJ201" s="60">
        <v>6.0328</v>
      </c>
      <c r="AK201" s="55">
        <v>17.18208</v>
      </c>
      <c r="AL201" s="60">
        <v>20.23</v>
      </c>
      <c r="AM201" s="60">
        <v>3.24</v>
      </c>
      <c r="AN201" s="60">
        <v>11.31</v>
      </c>
      <c r="AO201" s="60">
        <v>0.67</v>
      </c>
      <c r="AP201" s="60">
        <v>0</v>
      </c>
      <c r="AQ201" s="60">
        <v>0</v>
      </c>
      <c r="AR201" s="60">
        <v>0</v>
      </c>
      <c r="AS201" s="60">
        <v>8.77</v>
      </c>
      <c r="AT201" s="53">
        <v>23.99</v>
      </c>
      <c r="AU201" s="53">
        <v>54.2514699231117</v>
      </c>
      <c r="AV201" s="53">
        <v>0</v>
      </c>
      <c r="AX201" s="53" t="s">
        <v>768</v>
      </c>
      <c r="AY201" s="53" t="s">
        <v>768</v>
      </c>
      <c r="AZ201" s="53" t="s">
        <v>768</v>
      </c>
      <c r="BA201" s="53" t="s">
        <v>768</v>
      </c>
      <c r="BC201" s="56">
        <v>3</v>
      </c>
      <c r="BD201" s="56">
        <v>3.7037037037037</v>
      </c>
      <c r="BE201" s="59">
        <f>U201/((VLOOKUP(B201,'Cell-Characteristics'!$B$4:$E$34,3,FALSE)*VLOOKUP(B201,'Cell-Characteristics'!$B$4:$E$34,4,FALSE)*3600)/1000)</f>
        <v>1.85514231328582</v>
      </c>
      <c r="BF201" s="90">
        <f t="shared" si="41"/>
        <v>12120.5497527336</v>
      </c>
      <c r="BG201" s="90">
        <f t="shared" ref="BG201:BG266" si="46">(1000*W201)/AE201</f>
        <v>21529.1132209973</v>
      </c>
      <c r="BH201" s="90">
        <f t="shared" ref="BH201:BH266" si="47">(1000*X201)/AF201</f>
        <v>10.0391585270389</v>
      </c>
      <c r="BI201" s="90">
        <f t="shared" si="42"/>
        <v>33659.7021322579</v>
      </c>
      <c r="BJ201" s="90">
        <f>BF201/((VLOOKUP(B201,'Cell-Characteristics'!$B$4:$Q$34,13,FALSE)))</f>
        <v>194.951903634008</v>
      </c>
      <c r="BK201" s="90">
        <f>BG201/((VLOOKUP(B201,'Cell-Characteristics'!$B$4:$Q$34,14,FALSE)))</f>
        <v>2518.42258379947</v>
      </c>
      <c r="BL201" s="90">
        <f>BH201/((VLOOKUP(B201,'Cell-Characteristics'!$B$4:$Q$34,15,FALSE)))</f>
        <v>1.17435601259133</v>
      </c>
      <c r="BM201" s="90">
        <f>BI201/((VLOOKUP(B201,'Cell-Characteristics'!$B$4:$Q$34,16,FALSE)))</f>
        <v>424.624692437778</v>
      </c>
      <c r="BN201" s="50">
        <f t="shared" si="43"/>
        <v>2</v>
      </c>
    </row>
    <row r="202" spans="2:66">
      <c r="B202" s="53" t="s">
        <v>147</v>
      </c>
      <c r="C202" s="53" t="s">
        <v>770</v>
      </c>
      <c r="D202" s="53" t="s">
        <v>405</v>
      </c>
      <c r="E202" s="55" t="s">
        <v>265</v>
      </c>
      <c r="F202" s="56" t="s">
        <v>195</v>
      </c>
      <c r="H202" s="57">
        <v>44260</v>
      </c>
      <c r="I202" s="58" t="s">
        <v>767</v>
      </c>
      <c r="J202" s="58">
        <v>100</v>
      </c>
      <c r="K202" s="59">
        <v>4.191</v>
      </c>
      <c r="L202" s="60">
        <v>44.38</v>
      </c>
      <c r="M202" s="60">
        <v>49.1</v>
      </c>
      <c r="N202" s="60">
        <v>47.7</v>
      </c>
      <c r="O202" s="59" t="s">
        <v>198</v>
      </c>
      <c r="P202" s="59" t="s">
        <v>198</v>
      </c>
      <c r="Q202" s="61" t="s">
        <v>381</v>
      </c>
      <c r="R202" s="62">
        <v>65.4788935094043</v>
      </c>
      <c r="S202" s="63">
        <v>0.018</v>
      </c>
      <c r="T202" s="63">
        <v>66.7327418275867</v>
      </c>
      <c r="U202" s="60">
        <v>68.6045906890387</v>
      </c>
      <c r="V202" s="60">
        <v>20.1331274034015</v>
      </c>
      <c r="W202" s="60">
        <v>48.4405061752665</v>
      </c>
      <c r="X202" s="60">
        <v>0.0309571103707839</v>
      </c>
      <c r="Y202" s="60">
        <v>29.3466183548242</v>
      </c>
      <c r="Z202" s="60">
        <v>70.6082576818085</v>
      </c>
      <c r="AA202" s="60">
        <v>0.0451239633672649</v>
      </c>
      <c r="AB202" s="60">
        <v>1.871848861452</v>
      </c>
      <c r="AC202" s="60">
        <v>0</v>
      </c>
      <c r="AD202" s="120">
        <v>2</v>
      </c>
      <c r="AE202" s="120">
        <v>2</v>
      </c>
      <c r="AF202" s="120">
        <v>2</v>
      </c>
      <c r="AG202" s="60">
        <v>0</v>
      </c>
      <c r="AH202" s="60">
        <v>0</v>
      </c>
      <c r="AI202" s="60">
        <v>0</v>
      </c>
      <c r="AJ202" s="60">
        <v>4.4147</v>
      </c>
      <c r="AK202" s="55">
        <v>20.090285</v>
      </c>
      <c r="AL202" s="60">
        <v>16.63</v>
      </c>
      <c r="AM202" s="60">
        <v>3.42</v>
      </c>
      <c r="AN202" s="60">
        <v>13.46</v>
      </c>
      <c r="AO202" s="60">
        <v>0.67</v>
      </c>
      <c r="AP202" s="60">
        <v>0</v>
      </c>
      <c r="AQ202" s="60">
        <v>0</v>
      </c>
      <c r="AR202" s="60">
        <v>0</v>
      </c>
      <c r="AS202" s="60">
        <v>10.2</v>
      </c>
      <c r="AT202" s="53">
        <v>27.75</v>
      </c>
      <c r="AU202" s="53">
        <v>62.5281658404687</v>
      </c>
      <c r="AV202" s="53">
        <v>0</v>
      </c>
      <c r="AX202" s="53" t="s">
        <v>768</v>
      </c>
      <c r="AY202" s="53" t="s">
        <v>768</v>
      </c>
      <c r="AZ202" s="53" t="s">
        <v>768</v>
      </c>
      <c r="BA202" s="53" t="s">
        <v>768</v>
      </c>
      <c r="BC202" s="56">
        <v>4</v>
      </c>
      <c r="BD202" s="56">
        <v>4.93827160493827</v>
      </c>
      <c r="BE202" s="59">
        <f>U202/((VLOOKUP(B202,'Cell-Characteristics'!$B$4:$E$34,3,FALSE)*VLOOKUP(B202,'Cell-Characteristics'!$B$4:$E$34,4,FALSE)*3600)/1000)</f>
        <v>1.89055860584873</v>
      </c>
      <c r="BF202" s="90">
        <f t="shared" ref="BF202:BF267" si="48">(1000*V202)/AD202</f>
        <v>10066.5637017008</v>
      </c>
      <c r="BG202" s="90">
        <f t="shared" si="46"/>
        <v>24220.2530876332</v>
      </c>
      <c r="BH202" s="90">
        <f t="shared" si="47"/>
        <v>15.4785551853919</v>
      </c>
      <c r="BI202" s="90">
        <f t="shared" ref="BI202:BI267" si="49">(1000*U202)/AVERAGE(AD202:AF202)</f>
        <v>34302.2953445193</v>
      </c>
      <c r="BJ202" s="90">
        <f>BF202/((VLOOKUP(B202,'Cell-Characteristics'!$B$4:$Q$34,13,FALSE)))</f>
        <v>161.914747823791</v>
      </c>
      <c r="BK202" s="90">
        <f>BG202/((VLOOKUP(B202,'Cell-Characteristics'!$B$4:$Q$34,14,FALSE)))</f>
        <v>2833.22549029768</v>
      </c>
      <c r="BL202" s="90">
        <f>BH202/((VLOOKUP(B202,'Cell-Characteristics'!$B$4:$Q$34,15,FALSE)))</f>
        <v>1.81064322265995</v>
      </c>
      <c r="BM202" s="90">
        <f>BI202/((VLOOKUP(B202,'Cell-Characteristics'!$B$4:$Q$34,16,FALSE)))</f>
        <v>432.731149947323</v>
      </c>
      <c r="BN202" s="50">
        <f t="shared" ref="BN202:BN265" si="50">AVERAGE(AD202:AF202)</f>
        <v>2</v>
      </c>
    </row>
    <row r="203" spans="2:66">
      <c r="B203" s="53" t="s">
        <v>147</v>
      </c>
      <c r="C203" s="53" t="s">
        <v>771</v>
      </c>
      <c r="D203" s="53" t="s">
        <v>405</v>
      </c>
      <c r="E203" s="55" t="s">
        <v>265</v>
      </c>
      <c r="F203" s="56" t="s">
        <v>195</v>
      </c>
      <c r="H203" s="57">
        <v>44260</v>
      </c>
      <c r="I203" s="58" t="s">
        <v>767</v>
      </c>
      <c r="J203" s="58">
        <v>100</v>
      </c>
      <c r="K203" s="59">
        <v>4.191</v>
      </c>
      <c r="L203" s="60">
        <v>44.45</v>
      </c>
      <c r="M203" s="60">
        <v>51.1</v>
      </c>
      <c r="N203" s="60">
        <v>51.4</v>
      </c>
      <c r="O203" s="59" t="s">
        <v>198</v>
      </c>
      <c r="P203" s="59" t="s">
        <v>198</v>
      </c>
      <c r="Q203" s="61" t="s">
        <v>381</v>
      </c>
      <c r="R203" s="62">
        <v>65.5692116903602</v>
      </c>
      <c r="S203" s="63">
        <v>0.019</v>
      </c>
      <c r="T203" s="63">
        <v>66.9295077912681</v>
      </c>
      <c r="U203" s="60">
        <v>69.1628250048081</v>
      </c>
      <c r="V203" s="60">
        <v>23.7362762791688</v>
      </c>
      <c r="W203" s="60">
        <v>45.3806828787827</v>
      </c>
      <c r="X203" s="60">
        <v>0.0458658468566154</v>
      </c>
      <c r="Y203" s="60">
        <v>34.3194140457952</v>
      </c>
      <c r="Z203" s="60">
        <v>65.6142702031443</v>
      </c>
      <c r="AA203" s="60">
        <v>0.0663157510605254</v>
      </c>
      <c r="AB203" s="60">
        <v>2.23331721354</v>
      </c>
      <c r="AC203" s="60">
        <v>0</v>
      </c>
      <c r="AD203" s="120">
        <v>2</v>
      </c>
      <c r="AE203" s="120">
        <v>2</v>
      </c>
      <c r="AF203" s="120">
        <v>2</v>
      </c>
      <c r="AG203" s="60">
        <v>0</v>
      </c>
      <c r="AH203" s="60">
        <v>0</v>
      </c>
      <c r="AI203" s="60">
        <v>0</v>
      </c>
      <c r="AJ203" s="60">
        <v>6.8284</v>
      </c>
      <c r="AK203" s="55">
        <v>19.70854</v>
      </c>
      <c r="AL203" s="60">
        <v>18.07</v>
      </c>
      <c r="AM203" s="60">
        <v>3.42</v>
      </c>
      <c r="AN203" s="60">
        <v>11.99</v>
      </c>
      <c r="AO203" s="60">
        <v>0.47</v>
      </c>
      <c r="AP203" s="60">
        <v>0</v>
      </c>
      <c r="AQ203" s="60">
        <v>0</v>
      </c>
      <c r="AR203" s="60">
        <v>0</v>
      </c>
      <c r="AS203" s="60">
        <v>10.5</v>
      </c>
      <c r="AT203" s="53">
        <v>26.38</v>
      </c>
      <c r="AU203" s="53">
        <v>59.347581552306</v>
      </c>
      <c r="AV203" s="53">
        <v>0</v>
      </c>
      <c r="AX203" s="53" t="s">
        <v>768</v>
      </c>
      <c r="AY203" s="53" t="s">
        <v>768</v>
      </c>
      <c r="AZ203" s="53" t="s">
        <v>768</v>
      </c>
      <c r="BA203" s="53" t="s">
        <v>768</v>
      </c>
      <c r="BC203" s="56">
        <v>3</v>
      </c>
      <c r="BD203" s="56">
        <v>3.7037037037037</v>
      </c>
      <c r="BE203" s="59">
        <f>U203/((VLOOKUP(B203,'Cell-Characteristics'!$B$4:$E$34,3,FALSE)*VLOOKUP(B203,'Cell-Characteristics'!$B$4:$E$34,4,FALSE)*3600)/1000)</f>
        <v>1.90594204709017</v>
      </c>
      <c r="BF203" s="90">
        <f t="shared" si="48"/>
        <v>11868.1381395844</v>
      </c>
      <c r="BG203" s="90">
        <f t="shared" si="46"/>
        <v>22690.3414393914</v>
      </c>
      <c r="BH203" s="90">
        <f t="shared" si="47"/>
        <v>22.9329234283077</v>
      </c>
      <c r="BI203" s="90">
        <f t="shared" si="49"/>
        <v>34581.412502404</v>
      </c>
      <c r="BJ203" s="90">
        <f>BF203/((VLOOKUP(B203,'Cell-Characteristics'!$B$4:$Q$34,13,FALSE)))</f>
        <v>190.892011509754</v>
      </c>
      <c r="BK203" s="90">
        <f>BG203/((VLOOKUP(B203,'Cell-Characteristics'!$B$4:$Q$34,14,FALSE)))</f>
        <v>2654.26019773781</v>
      </c>
      <c r="BL203" s="90">
        <f>BH203/((VLOOKUP(B203,'Cell-Characteristics'!$B$4:$Q$34,15,FALSE)))</f>
        <v>2.68263684070674</v>
      </c>
      <c r="BM203" s="90">
        <f>BI203/((VLOOKUP(B203,'Cell-Characteristics'!$B$4:$Q$34,16,FALSE)))</f>
        <v>436.252275501412</v>
      </c>
      <c r="BN203" s="50">
        <f t="shared" si="50"/>
        <v>2</v>
      </c>
    </row>
    <row r="204" spans="2:66">
      <c r="B204" s="53" t="s">
        <v>147</v>
      </c>
      <c r="C204" s="53" t="s">
        <v>772</v>
      </c>
      <c r="D204" s="53" t="s">
        <v>405</v>
      </c>
      <c r="E204" s="55" t="s">
        <v>265</v>
      </c>
      <c r="F204" s="56" t="s">
        <v>195</v>
      </c>
      <c r="H204" s="57">
        <v>44260</v>
      </c>
      <c r="I204" s="58" t="s">
        <v>767</v>
      </c>
      <c r="J204" s="58">
        <v>100</v>
      </c>
      <c r="K204" s="59">
        <v>4.191</v>
      </c>
      <c r="L204" s="60">
        <v>44.48</v>
      </c>
      <c r="M204" s="60">
        <v>49.4</v>
      </c>
      <c r="N204" s="60">
        <v>47.7</v>
      </c>
      <c r="O204" s="59" t="s">
        <v>198</v>
      </c>
      <c r="P204" s="59" t="s">
        <v>198</v>
      </c>
      <c r="Q204" s="61" t="s">
        <v>381</v>
      </c>
      <c r="R204" s="62">
        <v>66.4588468967343</v>
      </c>
      <c r="S204" s="63">
        <v>0.017</v>
      </c>
      <c r="T204" s="63">
        <v>67.5939294113382</v>
      </c>
      <c r="U204" s="60">
        <v>69.5103234586476</v>
      </c>
      <c r="V204" s="60">
        <v>20.9293199526551</v>
      </c>
      <c r="W204" s="60">
        <v>48.4473100294884</v>
      </c>
      <c r="X204" s="60">
        <v>0.133693476504112</v>
      </c>
      <c r="Y204" s="60">
        <v>30.1096569707464</v>
      </c>
      <c r="Z204" s="60">
        <v>69.6980068842727</v>
      </c>
      <c r="AA204" s="60">
        <v>0.192336144980893</v>
      </c>
      <c r="AB204" s="60">
        <v>1.9163940473094</v>
      </c>
      <c r="AC204" s="60">
        <v>0</v>
      </c>
      <c r="AD204" s="120">
        <v>2</v>
      </c>
      <c r="AE204" s="120">
        <v>2</v>
      </c>
      <c r="AF204" s="120">
        <v>2</v>
      </c>
      <c r="AG204" s="60">
        <v>0</v>
      </c>
      <c r="AH204" s="60">
        <v>0</v>
      </c>
      <c r="AI204" s="60">
        <v>0</v>
      </c>
      <c r="AJ204" s="60">
        <v>9.6295</v>
      </c>
      <c r="AK204" s="55">
        <v>20.718545</v>
      </c>
      <c r="AL204" s="60">
        <v>17.12</v>
      </c>
      <c r="AM204" s="60">
        <v>3.66</v>
      </c>
      <c r="AN204" s="60">
        <v>13.37</v>
      </c>
      <c r="AO204" s="60">
        <v>0.44</v>
      </c>
      <c r="AP204" s="60">
        <v>0</v>
      </c>
      <c r="AQ204" s="60">
        <v>0</v>
      </c>
      <c r="AR204" s="60">
        <v>0</v>
      </c>
      <c r="AS204" s="60">
        <v>9.89</v>
      </c>
      <c r="AT204" s="53">
        <v>27.36</v>
      </c>
      <c r="AU204" s="53">
        <v>61.5107913669065</v>
      </c>
      <c r="AV204" s="53">
        <v>0</v>
      </c>
      <c r="AX204" s="53" t="s">
        <v>768</v>
      </c>
      <c r="AY204" s="53" t="s">
        <v>768</v>
      </c>
      <c r="AZ204" s="53" t="s">
        <v>768</v>
      </c>
      <c r="BA204" s="53" t="s">
        <v>768</v>
      </c>
      <c r="BC204" s="56">
        <v>3</v>
      </c>
      <c r="BD204" s="56">
        <v>3.7037037037037</v>
      </c>
      <c r="BE204" s="59">
        <f>U204/((VLOOKUP(B204,'Cell-Characteristics'!$B$4:$E$34,3,FALSE)*VLOOKUP(B204,'Cell-Characteristics'!$B$4:$E$34,4,FALSE)*3600)/1000)</f>
        <v>1.91551817291247</v>
      </c>
      <c r="BF204" s="90">
        <f t="shared" si="48"/>
        <v>10464.6599763275</v>
      </c>
      <c r="BG204" s="90">
        <f t="shared" si="46"/>
        <v>24223.6550147442</v>
      </c>
      <c r="BH204" s="90">
        <f t="shared" si="47"/>
        <v>66.846738252056</v>
      </c>
      <c r="BI204" s="90">
        <f t="shared" si="49"/>
        <v>34755.1617293238</v>
      </c>
      <c r="BJ204" s="90">
        <f>BF204/((VLOOKUP(B204,'Cell-Characteristics'!$B$4:$Q$34,13,FALSE)))</f>
        <v>168.317891918027</v>
      </c>
      <c r="BK204" s="90">
        <f>BG204/((VLOOKUP(B204,'Cell-Characteristics'!$B$4:$Q$34,14,FALSE)))</f>
        <v>2833.62343934355</v>
      </c>
      <c r="BL204" s="90">
        <f>BH204/((VLOOKUP(B204,'Cell-Characteristics'!$B$4:$Q$34,15,FALSE)))</f>
        <v>7.8195666277197</v>
      </c>
      <c r="BM204" s="90">
        <f>BI204/((VLOOKUP(B204,'Cell-Characteristics'!$B$4:$Q$34,16,FALSE)))</f>
        <v>438.444160971824</v>
      </c>
      <c r="BN204" s="50">
        <f t="shared" si="50"/>
        <v>2</v>
      </c>
    </row>
    <row r="205" spans="2:66">
      <c r="B205" s="53" t="s">
        <v>147</v>
      </c>
      <c r="C205" s="53" t="s">
        <v>773</v>
      </c>
      <c r="D205" s="53" t="s">
        <v>405</v>
      </c>
      <c r="E205" s="55" t="s">
        <v>265</v>
      </c>
      <c r="F205" s="56" t="s">
        <v>195</v>
      </c>
      <c r="H205" s="57">
        <v>44260</v>
      </c>
      <c r="I205" s="58" t="s">
        <v>767</v>
      </c>
      <c r="J205" s="58">
        <v>100</v>
      </c>
      <c r="K205" s="59">
        <v>4.19</v>
      </c>
      <c r="L205" s="60">
        <v>44.42</v>
      </c>
      <c r="M205" s="60">
        <v>49.6</v>
      </c>
      <c r="N205" s="60">
        <v>51.4</v>
      </c>
      <c r="O205" s="59" t="s">
        <v>198</v>
      </c>
      <c r="P205" s="59" t="s">
        <v>198</v>
      </c>
      <c r="Q205" s="61" t="s">
        <v>381</v>
      </c>
      <c r="R205" s="62">
        <v>66.6035675424754</v>
      </c>
      <c r="S205" s="63">
        <v>0.02</v>
      </c>
      <c r="T205" s="63">
        <v>68.0207297715927</v>
      </c>
      <c r="U205" s="60">
        <v>70.7604909133047</v>
      </c>
      <c r="V205" s="60">
        <v>22.7567618886478</v>
      </c>
      <c r="W205" s="60">
        <v>47.9548253710804</v>
      </c>
      <c r="X205" s="60">
        <v>0.0489036535763919</v>
      </c>
      <c r="Y205" s="60">
        <v>32.1602657004306</v>
      </c>
      <c r="Z205" s="60">
        <v>67.7706227756876</v>
      </c>
      <c r="AA205" s="60">
        <v>0.0691115238817497</v>
      </c>
      <c r="AB205" s="60">
        <v>2.739761141712</v>
      </c>
      <c r="AC205" s="60">
        <v>0</v>
      </c>
      <c r="AD205" s="120">
        <v>2</v>
      </c>
      <c r="AE205" s="120">
        <v>2</v>
      </c>
      <c r="AF205" s="120">
        <v>2</v>
      </c>
      <c r="AG205" s="60">
        <v>0</v>
      </c>
      <c r="AH205" s="60">
        <v>0</v>
      </c>
      <c r="AI205" s="60">
        <v>0</v>
      </c>
      <c r="AJ205" s="60">
        <v>11.1309</v>
      </c>
      <c r="AK205" s="55">
        <v>21.59967</v>
      </c>
      <c r="AL205" s="60">
        <v>16.5</v>
      </c>
      <c r="AM205" s="60">
        <v>3.46</v>
      </c>
      <c r="AN205" s="60">
        <v>13.89</v>
      </c>
      <c r="AO205" s="60">
        <v>0.42</v>
      </c>
      <c r="AP205" s="60">
        <v>0</v>
      </c>
      <c r="AQ205" s="60">
        <v>0</v>
      </c>
      <c r="AR205" s="60">
        <v>0</v>
      </c>
      <c r="AS205" s="60">
        <v>10.15</v>
      </c>
      <c r="AT205" s="53">
        <v>27.92</v>
      </c>
      <c r="AU205" s="53">
        <v>62.8545700135074</v>
      </c>
      <c r="AV205" s="53">
        <v>0</v>
      </c>
      <c r="AX205" s="53" t="s">
        <v>768</v>
      </c>
      <c r="AY205" s="53" t="s">
        <v>768</v>
      </c>
      <c r="AZ205" s="53" t="s">
        <v>768</v>
      </c>
      <c r="BA205" s="53" t="s">
        <v>768</v>
      </c>
      <c r="BC205" s="56">
        <v>4</v>
      </c>
      <c r="BD205" s="56">
        <v>4.93827160493827</v>
      </c>
      <c r="BE205" s="59">
        <f>U205/((VLOOKUP(B205,'Cell-Characteristics'!$B$4:$E$34,3,FALSE)*VLOOKUP(B205,'Cell-Characteristics'!$B$4:$E$34,4,FALSE)*3600)/1000)</f>
        <v>1.94996943654389</v>
      </c>
      <c r="BF205" s="90">
        <f t="shared" si="48"/>
        <v>11378.3809443239</v>
      </c>
      <c r="BG205" s="90">
        <f t="shared" si="46"/>
        <v>23977.4126855402</v>
      </c>
      <c r="BH205" s="90">
        <f t="shared" si="47"/>
        <v>24.4518267881959</v>
      </c>
      <c r="BI205" s="90">
        <f t="shared" si="49"/>
        <v>35380.2454566523</v>
      </c>
      <c r="BJ205" s="90">
        <f>BF205/((VLOOKUP(B205,'Cell-Characteristics'!$B$4:$Q$34,13,FALSE)))</f>
        <v>183.014555496428</v>
      </c>
      <c r="BK205" s="90">
        <f>BG205/((VLOOKUP(B205,'Cell-Characteristics'!$B$4:$Q$34,14,FALSE)))</f>
        <v>2804.81861879247</v>
      </c>
      <c r="BL205" s="90">
        <f>BH205/((VLOOKUP(B205,'Cell-Characteristics'!$B$4:$Q$34,15,FALSE)))</f>
        <v>2.86031441083633</v>
      </c>
      <c r="BM205" s="90">
        <f>BI205/((VLOOKUP(B205,'Cell-Characteristics'!$B$4:$Q$34,16,FALSE)))</f>
        <v>446.329732401476</v>
      </c>
      <c r="BN205" s="50">
        <f t="shared" si="50"/>
        <v>2</v>
      </c>
    </row>
    <row r="206" spans="2:66">
      <c r="B206" s="53" t="s">
        <v>147</v>
      </c>
      <c r="C206" s="53" t="s">
        <v>774</v>
      </c>
      <c r="D206" s="53" t="s">
        <v>405</v>
      </c>
      <c r="E206" s="55" t="s">
        <v>265</v>
      </c>
      <c r="F206" s="56" t="s">
        <v>195</v>
      </c>
      <c r="H206" s="57">
        <v>44260</v>
      </c>
      <c r="I206" s="58" t="s">
        <v>767</v>
      </c>
      <c r="J206" s="58">
        <v>100</v>
      </c>
      <c r="K206" s="59">
        <v>4.191</v>
      </c>
      <c r="L206" s="60">
        <v>44.24</v>
      </c>
      <c r="M206" s="60">
        <v>48.9</v>
      </c>
      <c r="N206" s="60">
        <v>47.7</v>
      </c>
      <c r="O206" s="59" t="s">
        <v>198</v>
      </c>
      <c r="P206" s="59" t="s">
        <v>198</v>
      </c>
      <c r="Q206" s="61" t="s">
        <v>381</v>
      </c>
      <c r="R206" s="62">
        <v>66.5634000201118</v>
      </c>
      <c r="S206" s="63">
        <v>0.019</v>
      </c>
      <c r="T206" s="63">
        <v>67.9016587955869</v>
      </c>
      <c r="U206" s="60">
        <v>69.7615602938137</v>
      </c>
      <c r="V206" s="60">
        <v>20.5631846686088</v>
      </c>
      <c r="W206" s="60">
        <v>49.1666096356652</v>
      </c>
      <c r="X206" s="60">
        <v>0.0317659895397191</v>
      </c>
      <c r="Y206" s="60">
        <v>29.4763829564636</v>
      </c>
      <c r="Z206" s="60">
        <v>70.4780819531428</v>
      </c>
      <c r="AA206" s="60">
        <v>0.0455350903935215</v>
      </c>
      <c r="AB206" s="60">
        <v>1.8599014982268</v>
      </c>
      <c r="AC206" s="60">
        <v>0</v>
      </c>
      <c r="AD206" s="120">
        <v>2</v>
      </c>
      <c r="AE206" s="120">
        <v>2</v>
      </c>
      <c r="AF206" s="120">
        <v>2</v>
      </c>
      <c r="AG206" s="60">
        <v>0</v>
      </c>
      <c r="AH206" s="60">
        <v>0</v>
      </c>
      <c r="AI206" s="60">
        <v>0</v>
      </c>
      <c r="AJ206" s="60">
        <v>22.5747</v>
      </c>
      <c r="AK206" s="55">
        <v>22.78206</v>
      </c>
      <c r="AL206" s="60">
        <v>16.8</v>
      </c>
      <c r="AM206" s="60">
        <v>3.43</v>
      </c>
      <c r="AN206" s="60">
        <v>13.93</v>
      </c>
      <c r="AO206" s="60">
        <v>0.42</v>
      </c>
      <c r="AP206" s="60">
        <v>0</v>
      </c>
      <c r="AQ206" s="60">
        <v>0</v>
      </c>
      <c r="AR206" s="60">
        <v>0</v>
      </c>
      <c r="AS206" s="60">
        <v>9.66</v>
      </c>
      <c r="AT206" s="53">
        <v>27.44</v>
      </c>
      <c r="AU206" s="53">
        <v>62.0253164556962</v>
      </c>
      <c r="AV206" s="53">
        <v>0</v>
      </c>
      <c r="AX206" s="53" t="s">
        <v>768</v>
      </c>
      <c r="AY206" s="53" t="s">
        <v>768</v>
      </c>
      <c r="AZ206" s="53" t="s">
        <v>768</v>
      </c>
      <c r="BA206" s="53" t="s">
        <v>768</v>
      </c>
      <c r="BC206" s="56">
        <v>5</v>
      </c>
      <c r="BD206" s="56">
        <v>6.17283950617284</v>
      </c>
      <c r="BE206" s="59">
        <f>U206/((VLOOKUP(B206,'Cell-Characteristics'!$B$4:$E$34,3,FALSE)*VLOOKUP(B206,'Cell-Characteristics'!$B$4:$E$34,4,FALSE)*3600)/1000)</f>
        <v>1.92244158657996</v>
      </c>
      <c r="BF206" s="90">
        <f t="shared" si="48"/>
        <v>10281.5923343044</v>
      </c>
      <c r="BG206" s="90">
        <f t="shared" si="46"/>
        <v>24583.3048178326</v>
      </c>
      <c r="BH206" s="90">
        <f t="shared" si="47"/>
        <v>15.8829947698595</v>
      </c>
      <c r="BI206" s="90">
        <f t="shared" si="49"/>
        <v>34880.7801469069</v>
      </c>
      <c r="BJ206" s="90">
        <f>BF206/((VLOOKUP(B206,'Cell-Characteristics'!$B$4:$Q$34,13,FALSE)))</f>
        <v>165.373356724963</v>
      </c>
      <c r="BK206" s="90">
        <f>BG206/((VLOOKUP(B206,'Cell-Characteristics'!$B$4:$Q$34,14,FALSE)))</f>
        <v>2875.69438657947</v>
      </c>
      <c r="BL206" s="90">
        <f>BH206/((VLOOKUP(B206,'Cell-Characteristics'!$B$4:$Q$34,15,FALSE)))</f>
        <v>1.85795356809082</v>
      </c>
      <c r="BM206" s="90">
        <f>BI206/((VLOOKUP(B206,'Cell-Characteristics'!$B$4:$Q$34,16,FALSE)))</f>
        <v>440.028865486473</v>
      </c>
      <c r="BN206" s="50">
        <f t="shared" si="50"/>
        <v>2</v>
      </c>
    </row>
    <row r="207" spans="2:66">
      <c r="B207" s="53" t="s">
        <v>147</v>
      </c>
      <c r="C207" s="53" t="s">
        <v>775</v>
      </c>
      <c r="D207" s="53" t="s">
        <v>405</v>
      </c>
      <c r="E207" s="55" t="s">
        <v>265</v>
      </c>
      <c r="F207" s="56" t="s">
        <v>195</v>
      </c>
      <c r="H207" s="57">
        <v>44260</v>
      </c>
      <c r="I207" s="58" t="s">
        <v>767</v>
      </c>
      <c r="J207" s="58">
        <v>100</v>
      </c>
      <c r="K207" s="59">
        <v>4.191</v>
      </c>
      <c r="L207" s="60">
        <v>44.68</v>
      </c>
      <c r="M207" s="60">
        <v>49.1</v>
      </c>
      <c r="N207" s="60">
        <v>51.4</v>
      </c>
      <c r="O207" s="59" t="s">
        <v>198</v>
      </c>
      <c r="P207" s="59" t="s">
        <v>198</v>
      </c>
      <c r="Q207" s="61" t="s">
        <v>381</v>
      </c>
      <c r="R207" s="62">
        <v>66.2411793451439</v>
      </c>
      <c r="S207" s="63">
        <v>0.019</v>
      </c>
      <c r="T207" s="63">
        <v>67.5303395980319</v>
      </c>
      <c r="U207" s="60">
        <v>69.8548155609671</v>
      </c>
      <c r="V207" s="60">
        <v>21.3567734466938</v>
      </c>
      <c r="W207" s="60">
        <v>48.4489926387859</v>
      </c>
      <c r="X207" s="60">
        <v>0.0490494754873458</v>
      </c>
      <c r="Y207" s="60">
        <v>30.5730868733799</v>
      </c>
      <c r="Z207" s="60">
        <v>69.3566968142678</v>
      </c>
      <c r="AA207" s="60">
        <v>0.0702163123522056</v>
      </c>
      <c r="AB207" s="60">
        <v>2.3244759629352</v>
      </c>
      <c r="AC207" s="60">
        <v>0</v>
      </c>
      <c r="AD207" s="120">
        <v>2</v>
      </c>
      <c r="AE207" s="120">
        <v>2</v>
      </c>
      <c r="AF207" s="120">
        <v>2</v>
      </c>
      <c r="AG207" s="60">
        <v>0</v>
      </c>
      <c r="AH207" s="60">
        <v>0</v>
      </c>
      <c r="AI207" s="60">
        <v>0</v>
      </c>
      <c r="AJ207" s="60">
        <v>10.8155</v>
      </c>
      <c r="AK207" s="55">
        <v>20.654675</v>
      </c>
      <c r="AL207" s="60">
        <v>15.8</v>
      </c>
      <c r="AM207" s="60">
        <v>3.64</v>
      </c>
      <c r="AN207" s="60">
        <v>14.65</v>
      </c>
      <c r="AO207" s="60">
        <v>0.53</v>
      </c>
      <c r="AP207" s="60">
        <v>0</v>
      </c>
      <c r="AQ207" s="60">
        <v>0</v>
      </c>
      <c r="AR207" s="60">
        <v>0</v>
      </c>
      <c r="AS207" s="60">
        <v>10.06</v>
      </c>
      <c r="AT207" s="53">
        <v>28.88</v>
      </c>
      <c r="AU207" s="53">
        <v>64.6374216651746</v>
      </c>
      <c r="AV207" s="53">
        <v>0</v>
      </c>
      <c r="AX207" s="53" t="s">
        <v>768</v>
      </c>
      <c r="AY207" s="53" t="s">
        <v>768</v>
      </c>
      <c r="AZ207" s="53" t="s">
        <v>768</v>
      </c>
      <c r="BA207" s="53" t="s">
        <v>768</v>
      </c>
      <c r="BC207" s="56">
        <v>4</v>
      </c>
      <c r="BD207" s="56">
        <v>4.93827160493827</v>
      </c>
      <c r="BE207" s="59">
        <f>U207/((VLOOKUP(B207,'Cell-Characteristics'!$B$4:$E$34,3,FALSE)*VLOOKUP(B207,'Cell-Characteristics'!$B$4:$E$34,4,FALSE)*3600)/1000)</f>
        <v>1.92501145174623</v>
      </c>
      <c r="BF207" s="90">
        <f t="shared" si="48"/>
        <v>10678.3867233469</v>
      </c>
      <c r="BG207" s="90">
        <f t="shared" si="46"/>
        <v>24224.496319393</v>
      </c>
      <c r="BH207" s="90">
        <f t="shared" si="47"/>
        <v>24.5247377436729</v>
      </c>
      <c r="BI207" s="90">
        <f t="shared" si="49"/>
        <v>34927.4077804835</v>
      </c>
      <c r="BJ207" s="90">
        <f>BF207/((VLOOKUP(B207,'Cell-Characteristics'!$B$4:$Q$34,13,FALSE)))</f>
        <v>171.7555607564</v>
      </c>
      <c r="BK207" s="90">
        <f>BG207/((VLOOKUP(B207,'Cell-Characteristics'!$B$4:$Q$34,14,FALSE)))</f>
        <v>2833.72185308709</v>
      </c>
      <c r="BL207" s="90">
        <f>BH207/((VLOOKUP(B207,'Cell-Characteristics'!$B$4:$Q$34,15,FALSE)))</f>
        <v>2.86884335464347</v>
      </c>
      <c r="BM207" s="90">
        <f>BI207/((VLOOKUP(B207,'Cell-Characteristics'!$B$4:$Q$34,16,FALSE)))</f>
        <v>440.617083542854</v>
      </c>
      <c r="BN207" s="50">
        <f t="shared" si="50"/>
        <v>2</v>
      </c>
    </row>
    <row r="208" spans="2:66">
      <c r="B208" s="53" t="s">
        <v>147</v>
      </c>
      <c r="C208" s="53" t="s">
        <v>776</v>
      </c>
      <c r="D208" s="53" t="s">
        <v>405</v>
      </c>
      <c r="E208" s="55" t="s">
        <v>265</v>
      </c>
      <c r="F208" s="56" t="s">
        <v>195</v>
      </c>
      <c r="H208" s="57">
        <v>44260</v>
      </c>
      <c r="I208" s="58" t="s">
        <v>767</v>
      </c>
      <c r="J208" s="58">
        <v>100</v>
      </c>
      <c r="K208" s="59">
        <v>4.19</v>
      </c>
      <c r="L208" s="60">
        <v>44.71</v>
      </c>
      <c r="M208" s="60">
        <v>50.3</v>
      </c>
      <c r="N208" s="60">
        <v>47.7</v>
      </c>
      <c r="O208" s="59" t="s">
        <v>198</v>
      </c>
      <c r="P208" s="59" t="s">
        <v>198</v>
      </c>
      <c r="Q208" s="61" t="s">
        <v>381</v>
      </c>
      <c r="R208" s="62">
        <v>64.9568172444592</v>
      </c>
      <c r="S208" s="63">
        <v>0.018</v>
      </c>
      <c r="T208" s="63">
        <v>66.3876624096241</v>
      </c>
      <c r="U208" s="60">
        <v>68.0075722934041</v>
      </c>
      <c r="V208" s="60">
        <v>24.4897906107113</v>
      </c>
      <c r="W208" s="60">
        <v>43.4080225835577</v>
      </c>
      <c r="X208" s="60">
        <v>0.109759099135185</v>
      </c>
      <c r="Y208" s="60">
        <v>36.010387938942</v>
      </c>
      <c r="Z208" s="60">
        <v>63.8282195933756</v>
      </c>
      <c r="AA208" s="60">
        <v>0.161392467682353</v>
      </c>
      <c r="AB208" s="60">
        <v>1.61990988378</v>
      </c>
      <c r="AC208" s="60">
        <v>0</v>
      </c>
      <c r="AD208" s="120">
        <v>2</v>
      </c>
      <c r="AE208" s="120">
        <v>2</v>
      </c>
      <c r="AF208" s="120">
        <v>2</v>
      </c>
      <c r="AG208" s="60">
        <v>0</v>
      </c>
      <c r="AH208" s="60">
        <v>0</v>
      </c>
      <c r="AI208" s="60">
        <v>0</v>
      </c>
      <c r="AJ208" s="60">
        <v>9.034</v>
      </c>
      <c r="AK208" s="55">
        <v>22.2943</v>
      </c>
      <c r="AL208" s="60">
        <v>21.05</v>
      </c>
      <c r="AM208" s="60">
        <v>3.96</v>
      </c>
      <c r="AN208" s="60">
        <v>9.87</v>
      </c>
      <c r="AO208" s="60">
        <v>0.28</v>
      </c>
      <c r="AP208" s="60">
        <v>0</v>
      </c>
      <c r="AQ208" s="60">
        <v>0</v>
      </c>
      <c r="AR208" s="60">
        <v>0</v>
      </c>
      <c r="AS208" s="60">
        <v>9.55</v>
      </c>
      <c r="AT208" s="53">
        <v>23.66</v>
      </c>
      <c r="AU208" s="53">
        <v>52.9188101095952</v>
      </c>
      <c r="AV208" s="53">
        <v>0</v>
      </c>
      <c r="AX208" s="53" t="s">
        <v>768</v>
      </c>
      <c r="AY208" s="53" t="s">
        <v>768</v>
      </c>
      <c r="AZ208" s="53" t="s">
        <v>768</v>
      </c>
      <c r="BA208" s="53" t="s">
        <v>768</v>
      </c>
      <c r="BC208" s="56">
        <v>6</v>
      </c>
      <c r="BD208" s="56">
        <v>7.40740740740741</v>
      </c>
      <c r="BE208" s="59">
        <f>U208/((VLOOKUP(B208,'Cell-Characteristics'!$B$4:$E$34,3,FALSE)*VLOOKUP(B208,'Cell-Characteristics'!$B$4:$E$34,4,FALSE)*3600)/1000)</f>
        <v>1.87410637933764</v>
      </c>
      <c r="BF208" s="90">
        <f t="shared" si="48"/>
        <v>12244.8953053557</v>
      </c>
      <c r="BG208" s="90">
        <f t="shared" si="46"/>
        <v>21704.0112917789</v>
      </c>
      <c r="BH208" s="90">
        <f t="shared" si="47"/>
        <v>54.8795495675925</v>
      </c>
      <c r="BI208" s="90">
        <f t="shared" si="49"/>
        <v>34003.786146702</v>
      </c>
      <c r="BJ208" s="90">
        <f>BF208/((VLOOKUP(B208,'Cell-Characteristics'!$B$4:$Q$34,13,FALSE)))</f>
        <v>196.95192860702</v>
      </c>
      <c r="BK208" s="90">
        <f>BG208/((VLOOKUP(B208,'Cell-Characteristics'!$B$4:$Q$34,14,FALSE)))</f>
        <v>2538.88172890209</v>
      </c>
      <c r="BL208" s="90">
        <f>BH208/((VLOOKUP(B208,'Cell-Characteristics'!$B$4:$Q$34,15,FALSE)))</f>
        <v>6.41967440093962</v>
      </c>
      <c r="BM208" s="90">
        <f>BI208/((VLOOKUP(B208,'Cell-Characteristics'!$B$4:$Q$34,16,FALSE)))</f>
        <v>428.965389459754</v>
      </c>
      <c r="BN208" s="50">
        <f t="shared" si="50"/>
        <v>2</v>
      </c>
    </row>
    <row r="209" spans="2:66">
      <c r="B209" s="53" t="s">
        <v>147</v>
      </c>
      <c r="C209" s="53" t="s">
        <v>777</v>
      </c>
      <c r="D209" s="53" t="s">
        <v>405</v>
      </c>
      <c r="E209" s="55" t="s">
        <v>265</v>
      </c>
      <c r="F209" s="56" t="s">
        <v>195</v>
      </c>
      <c r="H209" s="57">
        <v>44260</v>
      </c>
      <c r="I209" s="58" t="s">
        <v>767</v>
      </c>
      <c r="J209" s="58">
        <v>100</v>
      </c>
      <c r="K209" s="59">
        <v>4.184</v>
      </c>
      <c r="L209" s="60">
        <v>44.2</v>
      </c>
      <c r="M209" s="60">
        <v>50.2</v>
      </c>
      <c r="N209" s="60">
        <v>51.4</v>
      </c>
      <c r="O209" s="59" t="s">
        <v>198</v>
      </c>
      <c r="P209" s="59" t="s">
        <v>198</v>
      </c>
      <c r="Q209" s="61" t="s">
        <v>381</v>
      </c>
      <c r="R209" s="62">
        <v>63.0521579404471</v>
      </c>
      <c r="S209" s="63">
        <v>0.01</v>
      </c>
      <c r="T209" s="63">
        <v>63.7791206628417</v>
      </c>
      <c r="U209" s="60">
        <v>66.0472212276171</v>
      </c>
      <c r="V209" s="60">
        <v>21.75854084384</v>
      </c>
      <c r="W209" s="60">
        <v>44.2435051565383</v>
      </c>
      <c r="X209" s="60">
        <v>0.0451752272387974</v>
      </c>
      <c r="Y209" s="60">
        <v>32.9439156400752</v>
      </c>
      <c r="Z209" s="60">
        <v>66.9876859831284</v>
      </c>
      <c r="AA209" s="60">
        <v>0.0683983767963697</v>
      </c>
      <c r="AB209" s="60">
        <v>2.2681005647754</v>
      </c>
      <c r="AC209" s="60">
        <v>0</v>
      </c>
      <c r="AD209" s="120">
        <v>2</v>
      </c>
      <c r="AE209" s="120">
        <v>2</v>
      </c>
      <c r="AF209" s="120">
        <v>2</v>
      </c>
      <c r="AG209" s="60">
        <v>0</v>
      </c>
      <c r="AH209" s="60">
        <v>0</v>
      </c>
      <c r="AI209" s="60">
        <v>0</v>
      </c>
      <c r="AJ209" s="60">
        <v>18.8677</v>
      </c>
      <c r="AK209" s="55">
        <v>22.908715</v>
      </c>
      <c r="AL209" s="60">
        <v>18.48</v>
      </c>
      <c r="AM209" s="60">
        <v>3.56</v>
      </c>
      <c r="AN209" s="60">
        <v>11</v>
      </c>
      <c r="AO209" s="60">
        <v>0.43</v>
      </c>
      <c r="AP209" s="60">
        <v>0</v>
      </c>
      <c r="AQ209" s="60">
        <v>0</v>
      </c>
      <c r="AR209" s="60">
        <v>0</v>
      </c>
      <c r="AS209" s="60">
        <v>10.73</v>
      </c>
      <c r="AT209" s="53">
        <v>25.72</v>
      </c>
      <c r="AU209" s="53">
        <v>58.1900452488688</v>
      </c>
      <c r="AV209" s="53">
        <v>0.0001</v>
      </c>
      <c r="AX209" s="53" t="s">
        <v>768</v>
      </c>
      <c r="AY209" s="53" t="s">
        <v>768</v>
      </c>
      <c r="AZ209" s="53" t="s">
        <v>768</v>
      </c>
      <c r="BA209" s="53" t="s">
        <v>768</v>
      </c>
      <c r="BC209" s="56">
        <v>2</v>
      </c>
      <c r="BD209" s="56">
        <v>2.46913580246914</v>
      </c>
      <c r="BE209" s="59">
        <f>U209/((VLOOKUP(B209,'Cell-Characteristics'!$B$4:$E$34,3,FALSE)*VLOOKUP(B209,'Cell-Characteristics'!$B$4:$E$34,4,FALSE)*3600)/1000)</f>
        <v>1.82008435922666</v>
      </c>
      <c r="BF209" s="90">
        <f t="shared" si="48"/>
        <v>10879.27042192</v>
      </c>
      <c r="BG209" s="90">
        <f t="shared" si="46"/>
        <v>22121.7525782691</v>
      </c>
      <c r="BH209" s="90">
        <f t="shared" si="47"/>
        <v>22.5876136193987</v>
      </c>
      <c r="BI209" s="90">
        <f t="shared" si="49"/>
        <v>33023.6106138086</v>
      </c>
      <c r="BJ209" s="90">
        <f>BF209/((VLOOKUP(B209,'Cell-Characteristics'!$B$4:$Q$34,13,FALSE)))</f>
        <v>174.986656725214</v>
      </c>
      <c r="BK209" s="90">
        <f>BG209/((VLOOKUP(B209,'Cell-Characteristics'!$B$4:$Q$34,14,FALSE)))</f>
        <v>2587.74807463976</v>
      </c>
      <c r="BL209" s="90">
        <f>BH209/((VLOOKUP(B209,'Cell-Characteristics'!$B$4:$Q$34,15,FALSE)))</f>
        <v>2.64224335063416</v>
      </c>
      <c r="BM209" s="90">
        <f>BI209/((VLOOKUP(B209,'Cell-Characteristics'!$B$4:$Q$34,16,FALSE)))</f>
        <v>416.600255254034</v>
      </c>
      <c r="BN209" s="50">
        <f t="shared" si="50"/>
        <v>2</v>
      </c>
    </row>
    <row r="210" spans="2:66">
      <c r="B210" s="53" t="s">
        <v>147</v>
      </c>
      <c r="C210" s="53" t="s">
        <v>778</v>
      </c>
      <c r="D210" s="53" t="s">
        <v>405</v>
      </c>
      <c r="E210" s="55" t="s">
        <v>265</v>
      </c>
      <c r="F210" s="56" t="s">
        <v>195</v>
      </c>
      <c r="H210" s="57">
        <v>44260</v>
      </c>
      <c r="I210" s="58" t="s">
        <v>779</v>
      </c>
      <c r="J210" s="58">
        <v>60</v>
      </c>
      <c r="K210" s="59">
        <v>3.729</v>
      </c>
      <c r="L210" s="60">
        <v>44.16</v>
      </c>
      <c r="M210" s="60">
        <v>47.8</v>
      </c>
      <c r="N210" s="60">
        <v>47.7</v>
      </c>
      <c r="O210" s="59" t="s">
        <v>198</v>
      </c>
      <c r="P210" s="59" t="s">
        <v>198</v>
      </c>
      <c r="Q210" s="61" t="s">
        <v>381</v>
      </c>
      <c r="R210" s="62">
        <v>42.1298658587828</v>
      </c>
      <c r="S210" s="63">
        <v>0.013</v>
      </c>
      <c r="T210" s="63">
        <v>44.1102755891666</v>
      </c>
      <c r="U210" s="60">
        <v>44.7301934561714</v>
      </c>
      <c r="V210" s="60">
        <v>18.4642296032171</v>
      </c>
      <c r="W210" s="60">
        <v>26.2503427732758</v>
      </c>
      <c r="X210" s="60">
        <v>0.0156210796785135</v>
      </c>
      <c r="Y210" s="60">
        <v>41.2791185920292</v>
      </c>
      <c r="Z210" s="60">
        <v>58.6859585103227</v>
      </c>
      <c r="AA210" s="60">
        <v>0.0349228976481395</v>
      </c>
      <c r="AB210" s="60">
        <v>0.6199178670048</v>
      </c>
      <c r="AC210" s="60">
        <v>0</v>
      </c>
      <c r="AD210" s="120">
        <v>2</v>
      </c>
      <c r="AE210" s="120">
        <v>2</v>
      </c>
      <c r="AF210" s="120">
        <v>2</v>
      </c>
      <c r="AG210" s="60">
        <v>0</v>
      </c>
      <c r="AH210" s="60">
        <v>0</v>
      </c>
      <c r="AI210" s="60">
        <v>0</v>
      </c>
      <c r="AJ210" s="60">
        <v>11.3304</v>
      </c>
      <c r="AK210" s="55">
        <v>23.41803</v>
      </c>
      <c r="AL210" s="60">
        <v>31.84</v>
      </c>
      <c r="AM210" s="60">
        <v>0.39</v>
      </c>
      <c r="AN210" s="60">
        <v>4.18</v>
      </c>
      <c r="AO210" s="60">
        <v>0.47</v>
      </c>
      <c r="AP210" s="60">
        <v>0</v>
      </c>
      <c r="AQ210" s="60">
        <v>0</v>
      </c>
      <c r="AR210" s="60">
        <v>0</v>
      </c>
      <c r="AS210" s="60">
        <v>7.28</v>
      </c>
      <c r="AT210" s="53">
        <v>12.32</v>
      </c>
      <c r="AU210" s="53">
        <v>27.8985507246377</v>
      </c>
      <c r="AV210" s="53">
        <v>0</v>
      </c>
      <c r="AX210" s="53" t="s">
        <v>768</v>
      </c>
      <c r="AY210" s="53" t="s">
        <v>768</v>
      </c>
      <c r="AZ210" s="53" t="s">
        <v>768</v>
      </c>
      <c r="BA210" s="53" t="s">
        <v>768</v>
      </c>
      <c r="BC210" s="56">
        <v>3</v>
      </c>
      <c r="BD210" s="56">
        <v>3.7037037037037</v>
      </c>
      <c r="BE210" s="59">
        <f>U210/((VLOOKUP(B210,'Cell-Characteristics'!$B$4:$E$34,3,FALSE)*VLOOKUP(B210,'Cell-Characteristics'!$B$4:$E$34,4,FALSE)*3600)/1000)</f>
        <v>1.23264422002236</v>
      </c>
      <c r="BF210" s="90">
        <f t="shared" si="48"/>
        <v>9232.11480160855</v>
      </c>
      <c r="BG210" s="90">
        <f t="shared" si="46"/>
        <v>13125.1713866379</v>
      </c>
      <c r="BH210" s="90">
        <f t="shared" si="47"/>
        <v>7.81053983925675</v>
      </c>
      <c r="BI210" s="90">
        <f t="shared" si="49"/>
        <v>22365.0967280857</v>
      </c>
      <c r="BJ210" s="90">
        <f>BF210/((VLOOKUP(B210,'Cell-Characteristics'!$B$4:$Q$34,13,FALSE)))</f>
        <v>148.493128765498</v>
      </c>
      <c r="BK210" s="90">
        <f>BG210/((VLOOKUP(B210,'Cell-Characteristics'!$B$4:$Q$34,14,FALSE)))</f>
        <v>1535.35018823298</v>
      </c>
      <c r="BL210" s="90">
        <f>BH210/((VLOOKUP(B210,'Cell-Characteristics'!$B$4:$Q$34,15,FALSE)))</f>
        <v>0.913657693233054</v>
      </c>
      <c r="BM210" s="90">
        <f>BI210/((VLOOKUP(B210,'Cell-Characteristics'!$B$4:$Q$34,16,FALSE)))</f>
        <v>282.140711827728</v>
      </c>
      <c r="BN210" s="50">
        <f t="shared" si="50"/>
        <v>2</v>
      </c>
    </row>
    <row r="211" spans="2:66">
      <c r="B211" s="53" t="s">
        <v>147</v>
      </c>
      <c r="C211" s="53" t="s">
        <v>780</v>
      </c>
      <c r="D211" s="53" t="s">
        <v>405</v>
      </c>
      <c r="E211" s="55" t="s">
        <v>265</v>
      </c>
      <c r="F211" s="56" t="s">
        <v>195</v>
      </c>
      <c r="H211" s="57">
        <v>44260</v>
      </c>
      <c r="I211" s="58" t="s">
        <v>779</v>
      </c>
      <c r="J211" s="58">
        <v>60</v>
      </c>
      <c r="K211" s="59">
        <v>3.73</v>
      </c>
      <c r="L211" s="60">
        <v>44.2</v>
      </c>
      <c r="M211" s="60">
        <v>49.4</v>
      </c>
      <c r="N211" s="60">
        <v>51.4</v>
      </c>
      <c r="O211" s="59" t="s">
        <v>198</v>
      </c>
      <c r="P211" s="59" t="s">
        <v>198</v>
      </c>
      <c r="Q211" s="61" t="s">
        <v>381</v>
      </c>
      <c r="R211" s="62">
        <v>42.2918359147012</v>
      </c>
      <c r="S211" s="63">
        <v>0.012</v>
      </c>
      <c r="T211" s="63">
        <v>43.446078083339</v>
      </c>
      <c r="U211" s="60">
        <v>44.899824624839</v>
      </c>
      <c r="V211" s="60">
        <v>10.8879028505747</v>
      </c>
      <c r="W211" s="60">
        <v>34.0001949331609</v>
      </c>
      <c r="X211" s="60">
        <v>0.0117268411034819</v>
      </c>
      <c r="Y211" s="60">
        <v>24.2493215542569</v>
      </c>
      <c r="Z211" s="60">
        <v>75.7245606575301</v>
      </c>
      <c r="AA211" s="60">
        <v>0.0261177882129066</v>
      </c>
      <c r="AB211" s="60">
        <v>1.4537465415</v>
      </c>
      <c r="AC211" s="60">
        <v>0</v>
      </c>
      <c r="AD211" s="120">
        <v>2</v>
      </c>
      <c r="AE211" s="120">
        <v>2</v>
      </c>
      <c r="AF211" s="120">
        <v>2</v>
      </c>
      <c r="AG211" s="60">
        <v>0</v>
      </c>
      <c r="AH211" s="60">
        <v>0</v>
      </c>
      <c r="AI211" s="60">
        <v>0</v>
      </c>
      <c r="AJ211" s="60">
        <v>12.2268</v>
      </c>
      <c r="AK211" s="55">
        <v>23.885515</v>
      </c>
      <c r="AL211" s="60">
        <v>11.15</v>
      </c>
      <c r="AM211" s="60">
        <v>10.1</v>
      </c>
      <c r="AN211" s="60">
        <v>13.49</v>
      </c>
      <c r="AO211" s="60">
        <v>1.21</v>
      </c>
      <c r="AP211" s="60">
        <v>0</v>
      </c>
      <c r="AQ211" s="60">
        <v>0</v>
      </c>
      <c r="AR211" s="60">
        <v>0</v>
      </c>
      <c r="AS211" s="60">
        <v>8.25</v>
      </c>
      <c r="AT211" s="53">
        <v>33.05</v>
      </c>
      <c r="AU211" s="53">
        <v>74.7737556561086</v>
      </c>
      <c r="AV211" s="53">
        <v>0</v>
      </c>
      <c r="AX211" s="53" t="s">
        <v>768</v>
      </c>
      <c r="AY211" s="53" t="s">
        <v>768</v>
      </c>
      <c r="AZ211" s="53" t="s">
        <v>768</v>
      </c>
      <c r="BA211" s="53" t="s">
        <v>768</v>
      </c>
      <c r="BB211" s="53" t="s">
        <v>781</v>
      </c>
      <c r="BC211" s="56">
        <v>5</v>
      </c>
      <c r="BD211" s="56">
        <v>6.17283950617284</v>
      </c>
      <c r="BE211" s="59">
        <f>U211/((VLOOKUP(B211,'Cell-Characteristics'!$B$4:$E$34,3,FALSE)*VLOOKUP(B211,'Cell-Characteristics'!$B$4:$E$34,4,FALSE)*3600)/1000)</f>
        <v>1.23731880028767</v>
      </c>
      <c r="BF211" s="90">
        <f t="shared" si="48"/>
        <v>5443.95142528735</v>
      </c>
      <c r="BG211" s="90">
        <f t="shared" si="46"/>
        <v>17000.0974665804</v>
      </c>
      <c r="BH211" s="90">
        <f t="shared" si="47"/>
        <v>5.86342055174095</v>
      </c>
      <c r="BI211" s="90">
        <f t="shared" si="49"/>
        <v>22449.9123124195</v>
      </c>
      <c r="BJ211" s="90">
        <f>BF211/((VLOOKUP(B211,'Cell-Characteristics'!$B$4:$Q$34,13,FALSE)))</f>
        <v>87.5627521277641</v>
      </c>
      <c r="BK211" s="90">
        <f>BG211/((VLOOKUP(B211,'Cell-Characteristics'!$B$4:$Q$34,14,FALSE)))</f>
        <v>1988.62948729688</v>
      </c>
      <c r="BL211" s="90">
        <f>BH211/((VLOOKUP(B211,'Cell-Characteristics'!$B$4:$Q$34,15,FALSE)))</f>
        <v>0.685888479671171</v>
      </c>
      <c r="BM211" s="90">
        <f>BI211/((VLOOKUP(B211,'Cell-Characteristics'!$B$4:$Q$34,16,FALSE)))</f>
        <v>283.210679448658</v>
      </c>
      <c r="BN211" s="50">
        <f t="shared" si="50"/>
        <v>2</v>
      </c>
    </row>
    <row r="212" spans="2:66">
      <c r="B212" s="53" t="s">
        <v>147</v>
      </c>
      <c r="C212" s="53" t="s">
        <v>782</v>
      </c>
      <c r="D212" s="53" t="s">
        <v>405</v>
      </c>
      <c r="E212" s="55" t="s">
        <v>265</v>
      </c>
      <c r="F212" s="56" t="s">
        <v>195</v>
      </c>
      <c r="H212" s="57">
        <v>44270</v>
      </c>
      <c r="I212" s="58" t="s">
        <v>779</v>
      </c>
      <c r="J212" s="58">
        <v>60</v>
      </c>
      <c r="K212" s="59">
        <v>3.724</v>
      </c>
      <c r="L212" s="60">
        <v>43.98</v>
      </c>
      <c r="M212" s="60">
        <v>49.8</v>
      </c>
      <c r="N212" s="60">
        <v>51.4</v>
      </c>
      <c r="O212" s="59" t="s">
        <v>198</v>
      </c>
      <c r="P212" s="59" t="s">
        <v>198</v>
      </c>
      <c r="Q212" s="61" t="s">
        <v>381</v>
      </c>
      <c r="R212" s="62">
        <v>39.2885065076425</v>
      </c>
      <c r="S212" s="63">
        <v>0.01</v>
      </c>
      <c r="T212" s="63">
        <v>40.7060890772182</v>
      </c>
      <c r="U212" s="60">
        <v>41.2337018137366</v>
      </c>
      <c r="V212" s="60">
        <v>20.1996316266781</v>
      </c>
      <c r="W212" s="60">
        <v>21.0276334249871</v>
      </c>
      <c r="X212" s="60">
        <v>0.00643676207143267</v>
      </c>
      <c r="Y212" s="60">
        <v>48.9881595349481</v>
      </c>
      <c r="Z212" s="60">
        <v>50.9962300255611</v>
      </c>
      <c r="AA212" s="60">
        <v>0.0156104394907574</v>
      </c>
      <c r="AB212" s="60">
        <v>0.5276127365184</v>
      </c>
      <c r="AC212" s="60">
        <v>0</v>
      </c>
      <c r="AD212" s="120">
        <v>2</v>
      </c>
      <c r="AE212" s="120">
        <v>2</v>
      </c>
      <c r="AF212" s="120">
        <v>2</v>
      </c>
      <c r="AG212" s="60">
        <v>0</v>
      </c>
      <c r="AH212" s="60">
        <v>0</v>
      </c>
      <c r="AI212" s="60">
        <v>0</v>
      </c>
      <c r="AJ212" s="60">
        <v>17.2755</v>
      </c>
      <c r="AK212" s="55">
        <v>22.86043</v>
      </c>
      <c r="AL212" s="60">
        <v>31.41</v>
      </c>
      <c r="AM212" s="60">
        <v>0.34</v>
      </c>
      <c r="AN212" s="60">
        <v>4</v>
      </c>
      <c r="AO212" s="60">
        <v>1.34</v>
      </c>
      <c r="AP212" s="60">
        <v>0</v>
      </c>
      <c r="AQ212" s="60">
        <v>0</v>
      </c>
      <c r="AR212" s="60">
        <v>0</v>
      </c>
      <c r="AS212" s="60">
        <v>6.89</v>
      </c>
      <c r="AT212" s="53">
        <v>12.57</v>
      </c>
      <c r="AU212" s="53">
        <v>28.581173260573</v>
      </c>
      <c r="AV212" s="53">
        <v>0</v>
      </c>
      <c r="AW212" s="53" t="s">
        <v>783</v>
      </c>
      <c r="AX212" s="53" t="s">
        <v>768</v>
      </c>
      <c r="AY212" s="53" t="s">
        <v>768</v>
      </c>
      <c r="AZ212" s="53" t="s">
        <v>768</v>
      </c>
      <c r="BA212" s="53" t="s">
        <v>768</v>
      </c>
      <c r="BC212" s="56">
        <v>3</v>
      </c>
      <c r="BD212" s="56">
        <v>3.7037037037037</v>
      </c>
      <c r="BE212" s="59">
        <f>U212/((VLOOKUP(B212,'Cell-Characteristics'!$B$4:$E$34,3,FALSE)*VLOOKUP(B212,'Cell-Characteristics'!$B$4:$E$34,4,FALSE)*3600)/1000)</f>
        <v>1.13629028366779</v>
      </c>
      <c r="BF212" s="90">
        <f t="shared" si="48"/>
        <v>10099.8158133391</v>
      </c>
      <c r="BG212" s="90">
        <f t="shared" si="46"/>
        <v>10513.8167124935</v>
      </c>
      <c r="BH212" s="90">
        <f t="shared" si="47"/>
        <v>3.21838103571633</v>
      </c>
      <c r="BI212" s="90">
        <f t="shared" si="49"/>
        <v>20616.8509068683</v>
      </c>
      <c r="BJ212" s="90">
        <f>BF212/((VLOOKUP(B212,'Cell-Characteristics'!$B$4:$Q$34,13,FALSE)))</f>
        <v>162.449588453629</v>
      </c>
      <c r="BK212" s="90">
        <f>BG212/((VLOOKUP(B212,'Cell-Characteristics'!$B$4:$Q$34,14,FALSE)))</f>
        <v>1229.88035683921</v>
      </c>
      <c r="BL212" s="90">
        <f>BH212/((VLOOKUP(B212,'Cell-Characteristics'!$B$4:$Q$34,15,FALSE)))</f>
        <v>0.37647827852542</v>
      </c>
      <c r="BM212" s="90">
        <f>BI212/((VLOOKUP(B212,'Cell-Characteristics'!$B$4:$Q$34,16,FALSE)))</f>
        <v>260.086198652799</v>
      </c>
      <c r="BN212" s="50">
        <f t="shared" si="50"/>
        <v>2</v>
      </c>
    </row>
    <row r="213" spans="2:66">
      <c r="B213" s="53" t="s">
        <v>147</v>
      </c>
      <c r="C213" s="53" t="s">
        <v>784</v>
      </c>
      <c r="D213" s="53" t="s">
        <v>405</v>
      </c>
      <c r="E213" s="55" t="s">
        <v>265</v>
      </c>
      <c r="F213" s="56" t="s">
        <v>195</v>
      </c>
      <c r="H213" s="57">
        <v>44270</v>
      </c>
      <c r="I213" s="58" t="s">
        <v>779</v>
      </c>
      <c r="J213" s="58">
        <v>60</v>
      </c>
      <c r="K213" s="59">
        <v>3.731</v>
      </c>
      <c r="L213" s="60">
        <v>44.17</v>
      </c>
      <c r="M213" s="60">
        <v>50.7</v>
      </c>
      <c r="N213" s="60">
        <v>47.7</v>
      </c>
      <c r="O213" s="59" t="s">
        <v>198</v>
      </c>
      <c r="P213" s="59" t="s">
        <v>198</v>
      </c>
      <c r="Q213" s="61" t="s">
        <v>381</v>
      </c>
      <c r="R213" s="62">
        <v>39.4878024449164</v>
      </c>
      <c r="S213" s="63">
        <v>0.01</v>
      </c>
      <c r="T213" s="63">
        <v>40.8572076529752</v>
      </c>
      <c r="U213" s="60">
        <v>41.549242570269</v>
      </c>
      <c r="V213" s="60">
        <v>22.1493720549312</v>
      </c>
      <c r="W213" s="60">
        <v>19.3875779041119</v>
      </c>
      <c r="X213" s="60">
        <v>0.0122926112260175</v>
      </c>
      <c r="Y213" s="60">
        <v>53.3087264285784</v>
      </c>
      <c r="Z213" s="60">
        <v>46.6616879268572</v>
      </c>
      <c r="AA213" s="60">
        <v>0.0295856445643454</v>
      </c>
      <c r="AB213" s="60">
        <v>0.6920349172938</v>
      </c>
      <c r="AC213" s="60">
        <v>0</v>
      </c>
      <c r="AD213" s="120">
        <v>2</v>
      </c>
      <c r="AE213" s="120">
        <v>2</v>
      </c>
      <c r="AF213" s="120">
        <v>2</v>
      </c>
      <c r="AG213" s="60">
        <v>0</v>
      </c>
      <c r="AH213" s="60">
        <v>0</v>
      </c>
      <c r="AI213" s="60">
        <v>0</v>
      </c>
      <c r="AJ213" s="60">
        <v>33.5709</v>
      </c>
      <c r="AK213" s="55">
        <v>23.552855</v>
      </c>
      <c r="AL213" s="60">
        <v>31.96</v>
      </c>
      <c r="AM213" s="60">
        <v>0.42</v>
      </c>
      <c r="AN213" s="60">
        <v>4.22</v>
      </c>
      <c r="AO213" s="60">
        <v>0.6</v>
      </c>
      <c r="AP213" s="60">
        <v>0</v>
      </c>
      <c r="AQ213" s="60">
        <v>0</v>
      </c>
      <c r="AR213" s="60">
        <v>0</v>
      </c>
      <c r="AS213" s="60">
        <v>6.97</v>
      </c>
      <c r="AT213" s="53">
        <v>12.21</v>
      </c>
      <c r="AU213" s="53">
        <v>27.6431967398687</v>
      </c>
      <c r="AV213" s="53">
        <v>0</v>
      </c>
      <c r="AW213" s="53" t="s">
        <v>785</v>
      </c>
      <c r="AX213" s="53" t="s">
        <v>768</v>
      </c>
      <c r="AY213" s="53" t="s">
        <v>768</v>
      </c>
      <c r="AZ213" s="53" t="s">
        <v>768</v>
      </c>
      <c r="BA213" s="53" t="s">
        <v>768</v>
      </c>
      <c r="BC213" s="56">
        <v>8</v>
      </c>
      <c r="BD213" s="56">
        <v>9.87654320987654</v>
      </c>
      <c r="BE213" s="59">
        <f>U213/((VLOOKUP(B213,'Cell-Characteristics'!$B$4:$E$34,3,FALSE)*VLOOKUP(B213,'Cell-Characteristics'!$B$4:$E$34,4,FALSE)*3600)/1000)</f>
        <v>1.14498574102373</v>
      </c>
      <c r="BF213" s="90">
        <f t="shared" si="48"/>
        <v>11074.6860274656</v>
      </c>
      <c r="BG213" s="90">
        <f t="shared" si="46"/>
        <v>9693.78895205595</v>
      </c>
      <c r="BH213" s="90">
        <f t="shared" si="47"/>
        <v>6.14630561300875</v>
      </c>
      <c r="BI213" s="90">
        <f t="shared" si="49"/>
        <v>20774.6212851345</v>
      </c>
      <c r="BJ213" s="90">
        <f>BF213/((VLOOKUP(B213,'Cell-Characteristics'!$B$4:$Q$34,13,FALSE)))</f>
        <v>178.129801638448</v>
      </c>
      <c r="BK213" s="90">
        <f>BG213/((VLOOKUP(B213,'Cell-Characteristics'!$B$4:$Q$34,14,FALSE)))</f>
        <v>1133.95553123077</v>
      </c>
      <c r="BL213" s="90">
        <f>BH213/((VLOOKUP(B213,'Cell-Characteristics'!$B$4:$Q$34,15,FALSE)))</f>
        <v>0.718979676675118</v>
      </c>
      <c r="BM213" s="90">
        <f>BI213/((VLOOKUP(B213,'Cell-Characteristics'!$B$4:$Q$34,16,FALSE)))</f>
        <v>262.076507363311</v>
      </c>
      <c r="BN213" s="50">
        <f t="shared" si="50"/>
        <v>2</v>
      </c>
    </row>
    <row r="214" spans="2:66">
      <c r="B214" s="53" t="s">
        <v>147</v>
      </c>
      <c r="C214" s="53" t="s">
        <v>786</v>
      </c>
      <c r="D214" s="53" t="s">
        <v>405</v>
      </c>
      <c r="E214" s="55" t="s">
        <v>265</v>
      </c>
      <c r="F214" s="56" t="s">
        <v>195</v>
      </c>
      <c r="H214" s="57">
        <v>44271</v>
      </c>
      <c r="I214" s="58" t="s">
        <v>787</v>
      </c>
      <c r="J214" s="58">
        <v>40</v>
      </c>
      <c r="K214" s="59">
        <v>3.513</v>
      </c>
      <c r="L214" s="60">
        <v>44.42</v>
      </c>
      <c r="M214" s="60">
        <v>50.2</v>
      </c>
      <c r="N214" s="60">
        <v>47.7</v>
      </c>
      <c r="O214" s="59" t="s">
        <v>198</v>
      </c>
      <c r="P214" s="59" t="s">
        <v>198</v>
      </c>
      <c r="Q214" s="61" t="s">
        <v>424</v>
      </c>
      <c r="R214" s="62">
        <v>5.30149148481065</v>
      </c>
      <c r="S214" s="63">
        <v>0.001</v>
      </c>
      <c r="T214" s="63">
        <v>5.50767242067208</v>
      </c>
      <c r="U214" s="60">
        <v>5.50885053617428</v>
      </c>
      <c r="V214" s="60">
        <v>5.48383244003881</v>
      </c>
      <c r="W214" s="60">
        <v>0.0125624250842813</v>
      </c>
      <c r="X214" s="60">
        <v>0.0124556710511869</v>
      </c>
      <c r="Y214" s="60">
        <v>99.5458563275372</v>
      </c>
      <c r="Z214" s="60">
        <v>0.228040768247191</v>
      </c>
      <c r="AA214" s="60">
        <v>0.226102904215603</v>
      </c>
      <c r="AB214" s="60">
        <v>0.00117811550220001</v>
      </c>
      <c r="AC214" s="60">
        <v>0</v>
      </c>
      <c r="AD214" s="120">
        <v>2</v>
      </c>
      <c r="AE214" s="120">
        <v>2</v>
      </c>
      <c r="AF214" s="120">
        <v>2</v>
      </c>
      <c r="AG214" s="60">
        <v>0</v>
      </c>
      <c r="AH214" s="60">
        <v>0</v>
      </c>
      <c r="AI214" s="60">
        <v>0</v>
      </c>
      <c r="AJ214" s="60">
        <v>9.622</v>
      </c>
      <c r="AK214" s="55">
        <v>24.970365</v>
      </c>
      <c r="AL214" s="60">
        <v>43.51</v>
      </c>
      <c r="AM214" s="60">
        <v>0</v>
      </c>
      <c r="AN214" s="60">
        <v>0</v>
      </c>
      <c r="AO214" s="60">
        <v>0</v>
      </c>
      <c r="AP214" s="60">
        <v>0</v>
      </c>
      <c r="AQ214" s="60">
        <v>0</v>
      </c>
      <c r="AR214" s="60">
        <v>0</v>
      </c>
      <c r="AS214" s="60">
        <v>0.910000000000004</v>
      </c>
      <c r="AT214" s="53">
        <v>0.910000000000004</v>
      </c>
      <c r="AU214" s="53">
        <v>2.0486267447096</v>
      </c>
      <c r="AV214" s="53">
        <v>0</v>
      </c>
      <c r="AW214" s="53" t="s">
        <v>788</v>
      </c>
      <c r="AX214" s="53" t="s">
        <v>768</v>
      </c>
      <c r="AY214" s="53" t="s">
        <v>768</v>
      </c>
      <c r="AZ214" s="53" t="s">
        <v>768</v>
      </c>
      <c r="BA214" s="53" t="s">
        <v>768</v>
      </c>
      <c r="BC214" s="56">
        <v>7</v>
      </c>
      <c r="BD214" s="56">
        <v>8.64197530864197</v>
      </c>
      <c r="BE214" s="59">
        <f>U214/((VLOOKUP(B214,'Cell-Characteristics'!$B$4:$E$34,3,FALSE)*VLOOKUP(B214,'Cell-Characteristics'!$B$4:$E$34,4,FALSE)*3600)/1000)</f>
        <v>0.15180915278258</v>
      </c>
      <c r="BF214" s="90">
        <f t="shared" si="48"/>
        <v>2741.91622001941</v>
      </c>
      <c r="BG214" s="90">
        <f t="shared" si="46"/>
        <v>6.28121254214065</v>
      </c>
      <c r="BH214" s="90">
        <f t="shared" si="47"/>
        <v>6.22783552559345</v>
      </c>
      <c r="BI214" s="90">
        <f t="shared" si="49"/>
        <v>2754.42526808714</v>
      </c>
      <c r="BJ214" s="90">
        <f>BF214/((VLOOKUP(B214,'Cell-Characteristics'!$B$4:$Q$34,13,FALSE)))</f>
        <v>44.1021073798399</v>
      </c>
      <c r="BK214" s="90">
        <f>BG214/((VLOOKUP(B214,'Cell-Characteristics'!$B$4:$Q$34,14,FALSE)))</f>
        <v>0.734760756627146</v>
      </c>
      <c r="BL214" s="90">
        <f>BH214/((VLOOKUP(B214,'Cell-Characteristics'!$B$4:$Q$34,15,FALSE)))</f>
        <v>0.728516844834383</v>
      </c>
      <c r="BM214" s="90">
        <f>BI214/((VLOOKUP(B214,'Cell-Characteristics'!$B$4:$Q$34,16,FALSE)))</f>
        <v>34.7476925882673</v>
      </c>
      <c r="BN214" s="50">
        <f t="shared" si="50"/>
        <v>2</v>
      </c>
    </row>
    <row r="215" spans="2:66">
      <c r="B215" s="53" t="s">
        <v>147</v>
      </c>
      <c r="C215" s="53" t="s">
        <v>789</v>
      </c>
      <c r="D215" s="53" t="s">
        <v>405</v>
      </c>
      <c r="E215" s="55" t="s">
        <v>265</v>
      </c>
      <c r="F215" s="56" t="s">
        <v>195</v>
      </c>
      <c r="H215" s="57">
        <v>44271</v>
      </c>
      <c r="I215" s="58" t="s">
        <v>787</v>
      </c>
      <c r="J215" s="58">
        <v>40</v>
      </c>
      <c r="K215" s="59">
        <v>3.511</v>
      </c>
      <c r="L215" s="60">
        <v>44.32</v>
      </c>
      <c r="M215" s="60">
        <v>50.1</v>
      </c>
      <c r="N215" s="60">
        <v>51.4</v>
      </c>
      <c r="O215" s="59" t="s">
        <v>198</v>
      </c>
      <c r="P215" s="59" t="s">
        <v>198</v>
      </c>
      <c r="Q215" s="61" t="s">
        <v>424</v>
      </c>
      <c r="R215" s="62">
        <v>5.62325785315749</v>
      </c>
      <c r="S215" s="63">
        <v>0.002</v>
      </c>
      <c r="T215" s="63">
        <v>5.95777010957402</v>
      </c>
      <c r="U215" s="60">
        <v>5.95870705571162</v>
      </c>
      <c r="V215" s="60">
        <v>5.94675617661535</v>
      </c>
      <c r="W215" s="60">
        <v>0.000117191407362312</v>
      </c>
      <c r="X215" s="60">
        <v>0.0118336876889015</v>
      </c>
      <c r="Y215" s="60">
        <v>99.7994383851307</v>
      </c>
      <c r="Z215" s="60">
        <v>0.00196672543668647</v>
      </c>
      <c r="AA215" s="60">
        <v>0.198594889432575</v>
      </c>
      <c r="AB215" s="60">
        <v>0.000936946137600001</v>
      </c>
      <c r="AC215" s="60">
        <v>0</v>
      </c>
      <c r="AD215" s="120">
        <v>2</v>
      </c>
      <c r="AE215" s="120">
        <v>2</v>
      </c>
      <c r="AF215" s="120">
        <v>2</v>
      </c>
      <c r="AG215" s="60">
        <v>0</v>
      </c>
      <c r="AH215" s="60">
        <v>0</v>
      </c>
      <c r="AI215" s="60">
        <v>0</v>
      </c>
      <c r="AJ215" s="60">
        <v>13.4384</v>
      </c>
      <c r="AK215" s="55">
        <v>23.14615</v>
      </c>
      <c r="AL215" s="60">
        <v>43.36</v>
      </c>
      <c r="AM215" s="60">
        <v>0</v>
      </c>
      <c r="AN215" s="60">
        <v>0</v>
      </c>
      <c r="AO215" s="60">
        <v>0</v>
      </c>
      <c r="AP215" s="60">
        <v>0</v>
      </c>
      <c r="AQ215" s="60">
        <v>0</v>
      </c>
      <c r="AR215" s="60">
        <v>0</v>
      </c>
      <c r="AS215" s="60">
        <v>0.960000000000001</v>
      </c>
      <c r="AT215" s="53">
        <v>0.960000000000001</v>
      </c>
      <c r="AU215" s="53">
        <v>2.16606498194946</v>
      </c>
      <c r="AV215" s="53">
        <v>0</v>
      </c>
      <c r="AX215" s="53" t="s">
        <v>768</v>
      </c>
      <c r="AY215" s="53" t="s">
        <v>768</v>
      </c>
      <c r="AZ215" s="53" t="s">
        <v>768</v>
      </c>
      <c r="BA215" s="53" t="s">
        <v>768</v>
      </c>
      <c r="BC215" s="56">
        <v>2</v>
      </c>
      <c r="BD215" s="56">
        <v>2.46913580246914</v>
      </c>
      <c r="BE215" s="59">
        <f>U215/((VLOOKUP(B215,'Cell-Characteristics'!$B$4:$E$34,3,FALSE)*VLOOKUP(B215,'Cell-Characteristics'!$B$4:$E$34,4,FALSE)*3600)/1000)</f>
        <v>0.164205992496462</v>
      </c>
      <c r="BF215" s="90">
        <f t="shared" si="48"/>
        <v>2973.37808830767</v>
      </c>
      <c r="BG215" s="90">
        <f t="shared" si="46"/>
        <v>0.058595703681156</v>
      </c>
      <c r="BH215" s="90">
        <f t="shared" si="47"/>
        <v>5.91684384445075</v>
      </c>
      <c r="BI215" s="90">
        <f t="shared" si="49"/>
        <v>2979.35352785581</v>
      </c>
      <c r="BJ215" s="90">
        <f>BF215/((VLOOKUP(B215,'Cell-Characteristics'!$B$4:$Q$34,13,FALSE)))</f>
        <v>47.82503519764</v>
      </c>
      <c r="BK215" s="90">
        <f>BG215/((VLOOKUP(B215,'Cell-Characteristics'!$B$4:$Q$34,14,FALSE)))</f>
        <v>0.00685438094683441</v>
      </c>
      <c r="BL215" s="90">
        <f>BH215/((VLOOKUP(B215,'Cell-Characteristics'!$B$4:$Q$34,15,FALSE)))</f>
        <v>0.692137804735338</v>
      </c>
      <c r="BM215" s="90">
        <f>BI215/((VLOOKUP(B215,'Cell-Characteristics'!$B$4:$Q$34,16,FALSE)))</f>
        <v>37.5852130377815</v>
      </c>
      <c r="BN215" s="50">
        <f t="shared" si="50"/>
        <v>2</v>
      </c>
    </row>
    <row r="216" spans="2:66">
      <c r="B216" s="53" t="s">
        <v>147</v>
      </c>
      <c r="C216" s="53" t="s">
        <v>790</v>
      </c>
      <c r="D216" s="53" t="s">
        <v>405</v>
      </c>
      <c r="E216" s="55" t="s">
        <v>265</v>
      </c>
      <c r="F216" s="56" t="s">
        <v>195</v>
      </c>
      <c r="H216" s="57">
        <v>44271</v>
      </c>
      <c r="I216" s="58" t="s">
        <v>787</v>
      </c>
      <c r="J216" s="58">
        <v>40</v>
      </c>
      <c r="K216" s="59">
        <v>3.502</v>
      </c>
      <c r="L216" s="60">
        <v>44.22</v>
      </c>
      <c r="M216" s="60">
        <v>50.2</v>
      </c>
      <c r="N216" s="60">
        <v>47.7</v>
      </c>
      <c r="O216" s="59" t="s">
        <v>198</v>
      </c>
      <c r="P216" s="59" t="s">
        <v>198</v>
      </c>
      <c r="Q216" s="61" t="s">
        <v>424</v>
      </c>
      <c r="R216" s="62">
        <v>4.7975644237716</v>
      </c>
      <c r="S216" s="63">
        <v>0.001</v>
      </c>
      <c r="T216" s="63">
        <v>4.98430458464202</v>
      </c>
      <c r="U216" s="60">
        <v>4.98506817053682</v>
      </c>
      <c r="V216" s="60">
        <v>4.97190657365442</v>
      </c>
      <c r="W216" s="60">
        <v>0.00887882932377661</v>
      </c>
      <c r="X216" s="60">
        <v>0.00428276755861741</v>
      </c>
      <c r="Y216" s="60">
        <v>99.7359796008371</v>
      </c>
      <c r="Z216" s="60">
        <v>0.178108483576073</v>
      </c>
      <c r="AA216" s="60">
        <v>0.0859119155868278</v>
      </c>
      <c r="AB216" s="60">
        <v>0.000763585894800002</v>
      </c>
      <c r="AC216" s="60">
        <v>0</v>
      </c>
      <c r="AD216" s="120">
        <v>2</v>
      </c>
      <c r="AE216" s="120">
        <v>2</v>
      </c>
      <c r="AF216" s="120">
        <v>2</v>
      </c>
      <c r="AG216" s="60">
        <v>0</v>
      </c>
      <c r="AH216" s="60">
        <v>0</v>
      </c>
      <c r="AI216" s="60">
        <v>0</v>
      </c>
      <c r="AJ216" s="60">
        <v>16.0476</v>
      </c>
      <c r="AK216" s="55">
        <v>24.31352</v>
      </c>
      <c r="AL216" s="60">
        <v>43.28</v>
      </c>
      <c r="AM216" s="60">
        <v>0</v>
      </c>
      <c r="AN216" s="60">
        <v>0</v>
      </c>
      <c r="AO216" s="60">
        <v>0</v>
      </c>
      <c r="AP216" s="60">
        <v>0</v>
      </c>
      <c r="AQ216" s="60">
        <v>0</v>
      </c>
      <c r="AR216" s="60">
        <v>0</v>
      </c>
      <c r="AS216" s="60">
        <v>0.939999999999998</v>
      </c>
      <c r="AT216" s="53">
        <v>0.939999999999998</v>
      </c>
      <c r="AU216" s="53">
        <v>2.12573496155585</v>
      </c>
      <c r="AV216" s="53">
        <v>0</v>
      </c>
      <c r="AX216" s="53" t="s">
        <v>768</v>
      </c>
      <c r="AY216" s="53" t="s">
        <v>768</v>
      </c>
      <c r="AZ216" s="53" t="s">
        <v>768</v>
      </c>
      <c r="BA216" s="53" t="s">
        <v>768</v>
      </c>
      <c r="BC216" s="56">
        <v>9</v>
      </c>
      <c r="BD216" s="56">
        <v>11.1111111111111</v>
      </c>
      <c r="BE216" s="59">
        <f>U216/((VLOOKUP(B216,'Cell-Characteristics'!$B$4:$E$34,3,FALSE)*VLOOKUP(B216,'Cell-Characteristics'!$B$4:$E$34,4,FALSE)*3600)/1000)</f>
        <v>0.137375114928815</v>
      </c>
      <c r="BF216" s="90">
        <f t="shared" si="48"/>
        <v>2485.95328682721</v>
      </c>
      <c r="BG216" s="90">
        <f t="shared" si="46"/>
        <v>4.4394146618883</v>
      </c>
      <c r="BH216" s="90">
        <f t="shared" si="47"/>
        <v>2.1413837793087</v>
      </c>
      <c r="BI216" s="90">
        <f t="shared" si="49"/>
        <v>2492.53408526841</v>
      </c>
      <c r="BJ216" s="90">
        <f>BF216/((VLOOKUP(B216,'Cell-Characteristics'!$B$4:$Q$34,13,FALSE)))</f>
        <v>39.98509436446</v>
      </c>
      <c r="BK216" s="90">
        <f>BG216/((VLOOKUP(B216,'Cell-Characteristics'!$B$4:$Q$34,14,FALSE)))</f>
        <v>0.519311781613273</v>
      </c>
      <c r="BL216" s="90">
        <f>BH216/((VLOOKUP(B216,'Cell-Characteristics'!$B$4:$Q$34,15,FALSE)))</f>
        <v>0.250493794845818</v>
      </c>
      <c r="BM216" s="90">
        <f>BI216/((VLOOKUP(B216,'Cell-Characteristics'!$B$4:$Q$34,16,FALSE)))</f>
        <v>31.4438765735084</v>
      </c>
      <c r="BN216" s="50">
        <f t="shared" si="50"/>
        <v>2</v>
      </c>
    </row>
    <row r="217" spans="2:66">
      <c r="B217" s="53" t="s">
        <v>147</v>
      </c>
      <c r="C217" s="53" t="s">
        <v>791</v>
      </c>
      <c r="D217" s="53" t="s">
        <v>405</v>
      </c>
      <c r="E217" s="55" t="s">
        <v>265</v>
      </c>
      <c r="F217" s="56" t="s">
        <v>195</v>
      </c>
      <c r="H217" s="57">
        <v>44271</v>
      </c>
      <c r="I217" s="58" t="s">
        <v>787</v>
      </c>
      <c r="J217" s="58">
        <v>40</v>
      </c>
      <c r="K217" s="59">
        <v>3.507</v>
      </c>
      <c r="L217" s="60">
        <v>44.09</v>
      </c>
      <c r="M217" s="60">
        <v>50.1</v>
      </c>
      <c r="N217" s="60">
        <v>51.4</v>
      </c>
      <c r="O217" s="59" t="s">
        <v>198</v>
      </c>
      <c r="P217" s="59" t="s">
        <v>198</v>
      </c>
      <c r="Q217" s="61" t="s">
        <v>424</v>
      </c>
      <c r="R217" s="62">
        <v>7.07925128890677</v>
      </c>
      <c r="S217" s="63">
        <v>0.002</v>
      </c>
      <c r="T217" s="63">
        <v>7.48625494402324</v>
      </c>
      <c r="U217" s="60">
        <v>7.48690833973324</v>
      </c>
      <c r="V217" s="60">
        <v>7.48690833973324</v>
      </c>
      <c r="W217" s="60">
        <v>0</v>
      </c>
      <c r="X217" s="60">
        <v>0</v>
      </c>
      <c r="Y217" s="60">
        <v>100</v>
      </c>
      <c r="Z217" s="60">
        <v>0</v>
      </c>
      <c r="AA217" s="60">
        <v>0</v>
      </c>
      <c r="AB217" s="60">
        <v>0.000653395710000005</v>
      </c>
      <c r="AC217" s="60">
        <v>0</v>
      </c>
      <c r="AD217" s="120">
        <v>2</v>
      </c>
      <c r="AE217" s="120">
        <v>2</v>
      </c>
      <c r="AF217" s="120">
        <v>2</v>
      </c>
      <c r="AG217" s="60">
        <v>0</v>
      </c>
      <c r="AH217" s="60">
        <v>0</v>
      </c>
      <c r="AI217" s="60">
        <v>0</v>
      </c>
      <c r="AJ217" s="60">
        <v>15.6273</v>
      </c>
      <c r="AK217" s="55">
        <v>23.50363</v>
      </c>
      <c r="AL217" s="60">
        <v>43.54</v>
      </c>
      <c r="AM217" s="60">
        <v>0</v>
      </c>
      <c r="AN217" s="60">
        <v>0</v>
      </c>
      <c r="AO217" s="60">
        <v>0</v>
      </c>
      <c r="AP217" s="60">
        <v>0</v>
      </c>
      <c r="AQ217" s="60">
        <v>0</v>
      </c>
      <c r="AR217" s="60">
        <v>0</v>
      </c>
      <c r="AS217" s="60">
        <v>0.550000000000004</v>
      </c>
      <c r="AT217" s="53">
        <v>0.550000000000004</v>
      </c>
      <c r="AU217" s="53">
        <v>1.24744840099797</v>
      </c>
      <c r="AV217" s="53">
        <v>0</v>
      </c>
      <c r="AW217" s="53" t="s">
        <v>792</v>
      </c>
      <c r="AX217" s="53" t="s">
        <v>768</v>
      </c>
      <c r="AY217" s="53" t="s">
        <v>768</v>
      </c>
      <c r="AZ217" s="53" t="s">
        <v>768</v>
      </c>
      <c r="BA217" s="53" t="s">
        <v>768</v>
      </c>
      <c r="BC217" s="56">
        <v>6</v>
      </c>
      <c r="BD217" s="56">
        <v>7.40740740740741</v>
      </c>
      <c r="BE217" s="59">
        <f>U217/((VLOOKUP(B217,'Cell-Characteristics'!$B$4:$E$34,3,FALSE)*VLOOKUP(B217,'Cell-Characteristics'!$B$4:$E$34,4,FALSE)*3600)/1000)</f>
        <v>0.206319123118751</v>
      </c>
      <c r="BF217" s="90">
        <f t="shared" si="48"/>
        <v>3743.45416986662</v>
      </c>
      <c r="BG217" s="90">
        <f t="shared" si="46"/>
        <v>0</v>
      </c>
      <c r="BH217" s="90">
        <f t="shared" si="47"/>
        <v>0</v>
      </c>
      <c r="BI217" s="90">
        <f t="shared" si="49"/>
        <v>3743.45416986662</v>
      </c>
      <c r="BJ217" s="90">
        <f>BF217/((VLOOKUP(B217,'Cell-Characteristics'!$B$4:$Q$34,13,FALSE)))</f>
        <v>60.2112553861324</v>
      </c>
      <c r="BK217" s="90">
        <f>BG217/((VLOOKUP(B217,'Cell-Characteristics'!$B$4:$Q$34,14,FALSE)))</f>
        <v>0</v>
      </c>
      <c r="BL217" s="90">
        <f>BH217/((VLOOKUP(B217,'Cell-Characteristics'!$B$4:$Q$34,15,FALSE)))</f>
        <v>0</v>
      </c>
      <c r="BM217" s="90">
        <f>BI217/((VLOOKUP(B217,'Cell-Characteristics'!$B$4:$Q$34,16,FALSE)))</f>
        <v>47.2245140283391</v>
      </c>
      <c r="BN217" s="50">
        <f t="shared" si="50"/>
        <v>2</v>
      </c>
    </row>
    <row r="218" spans="2:66">
      <c r="B218" s="53" t="s">
        <v>147</v>
      </c>
      <c r="C218" s="53" t="s">
        <v>793</v>
      </c>
      <c r="D218" s="53" t="s">
        <v>405</v>
      </c>
      <c r="E218" s="55" t="s">
        <v>265</v>
      </c>
      <c r="F218" s="56" t="s">
        <v>195</v>
      </c>
      <c r="H218" s="57">
        <v>44271</v>
      </c>
      <c r="I218" s="58" t="s">
        <v>787</v>
      </c>
      <c r="J218" s="58">
        <v>40</v>
      </c>
      <c r="K218" s="59">
        <v>3.498</v>
      </c>
      <c r="L218" s="60">
        <v>44.14</v>
      </c>
      <c r="M218" s="60">
        <v>50.2</v>
      </c>
      <c r="N218" s="60">
        <v>47.7</v>
      </c>
      <c r="O218" s="59" t="s">
        <v>198</v>
      </c>
      <c r="P218" s="59" t="s">
        <v>198</v>
      </c>
      <c r="Q218" s="61" t="s">
        <v>424</v>
      </c>
      <c r="R218" s="62">
        <v>6.37892981644111</v>
      </c>
      <c r="S218" s="63">
        <v>0.002</v>
      </c>
      <c r="T218" s="63">
        <v>6.83637280928923</v>
      </c>
      <c r="U218" s="60">
        <v>6.83748375743323</v>
      </c>
      <c r="V218" s="60">
        <v>6.69314393008508</v>
      </c>
      <c r="W218" s="60">
        <v>0.0359839556699203</v>
      </c>
      <c r="X218" s="60">
        <v>0.108355871678232</v>
      </c>
      <c r="Y218" s="60">
        <v>97.8889920258862</v>
      </c>
      <c r="Z218" s="60">
        <v>0.526274824869618</v>
      </c>
      <c r="AA218" s="60">
        <v>1.5847331492442</v>
      </c>
      <c r="AB218" s="60">
        <v>0.001110948144</v>
      </c>
      <c r="AC218" s="60">
        <v>0</v>
      </c>
      <c r="AD218" s="120">
        <v>2</v>
      </c>
      <c r="AE218" s="120">
        <v>2</v>
      </c>
      <c r="AF218" s="120">
        <v>2</v>
      </c>
      <c r="AG218" s="60">
        <v>0</v>
      </c>
      <c r="AH218" s="60">
        <v>0</v>
      </c>
      <c r="AI218" s="60">
        <v>0</v>
      </c>
      <c r="AJ218" s="60">
        <v>15.95</v>
      </c>
      <c r="AK218" s="55">
        <v>24.74742</v>
      </c>
      <c r="AL218" s="60">
        <v>43.34</v>
      </c>
      <c r="AM218" s="60">
        <v>0</v>
      </c>
      <c r="AN218" s="60">
        <v>0</v>
      </c>
      <c r="AO218" s="60">
        <v>0</v>
      </c>
      <c r="AP218" s="60">
        <v>0</v>
      </c>
      <c r="AQ218" s="60">
        <v>0</v>
      </c>
      <c r="AR218" s="60">
        <v>0</v>
      </c>
      <c r="AS218" s="60">
        <v>0.799999999999997</v>
      </c>
      <c r="AT218" s="53">
        <v>0.799999999999997</v>
      </c>
      <c r="AU218" s="53">
        <v>1.81241504304485</v>
      </c>
      <c r="AV218" s="53">
        <v>0</v>
      </c>
      <c r="AX218" s="53" t="s">
        <v>768</v>
      </c>
      <c r="AY218" s="53" t="s">
        <v>768</v>
      </c>
      <c r="AZ218" s="53" t="s">
        <v>768</v>
      </c>
      <c r="BA218" s="53" t="s">
        <v>768</v>
      </c>
      <c r="BC218" s="56">
        <v>8</v>
      </c>
      <c r="BD218" s="56">
        <v>9.87654320987654</v>
      </c>
      <c r="BE218" s="59">
        <f>U218/((VLOOKUP(B218,'Cell-Characteristics'!$B$4:$E$34,3,FALSE)*VLOOKUP(B218,'Cell-Characteristics'!$B$4:$E$34,4,FALSE)*3600)/1000)</f>
        <v>0.188422722592406</v>
      </c>
      <c r="BF218" s="90">
        <f t="shared" si="48"/>
        <v>3346.57196504254</v>
      </c>
      <c r="BG218" s="90">
        <f t="shared" si="46"/>
        <v>17.9919778349601</v>
      </c>
      <c r="BH218" s="90">
        <f t="shared" si="47"/>
        <v>54.177935839116</v>
      </c>
      <c r="BI218" s="90">
        <f t="shared" si="49"/>
        <v>3418.74187871661</v>
      </c>
      <c r="BJ218" s="90">
        <f>BF218/((VLOOKUP(B218,'Cell-Characteristics'!$B$4:$Q$34,13,FALSE)))</f>
        <v>53.8276388895731</v>
      </c>
      <c r="BK218" s="90">
        <f>BG218/((VLOOKUP(B218,'Cell-Characteristics'!$B$4:$Q$34,14,FALSE)))</f>
        <v>2.10465720727368</v>
      </c>
      <c r="BL218" s="90">
        <f>BH218/((VLOOKUP(B218,'Cell-Characteristics'!$B$4:$Q$34,15,FALSE)))</f>
        <v>6.33760135683599</v>
      </c>
      <c r="BM218" s="90">
        <f>BI218/((VLOOKUP(B218,'Cell-Characteristics'!$B$4:$Q$34,16,FALSE)))</f>
        <v>43.1281956408927</v>
      </c>
      <c r="BN218" s="50">
        <f t="shared" si="50"/>
        <v>2</v>
      </c>
    </row>
    <row r="219" spans="2:66">
      <c r="B219" s="53" t="s">
        <v>147</v>
      </c>
      <c r="C219" s="53" t="s">
        <v>794</v>
      </c>
      <c r="D219" s="53" t="s">
        <v>405</v>
      </c>
      <c r="E219" s="55" t="s">
        <v>265</v>
      </c>
      <c r="F219" s="56" t="s">
        <v>195</v>
      </c>
      <c r="H219" s="57">
        <v>44271</v>
      </c>
      <c r="I219" s="58" t="s">
        <v>795</v>
      </c>
      <c r="J219" s="58">
        <v>20</v>
      </c>
      <c r="K219" s="59">
        <v>2.974</v>
      </c>
      <c r="L219" s="60">
        <v>44.59</v>
      </c>
      <c r="M219" s="60">
        <v>50.1</v>
      </c>
      <c r="N219" s="60">
        <v>51.4</v>
      </c>
      <c r="O219" s="59" t="s">
        <v>198</v>
      </c>
      <c r="P219" s="59" t="s">
        <v>198</v>
      </c>
      <c r="Q219" s="61" t="s">
        <v>424</v>
      </c>
      <c r="R219" s="62">
        <v>1.99898362448149</v>
      </c>
      <c r="S219" s="63">
        <v>0.001</v>
      </c>
      <c r="T219" s="63">
        <v>2.18505892448149</v>
      </c>
      <c r="U219" s="60">
        <v>2.18506762140889</v>
      </c>
      <c r="V219" s="60">
        <v>2.1603679282754</v>
      </c>
      <c r="W219" s="60">
        <v>0.00347172591611461</v>
      </c>
      <c r="X219" s="60">
        <v>0.0212279672173775</v>
      </c>
      <c r="Y219" s="60">
        <v>98.8696142448184</v>
      </c>
      <c r="Z219" s="60">
        <v>0.158884140797258</v>
      </c>
      <c r="AA219" s="60">
        <v>0.97150161438437</v>
      </c>
      <c r="AB219" s="60">
        <v>8.69692739999995e-6</v>
      </c>
      <c r="AC219" s="60">
        <v>0</v>
      </c>
      <c r="AD219" s="120">
        <v>2</v>
      </c>
      <c r="AE219" s="120">
        <v>2</v>
      </c>
      <c r="AF219" s="120">
        <v>2</v>
      </c>
      <c r="AG219" s="60">
        <v>0</v>
      </c>
      <c r="AH219" s="60">
        <v>0</v>
      </c>
      <c r="AI219" s="60">
        <v>0</v>
      </c>
      <c r="AJ219" s="60">
        <v>12.7322</v>
      </c>
      <c r="AK219" s="55">
        <v>25.43057</v>
      </c>
      <c r="AL219" s="60">
        <v>44.52</v>
      </c>
      <c r="AM219" s="60">
        <v>0</v>
      </c>
      <c r="AN219" s="60">
        <v>0</v>
      </c>
      <c r="AO219" s="60">
        <v>0</v>
      </c>
      <c r="AP219" s="60">
        <v>0</v>
      </c>
      <c r="AQ219" s="60">
        <v>0</v>
      </c>
      <c r="AR219" s="60">
        <v>0</v>
      </c>
      <c r="AS219" s="60">
        <v>0.0700000000000003</v>
      </c>
      <c r="AT219" s="53">
        <v>0.0700000000000003</v>
      </c>
      <c r="AU219" s="53">
        <v>0.156985871271586</v>
      </c>
      <c r="AV219" s="53">
        <v>0.0002</v>
      </c>
      <c r="AX219" s="53" t="s">
        <v>768</v>
      </c>
      <c r="AY219" s="53" t="s">
        <v>768</v>
      </c>
      <c r="AZ219" s="53" t="s">
        <v>768</v>
      </c>
      <c r="BA219" s="53" t="s">
        <v>768</v>
      </c>
      <c r="BB219" s="53" t="s">
        <v>796</v>
      </c>
      <c r="BC219" s="56">
        <v>8</v>
      </c>
      <c r="BD219" s="56">
        <v>9.87654320987654</v>
      </c>
      <c r="BE219" s="59">
        <f>U219/((VLOOKUP(B219,'Cell-Characteristics'!$B$4:$E$34,3,FALSE)*VLOOKUP(B219,'Cell-Characteristics'!$B$4:$E$34,4,FALSE)*3600)/1000)</f>
        <v>0.0602146059691603</v>
      </c>
      <c r="BF219" s="90">
        <f t="shared" si="48"/>
        <v>1080.1839641377</v>
      </c>
      <c r="BG219" s="90">
        <f t="shared" si="46"/>
        <v>1.73586295805731</v>
      </c>
      <c r="BH219" s="90">
        <f t="shared" si="47"/>
        <v>10.6139836086887</v>
      </c>
      <c r="BI219" s="90">
        <f t="shared" si="49"/>
        <v>1092.53381070445</v>
      </c>
      <c r="BJ219" s="90">
        <f>BF219/((VLOOKUP(B219,'Cell-Characteristics'!$B$4:$Q$34,13,FALSE)))</f>
        <v>17.3741228227771</v>
      </c>
      <c r="BK219" s="90">
        <f>BG219/((VLOOKUP(B219,'Cell-Characteristics'!$B$4:$Q$34,14,FALSE)))</f>
        <v>0.203056969001808</v>
      </c>
      <c r="BL219" s="90">
        <f>BH219/((VLOOKUP(B219,'Cell-Characteristics'!$B$4:$Q$34,15,FALSE)))</f>
        <v>1.24159763339109</v>
      </c>
      <c r="BM219" s="90">
        <f>BI219/((VLOOKUP(B219,'Cell-Characteristics'!$B$4:$Q$34,16,FALSE)))</f>
        <v>13.7825590828283</v>
      </c>
      <c r="BN219" s="50">
        <f t="shared" si="50"/>
        <v>2</v>
      </c>
    </row>
    <row r="220" spans="2:66">
      <c r="B220" s="53" t="s">
        <v>147</v>
      </c>
      <c r="C220" s="53" t="s">
        <v>797</v>
      </c>
      <c r="D220" s="53" t="s">
        <v>405</v>
      </c>
      <c r="E220" s="55" t="s">
        <v>265</v>
      </c>
      <c r="F220" s="56" t="s">
        <v>195</v>
      </c>
      <c r="H220" s="57">
        <v>44271</v>
      </c>
      <c r="I220" s="58" t="s">
        <v>795</v>
      </c>
      <c r="J220" s="58">
        <v>20</v>
      </c>
      <c r="K220" s="59">
        <v>2.967</v>
      </c>
      <c r="L220" s="60">
        <v>44.62</v>
      </c>
      <c r="M220" s="60">
        <v>50.2</v>
      </c>
      <c r="N220" s="60">
        <v>47.7</v>
      </c>
      <c r="O220" s="59" t="s">
        <v>198</v>
      </c>
      <c r="P220" s="59" t="s">
        <v>198</v>
      </c>
      <c r="Q220" s="61" t="s">
        <v>424</v>
      </c>
      <c r="R220" s="62">
        <v>1.24468403620508</v>
      </c>
      <c r="S220" s="63">
        <v>0.001</v>
      </c>
      <c r="T220" s="63">
        <v>1.48580122576132</v>
      </c>
      <c r="U220" s="60">
        <v>1.48580568660892</v>
      </c>
      <c r="V220" s="60">
        <v>1.46336424108261</v>
      </c>
      <c r="W220" s="60">
        <v>0.0210739896446189</v>
      </c>
      <c r="X220" s="60">
        <v>0.0013674558816916</v>
      </c>
      <c r="Y220" s="60">
        <v>98.4896110084537</v>
      </c>
      <c r="Z220" s="60">
        <v>1.41835435377263</v>
      </c>
      <c r="AA220" s="60">
        <v>0.0920346377737031</v>
      </c>
      <c r="AB220" s="60">
        <v>4.46084759999908e-6</v>
      </c>
      <c r="AC220" s="60">
        <v>0</v>
      </c>
      <c r="AD220" s="120">
        <v>2</v>
      </c>
      <c r="AE220" s="120">
        <v>2</v>
      </c>
      <c r="AF220" s="120">
        <v>2</v>
      </c>
      <c r="AG220" s="60">
        <v>0</v>
      </c>
      <c r="AH220" s="60">
        <v>0</v>
      </c>
      <c r="AI220" s="60">
        <v>0</v>
      </c>
      <c r="AJ220" s="60">
        <v>11.9404</v>
      </c>
      <c r="AK220" s="55">
        <v>25.39962</v>
      </c>
      <c r="AL220" s="60">
        <v>44.6</v>
      </c>
      <c r="AM220" s="60">
        <v>0</v>
      </c>
      <c r="AN220" s="60">
        <v>0</v>
      </c>
      <c r="AO220" s="60">
        <v>0</v>
      </c>
      <c r="AP220" s="60">
        <v>0</v>
      </c>
      <c r="AQ220" s="60">
        <v>0</v>
      </c>
      <c r="AR220" s="60">
        <v>0</v>
      </c>
      <c r="AS220" s="60">
        <v>0.019999999999996</v>
      </c>
      <c r="AT220" s="53">
        <v>0.019999999999996</v>
      </c>
      <c r="AU220" s="53">
        <v>0.0448229493500583</v>
      </c>
      <c r="AV220" s="53">
        <v>0</v>
      </c>
      <c r="AX220" s="53" t="s">
        <v>768</v>
      </c>
      <c r="AY220" s="53" t="s">
        <v>768</v>
      </c>
      <c r="AZ220" s="53" t="s">
        <v>768</v>
      </c>
      <c r="BA220" s="53" t="s">
        <v>768</v>
      </c>
      <c r="BB220" s="53" t="s">
        <v>798</v>
      </c>
      <c r="BC220" s="56">
        <v>6</v>
      </c>
      <c r="BD220" s="56">
        <v>7.40740740740741</v>
      </c>
      <c r="BE220" s="59">
        <f>U220/((VLOOKUP(B220,'Cell-Characteristics'!$B$4:$E$34,3,FALSE)*VLOOKUP(B220,'Cell-Characteristics'!$B$4:$E$34,4,FALSE)*3600)/1000)</f>
        <v>0.0409448216106955</v>
      </c>
      <c r="BF220" s="90">
        <f t="shared" si="48"/>
        <v>731.682120541305</v>
      </c>
      <c r="BG220" s="90">
        <f t="shared" si="46"/>
        <v>10.5369948223095</v>
      </c>
      <c r="BH220" s="90">
        <f t="shared" si="47"/>
        <v>0.6837279408458</v>
      </c>
      <c r="BI220" s="90">
        <f t="shared" si="49"/>
        <v>742.90284330446</v>
      </c>
      <c r="BJ220" s="90">
        <f>BF220/((VLOOKUP(B220,'Cell-Characteristics'!$B$4:$Q$34,13,FALSE)))</f>
        <v>11.768675939994</v>
      </c>
      <c r="BK220" s="90">
        <f>BG220/((VLOOKUP(B220,'Cell-Characteristics'!$B$4:$Q$34,14,FALSE)))</f>
        <v>1.23259167497903</v>
      </c>
      <c r="BL220" s="90">
        <f>BH220/((VLOOKUP(B220,'Cell-Characteristics'!$B$4:$Q$34,15,FALSE)))</f>
        <v>0.0799808087646354</v>
      </c>
      <c r="BM220" s="90">
        <f>BI220/((VLOOKUP(B220,'Cell-Characteristics'!$B$4:$Q$34,16,FALSE)))</f>
        <v>9.37188600510488</v>
      </c>
      <c r="BN220" s="50">
        <f t="shared" si="50"/>
        <v>2</v>
      </c>
    </row>
    <row r="221" spans="2:66">
      <c r="B221" s="53" t="s">
        <v>147</v>
      </c>
      <c r="C221" s="53" t="s">
        <v>799</v>
      </c>
      <c r="D221" s="53" t="s">
        <v>405</v>
      </c>
      <c r="E221" s="55" t="s">
        <v>265</v>
      </c>
      <c r="F221" s="56" t="s">
        <v>195</v>
      </c>
      <c r="H221" s="57">
        <v>44271</v>
      </c>
      <c r="I221" s="58" t="s">
        <v>795</v>
      </c>
      <c r="J221" s="58">
        <v>20</v>
      </c>
      <c r="K221" s="59">
        <v>2.403</v>
      </c>
      <c r="L221" s="60">
        <v>44.62</v>
      </c>
      <c r="M221" s="60">
        <v>50.2</v>
      </c>
      <c r="N221" s="60">
        <v>47.7</v>
      </c>
      <c r="O221" s="59" t="s">
        <v>198</v>
      </c>
      <c r="P221" s="59" t="s">
        <v>198</v>
      </c>
      <c r="Q221" s="61" t="s">
        <v>424</v>
      </c>
      <c r="R221" s="62">
        <v>1.73913793765113</v>
      </c>
      <c r="S221" s="63">
        <v>0.001</v>
      </c>
      <c r="T221" s="63">
        <v>2.14788460225634</v>
      </c>
      <c r="U221" s="60">
        <v>2.14788789526094</v>
      </c>
      <c r="V221" s="60">
        <v>2.11361373897278</v>
      </c>
      <c r="W221" s="60">
        <v>0.0243992176235069</v>
      </c>
      <c r="X221" s="60">
        <v>0.00987493866465712</v>
      </c>
      <c r="Y221" s="60">
        <v>98.404285607094</v>
      </c>
      <c r="Z221" s="60">
        <v>1.13596327244736</v>
      </c>
      <c r="AA221" s="60">
        <v>0.459751120458614</v>
      </c>
      <c r="AB221" s="60">
        <v>3.29300459999933e-6</v>
      </c>
      <c r="AC221" s="60">
        <v>0</v>
      </c>
      <c r="AD221" s="120">
        <v>2</v>
      </c>
      <c r="AE221" s="120">
        <v>2</v>
      </c>
      <c r="AF221" s="120">
        <v>2</v>
      </c>
      <c r="AG221" s="60">
        <v>0</v>
      </c>
      <c r="AH221" s="60">
        <v>0</v>
      </c>
      <c r="AI221" s="60">
        <v>0</v>
      </c>
      <c r="AJ221" s="60">
        <v>14.3547</v>
      </c>
      <c r="AK221" s="55">
        <v>25.51311</v>
      </c>
      <c r="AL221" s="60">
        <v>44.61</v>
      </c>
      <c r="AM221" s="60">
        <v>0</v>
      </c>
      <c r="AN221" s="60">
        <v>0</v>
      </c>
      <c r="AO221" s="60">
        <v>0</v>
      </c>
      <c r="AP221" s="60">
        <v>0</v>
      </c>
      <c r="AQ221" s="60">
        <v>0</v>
      </c>
      <c r="AR221" s="60">
        <v>0</v>
      </c>
      <c r="AS221" s="60">
        <v>0.00999999999999801</v>
      </c>
      <c r="AT221" s="53">
        <v>0.00999999999999801</v>
      </c>
      <c r="AU221" s="53">
        <v>0.0224114746750292</v>
      </c>
      <c r="AV221" s="53">
        <v>0</v>
      </c>
      <c r="AX221" s="53" t="s">
        <v>768</v>
      </c>
      <c r="AY221" s="53" t="s">
        <v>768</v>
      </c>
      <c r="AZ221" s="53" t="s">
        <v>768</v>
      </c>
      <c r="BA221" s="53" t="s">
        <v>768</v>
      </c>
      <c r="BC221" s="56">
        <v>7</v>
      </c>
      <c r="BD221" s="56">
        <v>8.64197530864197</v>
      </c>
      <c r="BE221" s="59">
        <f>U221/((VLOOKUP(B221,'Cell-Characteristics'!$B$4:$E$34,3,FALSE)*VLOOKUP(B221,'Cell-Characteristics'!$B$4:$E$34,4,FALSE)*3600)/1000)</f>
        <v>0.0591900323870409</v>
      </c>
      <c r="BF221" s="90">
        <f t="shared" si="48"/>
        <v>1056.80686948639</v>
      </c>
      <c r="BG221" s="90">
        <f t="shared" si="46"/>
        <v>12.1996088117534</v>
      </c>
      <c r="BH221" s="90">
        <f t="shared" si="47"/>
        <v>4.93746933232856</v>
      </c>
      <c r="BI221" s="90">
        <f t="shared" si="49"/>
        <v>1073.94394763047</v>
      </c>
      <c r="BJ221" s="90">
        <f>BF221/((VLOOKUP(B221,'Cell-Characteristics'!$B$4:$Q$34,13,FALSE)))</f>
        <v>16.9981160246798</v>
      </c>
      <c r="BK221" s="90">
        <f>BG221/((VLOOKUP(B221,'Cell-Characteristics'!$B$4:$Q$34,14,FALSE)))</f>
        <v>1.42708016023038</v>
      </c>
      <c r="BL221" s="90">
        <f>BH221/((VLOOKUP(B221,'Cell-Characteristics'!$B$4:$Q$34,15,FALSE)))</f>
        <v>0.577572988989906</v>
      </c>
      <c r="BM221" s="90">
        <f>BI221/((VLOOKUP(B221,'Cell-Characteristics'!$B$4:$Q$34,16,FALSE)))</f>
        <v>13.548043790351</v>
      </c>
      <c r="BN221" s="50">
        <f t="shared" si="50"/>
        <v>2</v>
      </c>
    </row>
    <row r="222" spans="2:66">
      <c r="B222" s="53" t="s">
        <v>147</v>
      </c>
      <c r="C222" s="53" t="s">
        <v>800</v>
      </c>
      <c r="D222" s="53" t="s">
        <v>405</v>
      </c>
      <c r="E222" s="55" t="s">
        <v>265</v>
      </c>
      <c r="F222" s="56" t="s">
        <v>195</v>
      </c>
      <c r="H222" s="57">
        <v>44271</v>
      </c>
      <c r="I222" s="58" t="s">
        <v>795</v>
      </c>
      <c r="J222" s="58">
        <v>20</v>
      </c>
      <c r="K222" s="59">
        <v>2.946</v>
      </c>
      <c r="L222" s="60">
        <v>44.55</v>
      </c>
      <c r="M222" s="60">
        <v>50.1</v>
      </c>
      <c r="N222" s="60">
        <v>51.4</v>
      </c>
      <c r="O222" s="59" t="s">
        <v>198</v>
      </c>
      <c r="P222" s="59" t="s">
        <v>198</v>
      </c>
      <c r="Q222" s="61" t="s">
        <v>424</v>
      </c>
      <c r="R222" s="62">
        <v>1.78254929579549</v>
      </c>
      <c r="S222" s="63">
        <v>0.001</v>
      </c>
      <c r="T222" s="63">
        <v>2.04641692721737</v>
      </c>
      <c r="U222" s="60">
        <v>2.04642437338897</v>
      </c>
      <c r="V222" s="60">
        <v>2.03359847679635</v>
      </c>
      <c r="W222" s="60">
        <v>0.00144751928381098</v>
      </c>
      <c r="X222" s="60">
        <v>0.0113783773088061</v>
      </c>
      <c r="Y222" s="60">
        <v>99.3732533310587</v>
      </c>
      <c r="Z222" s="60">
        <v>0.070734071712302</v>
      </c>
      <c r="AA222" s="60">
        <v>0.556012597228942</v>
      </c>
      <c r="AB222" s="60">
        <v>7.4461715999994e-6</v>
      </c>
      <c r="AC222" s="60">
        <v>0</v>
      </c>
      <c r="AD222" s="120">
        <v>2</v>
      </c>
      <c r="AE222" s="120">
        <v>2</v>
      </c>
      <c r="AF222" s="120">
        <v>2</v>
      </c>
      <c r="AG222" s="60">
        <v>0</v>
      </c>
      <c r="AH222" s="60">
        <v>0</v>
      </c>
      <c r="AI222" s="60">
        <v>0</v>
      </c>
      <c r="AJ222" s="60">
        <v>12.7269</v>
      </c>
      <c r="AK222" s="55">
        <v>24.59617</v>
      </c>
      <c r="AL222" s="60">
        <v>44.49</v>
      </c>
      <c r="AM222" s="60">
        <v>0</v>
      </c>
      <c r="AN222" s="60">
        <v>0</v>
      </c>
      <c r="AO222" s="60">
        <v>0</v>
      </c>
      <c r="AP222" s="60">
        <v>0</v>
      </c>
      <c r="AQ222" s="60">
        <v>0</v>
      </c>
      <c r="AR222" s="60">
        <v>0</v>
      </c>
      <c r="AS222" s="60">
        <v>0.0599999999999952</v>
      </c>
      <c r="AT222" s="53">
        <v>0.0599999999999952</v>
      </c>
      <c r="AU222" s="53">
        <v>0.134680134680124</v>
      </c>
      <c r="AV222" s="53">
        <v>0</v>
      </c>
      <c r="AX222" s="53" t="s">
        <v>768</v>
      </c>
      <c r="AY222" s="53" t="s">
        <v>768</v>
      </c>
      <c r="AZ222" s="53" t="s">
        <v>768</v>
      </c>
      <c r="BA222" s="53" t="s">
        <v>768</v>
      </c>
      <c r="BB222" s="53" t="s">
        <v>477</v>
      </c>
      <c r="BC222" s="56">
        <v>6</v>
      </c>
      <c r="BD222" s="56">
        <v>7.40740740740741</v>
      </c>
      <c r="BE222" s="59">
        <f>U222/((VLOOKUP(B222,'Cell-Characteristics'!$B$4:$E$34,3,FALSE)*VLOOKUP(B222,'Cell-Characteristics'!$B$4:$E$34,4,FALSE)*3600)/1000)</f>
        <v>0.0563939697252251</v>
      </c>
      <c r="BF222" s="90">
        <f t="shared" si="48"/>
        <v>1016.79923839818</v>
      </c>
      <c r="BG222" s="90">
        <f t="shared" si="46"/>
        <v>0.72375964190549</v>
      </c>
      <c r="BH222" s="90">
        <f t="shared" si="47"/>
        <v>5.68918865440305</v>
      </c>
      <c r="BI222" s="90">
        <f t="shared" si="49"/>
        <v>1023.21218669449</v>
      </c>
      <c r="BJ222" s="90">
        <f>BF222/((VLOOKUP(B222,'Cell-Characteristics'!$B$4:$Q$34,13,FALSE)))</f>
        <v>16.3546168435658</v>
      </c>
      <c r="BK222" s="90">
        <f>BG222/((VLOOKUP(B222,'Cell-Characteristics'!$B$4:$Q$34,14,FALSE)))</f>
        <v>0.084663618455018</v>
      </c>
      <c r="BL222" s="90">
        <f>BH222/((VLOOKUP(B222,'Cell-Characteristics'!$B$4:$Q$34,15,FALSE)))</f>
        <v>0.66550726189551</v>
      </c>
      <c r="BM222" s="90">
        <f>BI222/((VLOOKUP(B222,'Cell-Characteristics'!$B$4:$Q$34,16,FALSE)))</f>
        <v>12.9080512467561</v>
      </c>
      <c r="BN222" s="50">
        <f t="shared" si="50"/>
        <v>2</v>
      </c>
    </row>
    <row r="223" spans="2:66">
      <c r="B223" s="53" t="s">
        <v>147</v>
      </c>
      <c r="C223" s="53" t="s">
        <v>801</v>
      </c>
      <c r="D223" s="53" t="s">
        <v>405</v>
      </c>
      <c r="E223" s="55" t="s">
        <v>265</v>
      </c>
      <c r="F223" s="56" t="s">
        <v>195</v>
      </c>
      <c r="H223" s="57">
        <v>44271</v>
      </c>
      <c r="I223" s="58" t="s">
        <v>795</v>
      </c>
      <c r="J223" s="58">
        <v>20</v>
      </c>
      <c r="K223" s="59">
        <v>2.963</v>
      </c>
      <c r="L223" s="60">
        <v>44.75</v>
      </c>
      <c r="M223" s="60">
        <v>50.2</v>
      </c>
      <c r="N223" s="60">
        <v>47.7</v>
      </c>
      <c r="O223" s="59" t="s">
        <v>198</v>
      </c>
      <c r="P223" s="59" t="s">
        <v>198</v>
      </c>
      <c r="Q223" s="61" t="s">
        <v>424</v>
      </c>
      <c r="R223" s="62">
        <v>1.85074650783211</v>
      </c>
      <c r="S223" s="63">
        <v>0.001</v>
      </c>
      <c r="T223" s="63">
        <v>2.1144665482942</v>
      </c>
      <c r="U223" s="60">
        <v>2.1144799828312</v>
      </c>
      <c r="V223" s="60">
        <v>1.09798177463711</v>
      </c>
      <c r="W223" s="60">
        <v>0.840649287347262</v>
      </c>
      <c r="X223" s="60">
        <v>0.175848920846821</v>
      </c>
      <c r="Y223" s="60">
        <v>51.9267991918734</v>
      </c>
      <c r="Z223" s="60">
        <v>39.7567862629595</v>
      </c>
      <c r="AA223" s="60">
        <v>8.31641454516714</v>
      </c>
      <c r="AB223" s="60">
        <v>1.34345369999993e-5</v>
      </c>
      <c r="AC223" s="60">
        <v>0</v>
      </c>
      <c r="AD223" s="120">
        <v>2</v>
      </c>
      <c r="AE223" s="120">
        <v>2</v>
      </c>
      <c r="AF223" s="120">
        <v>2</v>
      </c>
      <c r="AG223" s="60">
        <v>0</v>
      </c>
      <c r="AH223" s="60">
        <v>0</v>
      </c>
      <c r="AI223" s="60">
        <v>0</v>
      </c>
      <c r="AJ223" s="60">
        <v>9.4255</v>
      </c>
      <c r="AK223" s="55">
        <v>25.061645</v>
      </c>
      <c r="AL223" s="60">
        <v>44.7</v>
      </c>
      <c r="AM223" s="60">
        <v>0</v>
      </c>
      <c r="AN223" s="60">
        <v>0</v>
      </c>
      <c r="AO223" s="60">
        <v>0</v>
      </c>
      <c r="AP223" s="60">
        <v>0</v>
      </c>
      <c r="AQ223" s="60">
        <v>0</v>
      </c>
      <c r="AR223" s="60">
        <v>0</v>
      </c>
      <c r="AS223" s="60">
        <v>0.0499999999999972</v>
      </c>
      <c r="AT223" s="53">
        <v>0.0499999999999972</v>
      </c>
      <c r="AU223" s="53">
        <v>0.111731843575413</v>
      </c>
      <c r="AV223" s="53">
        <v>0</v>
      </c>
      <c r="AX223" s="53" t="s">
        <v>768</v>
      </c>
      <c r="AY223" s="53" t="s">
        <v>768</v>
      </c>
      <c r="AZ223" s="53" t="s">
        <v>768</v>
      </c>
      <c r="BA223" s="53" t="s">
        <v>768</v>
      </c>
      <c r="BB223" s="53" t="s">
        <v>802</v>
      </c>
      <c r="BC223" s="56">
        <v>9</v>
      </c>
      <c r="BD223" s="56">
        <v>11.1111111111111</v>
      </c>
      <c r="BE223" s="59">
        <f>U223/((VLOOKUP(B223,'Cell-Characteristics'!$B$4:$E$34,3,FALSE)*VLOOKUP(B223,'Cell-Characteristics'!$B$4:$E$34,4,FALSE)*3600)/1000)</f>
        <v>0.0582693998796076</v>
      </c>
      <c r="BF223" s="90">
        <f t="shared" si="48"/>
        <v>548.990887318555</v>
      </c>
      <c r="BG223" s="90">
        <f t="shared" si="46"/>
        <v>420.324643673631</v>
      </c>
      <c r="BH223" s="90">
        <f t="shared" si="47"/>
        <v>87.9244604234105</v>
      </c>
      <c r="BI223" s="90">
        <f t="shared" si="49"/>
        <v>1057.2399914156</v>
      </c>
      <c r="BJ223" s="90">
        <f>BF223/((VLOOKUP(B223,'Cell-Characteristics'!$B$4:$Q$34,13,FALSE)))</f>
        <v>8.83019506077583</v>
      </c>
      <c r="BK223" s="90">
        <f>BG223/((VLOOKUP(B223,'Cell-Characteristics'!$B$4:$Q$34,14,FALSE)))</f>
        <v>49.1685404916134</v>
      </c>
      <c r="BL223" s="90">
        <f>BH223/((VLOOKUP(B223,'Cell-Characteristics'!$B$4:$Q$34,15,FALSE)))</f>
        <v>10.2851865994526</v>
      </c>
      <c r="BM223" s="90">
        <f>BI223/((VLOOKUP(B223,'Cell-Characteristics'!$B$4:$Q$34,16,FALSE)))</f>
        <v>13.3373196359196</v>
      </c>
      <c r="BN223" s="50">
        <f t="shared" si="50"/>
        <v>2</v>
      </c>
    </row>
    <row r="224" spans="2:66">
      <c r="B224" s="53" t="s">
        <v>22</v>
      </c>
      <c r="C224" s="53" t="s">
        <v>803</v>
      </c>
      <c r="D224" s="53" t="s">
        <v>503</v>
      </c>
      <c r="E224" s="55" t="s">
        <v>194</v>
      </c>
      <c r="F224" s="56" t="s">
        <v>392</v>
      </c>
      <c r="G224" s="56" t="s">
        <v>804</v>
      </c>
      <c r="H224" s="57">
        <v>43012</v>
      </c>
      <c r="I224" s="58" t="s">
        <v>805</v>
      </c>
      <c r="J224" s="58">
        <v>100</v>
      </c>
      <c r="K224" s="59" t="s">
        <v>134</v>
      </c>
      <c r="L224" s="60">
        <v>48</v>
      </c>
      <c r="M224" s="60">
        <v>37</v>
      </c>
      <c r="N224" s="60">
        <v>37</v>
      </c>
      <c r="O224" s="59" t="s">
        <v>197</v>
      </c>
      <c r="P224" s="59" t="s">
        <v>197</v>
      </c>
      <c r="Q224" s="61" t="s">
        <v>381</v>
      </c>
      <c r="R224" s="62">
        <v>38.0682987895404</v>
      </c>
      <c r="S224" s="63">
        <v>0.026</v>
      </c>
      <c r="T224" s="63">
        <v>43.7096001768738</v>
      </c>
      <c r="U224" s="60">
        <v>46.2566816143297</v>
      </c>
      <c r="V224" s="60">
        <v>20.6154348187061</v>
      </c>
      <c r="W224" s="60">
        <v>25.4388875296447</v>
      </c>
      <c r="X224" s="60">
        <v>0.202359265978912</v>
      </c>
      <c r="Y224" s="60">
        <v>44.567474577164</v>
      </c>
      <c r="Z224" s="60">
        <v>54.9950550749496</v>
      </c>
      <c r="AA224" s="60">
        <v>0.437470347886398</v>
      </c>
      <c r="AB224" s="60">
        <v>2.54708143745592</v>
      </c>
      <c r="AC224" s="60">
        <v>0</v>
      </c>
      <c r="AD224" s="124">
        <v>6.212600231</v>
      </c>
      <c r="AE224" s="124">
        <v>0.80009985</v>
      </c>
      <c r="AF224" s="124">
        <v>0</v>
      </c>
      <c r="AG224" s="60">
        <v>1112.80035329324</v>
      </c>
      <c r="AH224" s="60">
        <v>40.164999961853</v>
      </c>
      <c r="AI224" s="60">
        <v>44.6112228564939</v>
      </c>
      <c r="AJ224" s="60" t="s">
        <v>134</v>
      </c>
      <c r="AK224" s="55">
        <v>142.05671</v>
      </c>
      <c r="AL224" s="60">
        <v>34.96</v>
      </c>
      <c r="AM224" s="60">
        <v>0.188</v>
      </c>
      <c r="AN224" s="60">
        <v>1.704</v>
      </c>
      <c r="AO224" s="60">
        <v>0.91</v>
      </c>
      <c r="AP224" s="60">
        <v>0</v>
      </c>
      <c r="AQ224" s="60">
        <v>0</v>
      </c>
      <c r="AR224" s="60">
        <v>0</v>
      </c>
      <c r="AS224" s="60">
        <v>10.238</v>
      </c>
      <c r="AT224" s="60">
        <f t="shared" ref="AT224:AT259" si="51">L224-AL224</f>
        <v>13.04</v>
      </c>
      <c r="AU224" s="60">
        <f t="shared" ref="AU224:AU259" si="52">100*(AT224/L224)</f>
        <v>27.1666666666667</v>
      </c>
      <c r="AV224" s="97">
        <v>0</v>
      </c>
      <c r="AW224" s="53" t="s">
        <v>806</v>
      </c>
      <c r="AX224" s="53" t="s">
        <v>514</v>
      </c>
      <c r="AY224" s="53" t="s">
        <v>134</v>
      </c>
      <c r="AZ224" s="53" t="s">
        <v>212</v>
      </c>
      <c r="BA224" s="102" t="s">
        <v>322</v>
      </c>
      <c r="BB224" s="53" t="s">
        <v>807</v>
      </c>
      <c r="BC224" s="56">
        <v>1</v>
      </c>
      <c r="BD224" s="56">
        <v>2</v>
      </c>
      <c r="BE224" s="59">
        <f>U224/((VLOOKUP(B224,'Cell-Characteristics'!$B$4:$E$34,3,FALSE)*VLOOKUP(B224,'Cell-Characteristics'!$B$4:$E$34,4,FALSE)*3600)/1000)</f>
        <v>1.46528432275091</v>
      </c>
      <c r="BF224" s="90">
        <f t="shared" si="48"/>
        <v>3318.32631300466</v>
      </c>
      <c r="BG224" s="90">
        <f t="shared" si="46"/>
        <v>31794.6410434206</v>
      </c>
      <c r="BH224" s="90" t="e">
        <f t="shared" si="47"/>
        <v>#DIV/0!</v>
      </c>
      <c r="BI224" s="90">
        <f t="shared" si="49"/>
        <v>19788.3900979836</v>
      </c>
      <c r="BJ224" s="90">
        <f>BF224/((VLOOKUP(B224,'Cell-Characteristics'!$B$4:$Q$34,13,FALSE)))</f>
        <v>90.3240871306183</v>
      </c>
      <c r="BK224" s="90">
        <f>BG224/((VLOOKUP(B224,'Cell-Characteristics'!$B$4:$Q$34,14,FALSE)))</f>
        <v>12500.8418036568</v>
      </c>
      <c r="BL224" s="90" t="e">
        <f>BH224/((VLOOKUP(B224,'Cell-Characteristics'!$B$4:$Q$34,15,FALSE)))</f>
        <v>#DIV/0!</v>
      </c>
      <c r="BM224" s="90">
        <f>BI224/((VLOOKUP(B224,'Cell-Characteristics'!$B$4:$Q$34,16,FALSE)))</f>
        <v>473.125755484392</v>
      </c>
      <c r="BN224" s="50">
        <f t="shared" si="50"/>
        <v>2.33756669366667</v>
      </c>
    </row>
    <row r="225" spans="2:66">
      <c r="B225" s="53" t="s">
        <v>24</v>
      </c>
      <c r="C225" s="107" t="s">
        <v>808</v>
      </c>
      <c r="D225" s="53" t="s">
        <v>391</v>
      </c>
      <c r="E225" s="55" t="s">
        <v>194</v>
      </c>
      <c r="F225" s="56" t="s">
        <v>392</v>
      </c>
      <c r="H225" s="57">
        <v>43139</v>
      </c>
      <c r="I225" s="58" t="s">
        <v>809</v>
      </c>
      <c r="J225" s="58">
        <v>100</v>
      </c>
      <c r="K225" s="59" t="s">
        <v>134</v>
      </c>
      <c r="L225" s="60">
        <v>48</v>
      </c>
      <c r="M225" s="60">
        <v>37</v>
      </c>
      <c r="N225" s="60">
        <v>37</v>
      </c>
      <c r="O225" s="59" t="s">
        <v>197</v>
      </c>
      <c r="P225" s="59" t="s">
        <v>197</v>
      </c>
      <c r="Q225" s="61" t="s">
        <v>381</v>
      </c>
      <c r="R225" s="62">
        <v>41.2372535188986</v>
      </c>
      <c r="S225" s="63">
        <v>0.025</v>
      </c>
      <c r="T225" s="63">
        <v>45.2785788698917</v>
      </c>
      <c r="U225" s="60">
        <v>47.9111755071037</v>
      </c>
      <c r="V225" s="60">
        <v>17.8669927363434</v>
      </c>
      <c r="W225" s="60">
        <v>29.3258259248938</v>
      </c>
      <c r="X225" s="60">
        <v>0.718356845866578</v>
      </c>
      <c r="Y225" s="60">
        <v>37.2919105975479</v>
      </c>
      <c r="Z225" s="60">
        <v>61.2087380752027</v>
      </c>
      <c r="AA225" s="60">
        <v>1.49935132724946</v>
      </c>
      <c r="AB225" s="60">
        <v>2.632596637212</v>
      </c>
      <c r="AC225" s="60">
        <v>0</v>
      </c>
      <c r="AD225" s="124">
        <v>5.906899929</v>
      </c>
      <c r="AE225" s="124">
        <v>2.003499985</v>
      </c>
      <c r="AF225" s="124">
        <v>0</v>
      </c>
      <c r="AG225" s="60">
        <v>658.735407551781</v>
      </c>
      <c r="AH225" s="60">
        <v>135.445199966431</v>
      </c>
      <c r="AI225" s="60">
        <v>86.1311069071112</v>
      </c>
      <c r="AK225" s="55">
        <v>255.08335</v>
      </c>
      <c r="AL225" s="60">
        <v>33.7</v>
      </c>
      <c r="AM225" s="60">
        <v>1</v>
      </c>
      <c r="AN225" s="60">
        <v>1.6</v>
      </c>
      <c r="AO225" s="60">
        <v>0.3</v>
      </c>
      <c r="AP225" s="60">
        <v>0</v>
      </c>
      <c r="AQ225" s="60">
        <v>0</v>
      </c>
      <c r="AR225" s="60">
        <v>0</v>
      </c>
      <c r="AS225" s="60">
        <v>11.4</v>
      </c>
      <c r="AT225" s="60">
        <f t="shared" si="51"/>
        <v>14.3</v>
      </c>
      <c r="AU225" s="60">
        <f t="shared" si="52"/>
        <v>29.7916666666667</v>
      </c>
      <c r="AV225" s="97">
        <v>0</v>
      </c>
      <c r="AW225" s="53" t="s">
        <v>810</v>
      </c>
      <c r="AX225" s="53" t="s">
        <v>395</v>
      </c>
      <c r="AY225" s="53" t="s">
        <v>811</v>
      </c>
      <c r="AZ225" s="53" t="s">
        <v>212</v>
      </c>
      <c r="BA225" s="53" t="s">
        <v>204</v>
      </c>
      <c r="BB225" s="53" t="s">
        <v>134</v>
      </c>
      <c r="BC225" s="56">
        <v>6</v>
      </c>
      <c r="BD225" s="56">
        <v>12</v>
      </c>
      <c r="BE225" s="59">
        <f>U225/((VLOOKUP(B225,'Cell-Characteristics'!$B$4:$E$34,3,FALSE)*VLOOKUP(B225,'Cell-Characteristics'!$B$4:$E$34,4,FALSE)*3600)/1000)</f>
        <v>1.51769413423245</v>
      </c>
      <c r="BF225" s="90">
        <f t="shared" si="48"/>
        <v>3024.76645128609</v>
      </c>
      <c r="BG225" s="90">
        <f t="shared" si="46"/>
        <v>14637.2978010747</v>
      </c>
      <c r="BH225" s="90" t="e">
        <f t="shared" si="47"/>
        <v>#DIV/0!</v>
      </c>
      <c r="BI225" s="90">
        <f t="shared" si="49"/>
        <v>18170.1972193502</v>
      </c>
      <c r="BJ225" s="90">
        <f>BF225/((VLOOKUP(B225,'Cell-Characteristics'!$B$4:$Q$34,13,FALSE)))</f>
        <v>82.3334544963277</v>
      </c>
      <c r="BK225" s="90">
        <f>BG225/((VLOOKUP(B225,'Cell-Characteristics'!$B$4:$Q$34,14,FALSE)))</f>
        <v>5755.01211019688</v>
      </c>
      <c r="BL225" s="90" t="e">
        <f>BH225/((VLOOKUP(B225,'Cell-Characteristics'!$B$4:$Q$34,15,FALSE)))</f>
        <v>#DIV/0!</v>
      </c>
      <c r="BM225" s="90">
        <f>BI225/((VLOOKUP(B225,'Cell-Characteristics'!$B$4:$Q$34,16,FALSE)))</f>
        <v>434.435961901796</v>
      </c>
      <c r="BN225" s="50">
        <f t="shared" si="50"/>
        <v>2.63679997133333</v>
      </c>
    </row>
    <row r="226" spans="2:66">
      <c r="B226" s="53" t="s">
        <v>24</v>
      </c>
      <c r="C226" s="107" t="s">
        <v>812</v>
      </c>
      <c r="D226" s="53" t="s">
        <v>391</v>
      </c>
      <c r="E226" s="55" t="s">
        <v>194</v>
      </c>
      <c r="F226" s="56" t="s">
        <v>392</v>
      </c>
      <c r="H226" s="57">
        <v>43139</v>
      </c>
      <c r="I226" s="58" t="s">
        <v>813</v>
      </c>
      <c r="J226" s="58">
        <v>100</v>
      </c>
      <c r="K226" s="59" t="s">
        <v>134</v>
      </c>
      <c r="L226" s="60">
        <v>48</v>
      </c>
      <c r="M226" s="60">
        <v>37</v>
      </c>
      <c r="N226" s="60">
        <v>37</v>
      </c>
      <c r="O226" s="59" t="s">
        <v>197</v>
      </c>
      <c r="P226" s="59" t="s">
        <v>197</v>
      </c>
      <c r="Q226" s="61" t="s">
        <v>381</v>
      </c>
      <c r="R226" s="62">
        <v>36.9467676846627</v>
      </c>
      <c r="S226" s="63">
        <v>0.026</v>
      </c>
      <c r="T226" s="63">
        <v>41.121743359629</v>
      </c>
      <c r="U226" s="60">
        <v>42.7321730969189</v>
      </c>
      <c r="V226" s="60">
        <v>17.6120743802287</v>
      </c>
      <c r="W226" s="60">
        <v>24.4673306140366</v>
      </c>
      <c r="X226" s="60">
        <v>0.652768102653649</v>
      </c>
      <c r="Y226" s="60">
        <v>41.2150216191523</v>
      </c>
      <c r="Z226" s="60">
        <v>57.2573984443602</v>
      </c>
      <c r="AA226" s="60">
        <v>1.52757993648751</v>
      </c>
      <c r="AB226" s="60">
        <v>1.61042973729</v>
      </c>
      <c r="AC226" s="60">
        <v>0</v>
      </c>
      <c r="AD226" s="124">
        <v>4.807600021</v>
      </c>
      <c r="AE226" s="124">
        <v>2.404800415</v>
      </c>
      <c r="AF226" s="124">
        <v>0</v>
      </c>
      <c r="AG226" s="60">
        <v>907.53259040771</v>
      </c>
      <c r="AH226" s="60">
        <v>128.214099884033</v>
      </c>
      <c r="AI226" s="60">
        <v>116.331594083236</v>
      </c>
      <c r="AK226" s="55">
        <v>336.581505</v>
      </c>
      <c r="AL226" s="60">
        <v>33.9</v>
      </c>
      <c r="AM226" s="60">
        <v>0</v>
      </c>
      <c r="AN226" s="60">
        <v>2.1</v>
      </c>
      <c r="AO226" s="60">
        <v>0.5</v>
      </c>
      <c r="AP226" s="60">
        <v>0</v>
      </c>
      <c r="AQ226" s="60">
        <v>0</v>
      </c>
      <c r="AR226" s="60">
        <v>0</v>
      </c>
      <c r="AS226" s="60">
        <v>11.5</v>
      </c>
      <c r="AT226" s="60">
        <f t="shared" si="51"/>
        <v>14.1</v>
      </c>
      <c r="AU226" s="60">
        <f t="shared" si="52"/>
        <v>29.375</v>
      </c>
      <c r="AV226" s="97">
        <v>0</v>
      </c>
      <c r="AW226" s="53" t="s">
        <v>814</v>
      </c>
      <c r="AX226" s="53" t="s">
        <v>395</v>
      </c>
      <c r="AY226" s="53" t="s">
        <v>815</v>
      </c>
      <c r="AZ226" s="53" t="s">
        <v>203</v>
      </c>
      <c r="BA226" s="53" t="s">
        <v>204</v>
      </c>
      <c r="BB226" s="53" t="s">
        <v>134</v>
      </c>
      <c r="BC226" s="56">
        <v>5</v>
      </c>
      <c r="BD226" s="56">
        <v>10</v>
      </c>
      <c r="BE226" s="59">
        <f>U226/((VLOOKUP(B226,'Cell-Characteristics'!$B$4:$E$34,3,FALSE)*VLOOKUP(B226,'Cell-Characteristics'!$B$4:$E$34,4,FALSE)*3600)/1000)</f>
        <v>1.35363759635962</v>
      </c>
      <c r="BF226" s="90">
        <f t="shared" si="48"/>
        <v>3663.38179201633</v>
      </c>
      <c r="BG226" s="90">
        <f t="shared" si="46"/>
        <v>10174.3705886863</v>
      </c>
      <c r="BH226" s="90" t="e">
        <f t="shared" si="47"/>
        <v>#DIV/0!</v>
      </c>
      <c r="BI226" s="90">
        <f t="shared" si="49"/>
        <v>17774.4594782725</v>
      </c>
      <c r="BJ226" s="90">
        <f>BF226/((VLOOKUP(B226,'Cell-Characteristics'!$B$4:$Q$34,13,FALSE)))</f>
        <v>99.7164187494237</v>
      </c>
      <c r="BK226" s="90">
        <f>BG226/((VLOOKUP(B226,'Cell-Characteristics'!$B$4:$Q$34,14,FALSE)))</f>
        <v>4000.30297581438</v>
      </c>
      <c r="BL226" s="90" t="e">
        <f>BH226/((VLOOKUP(B226,'Cell-Characteristics'!$B$4:$Q$34,15,FALSE)))</f>
        <v>#DIV/0!</v>
      </c>
      <c r="BM226" s="90">
        <f>BI226/((VLOOKUP(B226,'Cell-Characteristics'!$B$4:$Q$34,16,FALSE)))</f>
        <v>424.974165525537</v>
      </c>
      <c r="BN226" s="50">
        <f t="shared" si="50"/>
        <v>2.40413347866667</v>
      </c>
    </row>
    <row r="227" spans="2:66">
      <c r="B227" s="53" t="s">
        <v>24</v>
      </c>
      <c r="C227" s="107" t="s">
        <v>816</v>
      </c>
      <c r="D227" s="53" t="s">
        <v>391</v>
      </c>
      <c r="E227" s="55" t="s">
        <v>194</v>
      </c>
      <c r="F227" s="56" t="s">
        <v>392</v>
      </c>
      <c r="H227" s="57">
        <v>43141</v>
      </c>
      <c r="I227" s="58">
        <v>2</v>
      </c>
      <c r="J227" s="58">
        <v>100</v>
      </c>
      <c r="K227" s="59" t="s">
        <v>134</v>
      </c>
      <c r="L227" s="60">
        <v>48</v>
      </c>
      <c r="M227" s="60">
        <v>37</v>
      </c>
      <c r="N227" s="60">
        <v>37</v>
      </c>
      <c r="O227" s="59" t="s">
        <v>197</v>
      </c>
      <c r="P227" s="59" t="s">
        <v>197</v>
      </c>
      <c r="Q227" s="61" t="s">
        <v>381</v>
      </c>
      <c r="R227" s="62">
        <v>39.4380246861943</v>
      </c>
      <c r="S227" s="63">
        <v>0.025</v>
      </c>
      <c r="T227" s="63">
        <v>41.8408249258173</v>
      </c>
      <c r="U227" s="60">
        <v>42.8238575816673</v>
      </c>
      <c r="V227" s="60">
        <v>23.6144539046757</v>
      </c>
      <c r="W227" s="60">
        <v>18.5550720844397</v>
      </c>
      <c r="X227" s="60">
        <v>0.654331592551993</v>
      </c>
      <c r="Y227" s="60">
        <v>55.1432197803332</v>
      </c>
      <c r="Z227" s="60">
        <v>43.3288198034335</v>
      </c>
      <c r="AA227" s="60">
        <v>1.52796041623328</v>
      </c>
      <c r="AB227" s="60">
        <v>0.98303265585</v>
      </c>
      <c r="AC227" s="60">
        <v>0</v>
      </c>
      <c r="AD227" s="124">
        <v>3.506299973</v>
      </c>
      <c r="AE227" s="124">
        <v>4.006500244</v>
      </c>
      <c r="AF227" s="124">
        <v>0</v>
      </c>
      <c r="AG227" s="60">
        <v>904.511642543689</v>
      </c>
      <c r="AH227" s="60">
        <v>111.829199790955</v>
      </c>
      <c r="AI227" s="60">
        <v>101.113908532852</v>
      </c>
      <c r="AK227" s="55">
        <v>270.691605</v>
      </c>
      <c r="AL227" s="60">
        <v>35.4</v>
      </c>
      <c r="AM227" s="60">
        <v>0.5</v>
      </c>
      <c r="AN227" s="60">
        <v>2.9</v>
      </c>
      <c r="AO227" s="60">
        <v>1.7</v>
      </c>
      <c r="AP227" s="60">
        <v>0</v>
      </c>
      <c r="AQ227" s="60">
        <v>0</v>
      </c>
      <c r="AR227" s="60">
        <v>0</v>
      </c>
      <c r="AS227" s="60">
        <v>7.5</v>
      </c>
      <c r="AT227" s="60">
        <f t="shared" si="51"/>
        <v>12.6</v>
      </c>
      <c r="AU227" s="60">
        <f t="shared" si="52"/>
        <v>26.25</v>
      </c>
      <c r="AV227" s="97">
        <v>0</v>
      </c>
      <c r="AW227" s="53" t="s">
        <v>817</v>
      </c>
      <c r="AX227" s="53" t="s">
        <v>395</v>
      </c>
      <c r="AY227" s="53" t="s">
        <v>818</v>
      </c>
      <c r="AZ227" s="53" t="s">
        <v>203</v>
      </c>
      <c r="BA227" s="53" t="s">
        <v>204</v>
      </c>
      <c r="BB227" s="53" t="s">
        <v>134</v>
      </c>
      <c r="BC227" s="56">
        <v>3</v>
      </c>
      <c r="BD227" s="56">
        <v>6</v>
      </c>
      <c r="BE227" s="59">
        <f>U227/((VLOOKUP(B227,'Cell-Characteristics'!$B$4:$E$34,3,FALSE)*VLOOKUP(B227,'Cell-Characteristics'!$B$4:$E$34,4,FALSE)*3600)/1000)</f>
        <v>1.35654190841688</v>
      </c>
      <c r="BF227" s="90">
        <f t="shared" si="48"/>
        <v>6734.86412643442</v>
      </c>
      <c r="BG227" s="90">
        <f t="shared" si="46"/>
        <v>4631.24197040225</v>
      </c>
      <c r="BH227" s="90" t="e">
        <f t="shared" si="47"/>
        <v>#DIV/0!</v>
      </c>
      <c r="BI227" s="90">
        <f t="shared" si="49"/>
        <v>17100.3579270344</v>
      </c>
      <c r="BJ227" s="90">
        <f>BF227/((VLOOKUP(B227,'Cell-Characteristics'!$B$4:$Q$34,13,FALSE)))</f>
        <v>183.321468954065</v>
      </c>
      <c r="BK227" s="90">
        <f>BG227/((VLOOKUP(B227,'Cell-Characteristics'!$B$4:$Q$34,14,FALSE)))</f>
        <v>1820.88620366527</v>
      </c>
      <c r="BL227" s="90" t="e">
        <f>BH227/((VLOOKUP(B227,'Cell-Characteristics'!$B$4:$Q$34,15,FALSE)))</f>
        <v>#DIV/0!</v>
      </c>
      <c r="BM227" s="90">
        <f>BI227/((VLOOKUP(B227,'Cell-Characteristics'!$B$4:$Q$34,16,FALSE)))</f>
        <v>408.856896555021</v>
      </c>
      <c r="BN227" s="50">
        <f t="shared" si="50"/>
        <v>2.504266739</v>
      </c>
    </row>
    <row r="228" spans="2:66">
      <c r="B228" s="53" t="s">
        <v>26</v>
      </c>
      <c r="C228" s="107" t="s">
        <v>819</v>
      </c>
      <c r="D228" s="53" t="s">
        <v>391</v>
      </c>
      <c r="E228" s="55" t="s">
        <v>194</v>
      </c>
      <c r="F228" s="56" t="s">
        <v>392</v>
      </c>
      <c r="H228" s="57">
        <v>43139</v>
      </c>
      <c r="I228" s="58" t="s">
        <v>820</v>
      </c>
      <c r="J228" s="58">
        <v>100</v>
      </c>
      <c r="K228" s="59" t="s">
        <v>134</v>
      </c>
      <c r="L228" s="60">
        <v>48</v>
      </c>
      <c r="M228" s="60">
        <v>37</v>
      </c>
      <c r="N228" s="60">
        <v>37</v>
      </c>
      <c r="O228" s="59" t="s">
        <v>197</v>
      </c>
      <c r="P228" s="59" t="s">
        <v>197</v>
      </c>
      <c r="Q228" s="61" t="s">
        <v>381</v>
      </c>
      <c r="R228" s="62">
        <v>40.8556155957884</v>
      </c>
      <c r="S228" s="63">
        <v>0.022</v>
      </c>
      <c r="T228" s="63">
        <v>43.1261477059274</v>
      </c>
      <c r="U228" s="60">
        <v>45.5814149928074</v>
      </c>
      <c r="V228" s="60">
        <v>24.7491092263071</v>
      </c>
      <c r="W228" s="60">
        <v>20.057004763101</v>
      </c>
      <c r="X228" s="60">
        <v>0.775301003399376</v>
      </c>
      <c r="Y228" s="60">
        <v>54.2964917394784</v>
      </c>
      <c r="Z228" s="60">
        <v>44.0025935269142</v>
      </c>
      <c r="AA228" s="60">
        <v>1.70091473360736</v>
      </c>
      <c r="AB228" s="60">
        <v>2.45526728688</v>
      </c>
      <c r="AC228" s="60">
        <v>0</v>
      </c>
      <c r="AD228" s="124">
        <v>4.305699825</v>
      </c>
      <c r="AE228" s="124">
        <v>2.802000046</v>
      </c>
      <c r="AF228" s="124">
        <v>0</v>
      </c>
      <c r="AG228" s="60">
        <v>907.481664827595</v>
      </c>
      <c r="AH228" s="60">
        <v>115.40280008316</v>
      </c>
      <c r="AI228" s="60">
        <v>104.755588789126</v>
      </c>
      <c r="AK228" s="55">
        <v>271.43</v>
      </c>
      <c r="AL228" s="60">
        <v>35.4</v>
      </c>
      <c r="AM228" s="60">
        <v>0.5</v>
      </c>
      <c r="AN228" s="60">
        <v>2.9</v>
      </c>
      <c r="AO228" s="60">
        <v>1.7</v>
      </c>
      <c r="AP228" s="60">
        <v>0</v>
      </c>
      <c r="AQ228" s="60">
        <v>0.1</v>
      </c>
      <c r="AR228" s="60">
        <v>0.2</v>
      </c>
      <c r="AS228" s="60">
        <v>7.2</v>
      </c>
      <c r="AT228" s="60">
        <f t="shared" si="51"/>
        <v>12.6</v>
      </c>
      <c r="AU228" s="60">
        <f t="shared" si="52"/>
        <v>26.25</v>
      </c>
      <c r="AV228" s="97">
        <v>0</v>
      </c>
      <c r="AW228" s="53" t="s">
        <v>821</v>
      </c>
      <c r="AX228" s="53" t="s">
        <v>395</v>
      </c>
      <c r="AY228" s="53" t="s">
        <v>822</v>
      </c>
      <c r="AZ228" s="53" t="s">
        <v>212</v>
      </c>
      <c r="BA228" s="53" t="s">
        <v>204</v>
      </c>
      <c r="BB228" s="53" t="s">
        <v>134</v>
      </c>
      <c r="BC228" s="56">
        <v>1</v>
      </c>
      <c r="BD228" s="56">
        <v>2</v>
      </c>
      <c r="BE228" s="59">
        <f>U228/((VLOOKUP(B228,'Cell-Characteristics'!$B$4:$E$34,3,FALSE)*VLOOKUP(B228,'Cell-Characteristics'!$B$4:$E$34,4,FALSE)*3600)/1000)</f>
        <v>1.44389373527982</v>
      </c>
      <c r="BF228" s="90">
        <f t="shared" si="48"/>
        <v>5747.98760531502</v>
      </c>
      <c r="BG228" s="90">
        <f t="shared" si="46"/>
        <v>7158.10293855398</v>
      </c>
      <c r="BH228" s="90" t="e">
        <f t="shared" si="47"/>
        <v>#DIV/0!</v>
      </c>
      <c r="BI228" s="90">
        <f t="shared" si="49"/>
        <v>19238.8884534011</v>
      </c>
      <c r="BJ228" s="90">
        <f>BF228/((VLOOKUP(B228,'Cell-Characteristics'!$B$4:$Q$34,13,FALSE)))</f>
        <v>156.458914620149</v>
      </c>
      <c r="BK228" s="90">
        <f>BG228/((VLOOKUP(B228,'Cell-Characteristics'!$B$4:$Q$34,14,FALSE)))</f>
        <v>2814.38347823936</v>
      </c>
      <c r="BL228" s="90" t="e">
        <f>BH228/((VLOOKUP(B228,'Cell-Characteristics'!$B$4:$Q$34,15,FALSE)))</f>
        <v>#DIV/0!</v>
      </c>
      <c r="BM228" s="90">
        <f>BI228/((VLOOKUP(B228,'Cell-Characteristics'!$B$4:$Q$34,16,FALSE)))</f>
        <v>459.987578025504</v>
      </c>
      <c r="BN228" s="50">
        <f t="shared" si="50"/>
        <v>2.36923329033333</v>
      </c>
    </row>
    <row r="229" spans="2:66">
      <c r="B229" s="53" t="s">
        <v>26</v>
      </c>
      <c r="C229" s="107" t="s">
        <v>823</v>
      </c>
      <c r="D229" s="53" t="s">
        <v>391</v>
      </c>
      <c r="E229" s="55" t="s">
        <v>194</v>
      </c>
      <c r="F229" s="56" t="s">
        <v>392</v>
      </c>
      <c r="H229" s="57">
        <v>43139</v>
      </c>
      <c r="I229" s="58" t="s">
        <v>824</v>
      </c>
      <c r="J229" s="58">
        <v>100</v>
      </c>
      <c r="K229" s="59" t="s">
        <v>134</v>
      </c>
      <c r="L229" s="60">
        <v>48</v>
      </c>
      <c r="M229" s="60">
        <v>37</v>
      </c>
      <c r="N229" s="60">
        <v>37</v>
      </c>
      <c r="O229" s="59" t="s">
        <v>197</v>
      </c>
      <c r="P229" s="59" t="s">
        <v>197</v>
      </c>
      <c r="Q229" s="61" t="s">
        <v>381</v>
      </c>
      <c r="R229" s="62">
        <v>35.8554842348701</v>
      </c>
      <c r="S229" s="63">
        <v>0.028</v>
      </c>
      <c r="T229" s="63">
        <v>39.9363307906562</v>
      </c>
      <c r="U229" s="60">
        <v>41.1101016412922</v>
      </c>
      <c r="V229" s="60">
        <v>16.4328844433125</v>
      </c>
      <c r="W229" s="60">
        <v>23.9591471715683</v>
      </c>
      <c r="X229" s="60">
        <v>0.718070026411358</v>
      </c>
      <c r="Y229" s="60">
        <v>39.9728625988285</v>
      </c>
      <c r="Z229" s="60">
        <v>58.2804376905336</v>
      </c>
      <c r="AA229" s="60">
        <v>1.74669971063781</v>
      </c>
      <c r="AB229" s="60">
        <v>1.173770850636</v>
      </c>
      <c r="AC229" s="60">
        <v>0</v>
      </c>
      <c r="AD229" s="124">
        <v>2.502099991</v>
      </c>
      <c r="AE229" s="124">
        <v>2.502099991</v>
      </c>
      <c r="AF229" s="124">
        <v>0</v>
      </c>
      <c r="AG229" s="60">
        <v>907.605876366814</v>
      </c>
      <c r="AH229" s="60">
        <v>118.224299907684</v>
      </c>
      <c r="AI229" s="60">
        <v>107.322696583941</v>
      </c>
      <c r="AK229" s="55">
        <v>341.92106</v>
      </c>
      <c r="AL229" s="60">
        <v>35.9</v>
      </c>
      <c r="AM229" s="60">
        <v>0</v>
      </c>
      <c r="AN229" s="60">
        <v>2.5</v>
      </c>
      <c r="AO229" s="60">
        <v>0.7</v>
      </c>
      <c r="AP229" s="60">
        <v>0</v>
      </c>
      <c r="AQ229" s="60">
        <v>0</v>
      </c>
      <c r="AR229" s="60">
        <v>0</v>
      </c>
      <c r="AS229" s="60">
        <v>8.9</v>
      </c>
      <c r="AT229" s="60">
        <f t="shared" si="51"/>
        <v>12.1</v>
      </c>
      <c r="AU229" s="60">
        <f t="shared" si="52"/>
        <v>25.2083333333333</v>
      </c>
      <c r="AV229" s="97">
        <v>0</v>
      </c>
      <c r="AW229" s="53" t="s">
        <v>825</v>
      </c>
      <c r="AX229" s="53" t="s">
        <v>395</v>
      </c>
      <c r="AY229" s="53" t="s">
        <v>826</v>
      </c>
      <c r="AZ229" s="53" t="s">
        <v>203</v>
      </c>
      <c r="BA229" s="53" t="s">
        <v>204</v>
      </c>
      <c r="BB229" s="53" t="s">
        <v>134</v>
      </c>
      <c r="BC229" s="56">
        <v>5</v>
      </c>
      <c r="BD229" s="56">
        <v>10</v>
      </c>
      <c r="BE229" s="59">
        <f>U229/((VLOOKUP(B229,'Cell-Characteristics'!$B$4:$E$34,3,FALSE)*VLOOKUP(B229,'Cell-Characteristics'!$B$4:$E$34,4,FALSE)*3600)/1000)</f>
        <v>1.30225483842362</v>
      </c>
      <c r="BF229" s="90">
        <f t="shared" si="48"/>
        <v>6567.63698590032</v>
      </c>
      <c r="BG229" s="90">
        <f t="shared" si="46"/>
        <v>9575.61538617516</v>
      </c>
      <c r="BH229" s="90" t="e">
        <f t="shared" si="47"/>
        <v>#DIV/0!</v>
      </c>
      <c r="BI229" s="90">
        <f t="shared" si="49"/>
        <v>24645.3589719621</v>
      </c>
      <c r="BJ229" s="90">
        <f>BF229/((VLOOKUP(B229,'Cell-Characteristics'!$B$4:$Q$34,13,FALSE)))</f>
        <v>178.769584242483</v>
      </c>
      <c r="BK229" s="90">
        <f>BG229/((VLOOKUP(B229,'Cell-Characteristics'!$B$4:$Q$34,14,FALSE)))</f>
        <v>3764.88770392984</v>
      </c>
      <c r="BL229" s="90" t="e">
        <f>BH229/((VLOOKUP(B229,'Cell-Characteristics'!$B$4:$Q$34,15,FALSE)))</f>
        <v>#DIV/0!</v>
      </c>
      <c r="BM229" s="90">
        <f>BI229/((VLOOKUP(B229,'Cell-Characteristics'!$B$4:$Q$34,16,FALSE)))</f>
        <v>589.252285054851</v>
      </c>
      <c r="BN229" s="50">
        <f t="shared" si="50"/>
        <v>1.66806666066667</v>
      </c>
    </row>
    <row r="230" spans="2:66">
      <c r="B230" s="53" t="s">
        <v>26</v>
      </c>
      <c r="C230" s="107" t="s">
        <v>827</v>
      </c>
      <c r="D230" s="53" t="s">
        <v>391</v>
      </c>
      <c r="E230" s="55" t="s">
        <v>194</v>
      </c>
      <c r="F230" s="56" t="s">
        <v>392</v>
      </c>
      <c r="H230" s="57">
        <v>43149</v>
      </c>
      <c r="I230" s="58" t="s">
        <v>828</v>
      </c>
      <c r="J230" s="58">
        <v>100</v>
      </c>
      <c r="K230" s="59" t="s">
        <v>134</v>
      </c>
      <c r="L230" s="60">
        <v>48</v>
      </c>
      <c r="M230" s="60">
        <v>37</v>
      </c>
      <c r="N230" s="60">
        <v>37</v>
      </c>
      <c r="O230" s="59" t="s">
        <v>197</v>
      </c>
      <c r="P230" s="59" t="s">
        <v>197</v>
      </c>
      <c r="Q230" s="61" t="s">
        <v>381</v>
      </c>
      <c r="R230" s="62">
        <v>37.1974713235298</v>
      </c>
      <c r="S230" s="63">
        <v>0.027</v>
      </c>
      <c r="T230" s="63">
        <v>40.9940245020409</v>
      </c>
      <c r="U230" s="60">
        <v>42.2196018918289</v>
      </c>
      <c r="V230" s="60">
        <v>19.6782014656887</v>
      </c>
      <c r="W230" s="60">
        <v>21.81820858446</v>
      </c>
      <c r="X230" s="60">
        <v>0.723191841680185</v>
      </c>
      <c r="Y230" s="60">
        <v>46.6091592149693</v>
      </c>
      <c r="Z230" s="60">
        <v>51.6779116969426</v>
      </c>
      <c r="AA230" s="60">
        <v>1.71292908808823</v>
      </c>
      <c r="AB230" s="60">
        <v>1.225577389788</v>
      </c>
      <c r="AC230" s="60">
        <v>0</v>
      </c>
      <c r="AD230" s="124">
        <v>4.504899979</v>
      </c>
      <c r="AE230" s="124">
        <v>2.803800106</v>
      </c>
      <c r="AF230" s="124">
        <v>0</v>
      </c>
      <c r="AG230" s="60">
        <v>828.561847065628</v>
      </c>
      <c r="AH230" s="60">
        <v>105.717399597168</v>
      </c>
      <c r="AI230" s="60">
        <v>88.4213989471607</v>
      </c>
      <c r="AK230" s="55">
        <v>247.197485</v>
      </c>
      <c r="AL230" s="60">
        <v>33.9</v>
      </c>
      <c r="AM230" s="60">
        <v>0.7</v>
      </c>
      <c r="AN230" s="60">
        <v>1.4</v>
      </c>
      <c r="AO230" s="60">
        <v>0.2</v>
      </c>
      <c r="AP230" s="60">
        <v>0</v>
      </c>
      <c r="AQ230" s="60">
        <v>0</v>
      </c>
      <c r="AR230" s="60">
        <v>0</v>
      </c>
      <c r="AS230" s="60">
        <v>11.8</v>
      </c>
      <c r="AT230" s="60">
        <f t="shared" si="51"/>
        <v>14.1</v>
      </c>
      <c r="AU230" s="60">
        <f t="shared" si="52"/>
        <v>29.375</v>
      </c>
      <c r="AV230" s="97">
        <v>0</v>
      </c>
      <c r="AW230" s="53" t="s">
        <v>829</v>
      </c>
      <c r="AX230" s="53" t="s">
        <v>395</v>
      </c>
      <c r="AY230" s="53" t="s">
        <v>830</v>
      </c>
      <c r="AZ230" s="53" t="s">
        <v>212</v>
      </c>
      <c r="BA230" s="53" t="s">
        <v>204</v>
      </c>
      <c r="BB230" s="53" t="s">
        <v>134</v>
      </c>
      <c r="BC230" s="56">
        <v>3</v>
      </c>
      <c r="BD230" s="56">
        <v>6</v>
      </c>
      <c r="BE230" s="59">
        <f>U230/((VLOOKUP(B230,'Cell-Characteristics'!$B$4:$E$34,3,FALSE)*VLOOKUP(B230,'Cell-Characteristics'!$B$4:$E$34,4,FALSE)*3600)/1000)</f>
        <v>1.337400751759</v>
      </c>
      <c r="BF230" s="90">
        <f t="shared" si="48"/>
        <v>4368.17721978743</v>
      </c>
      <c r="BG230" s="90">
        <f t="shared" si="46"/>
        <v>7781.65623782169</v>
      </c>
      <c r="BH230" s="90" t="e">
        <f t="shared" si="47"/>
        <v>#DIV/0!</v>
      </c>
      <c r="BI230" s="90">
        <f t="shared" si="49"/>
        <v>17329.8677196284</v>
      </c>
      <c r="BJ230" s="90">
        <f>BF230/((VLOOKUP(B230,'Cell-Characteristics'!$B$4:$Q$34,13,FALSE)))</f>
        <v>118.90078991201</v>
      </c>
      <c r="BK230" s="90">
        <f>BG230/((VLOOKUP(B230,'Cell-Characteristics'!$B$4:$Q$34,14,FALSE)))</f>
        <v>3059.54872918994</v>
      </c>
      <c r="BL230" s="90" t="e">
        <f>BH230/((VLOOKUP(B230,'Cell-Characteristics'!$B$4:$Q$34,15,FALSE)))</f>
        <v>#DIV/0!</v>
      </c>
      <c r="BM230" s="90">
        <f>BI230/((VLOOKUP(B230,'Cell-Characteristics'!$B$4:$Q$34,16,FALSE)))</f>
        <v>414.344305761854</v>
      </c>
      <c r="BN230" s="50">
        <f t="shared" si="50"/>
        <v>2.43623336166667</v>
      </c>
    </row>
    <row r="231" spans="2:66">
      <c r="B231" s="53" t="s">
        <v>148</v>
      </c>
      <c r="C231" s="125" t="s">
        <v>831</v>
      </c>
      <c r="D231" s="53" t="s">
        <v>391</v>
      </c>
      <c r="E231" s="55" t="s">
        <v>228</v>
      </c>
      <c r="F231" s="56" t="s">
        <v>392</v>
      </c>
      <c r="H231" s="57">
        <v>43141</v>
      </c>
      <c r="I231" s="58" t="s">
        <v>134</v>
      </c>
      <c r="J231" s="58">
        <v>100</v>
      </c>
      <c r="K231" s="59" t="s">
        <v>134</v>
      </c>
      <c r="L231" s="60">
        <v>48</v>
      </c>
      <c r="M231" s="60">
        <v>37</v>
      </c>
      <c r="N231" s="60">
        <v>37</v>
      </c>
      <c r="O231" s="59" t="s">
        <v>197</v>
      </c>
      <c r="P231" s="59" t="s">
        <v>197</v>
      </c>
      <c r="Q231" s="61" t="s">
        <v>481</v>
      </c>
      <c r="R231" s="62">
        <v>59.3333760556853</v>
      </c>
      <c r="S231" s="63">
        <v>0.046</v>
      </c>
      <c r="T231" s="63">
        <v>60.8303724469817</v>
      </c>
      <c r="U231" s="60">
        <v>62.3564758640447</v>
      </c>
      <c r="V231" s="60">
        <v>13.4474705297178</v>
      </c>
      <c r="W231" s="60">
        <v>0.585514678285161</v>
      </c>
      <c r="X231" s="60">
        <v>46.6766257633447</v>
      </c>
      <c r="Y231" s="60">
        <v>21.565475507367</v>
      </c>
      <c r="Z231" s="60">
        <v>0.938979745362381</v>
      </c>
      <c r="AA231" s="60">
        <v>74.8544960512415</v>
      </c>
      <c r="AB231" s="60">
        <v>0</v>
      </c>
      <c r="AC231" s="60">
        <v>1.526103417063</v>
      </c>
      <c r="AD231" s="124">
        <v>3.604899883</v>
      </c>
      <c r="AE231" s="124">
        <v>0</v>
      </c>
      <c r="AF231" s="124">
        <v>1.501100063</v>
      </c>
      <c r="AG231" s="60">
        <v>904.731423059693</v>
      </c>
      <c r="AH231" s="60">
        <v>106.339399814606</v>
      </c>
      <c r="AI231" s="60">
        <v>96.288007447704</v>
      </c>
      <c r="AJ231" s="60" t="s">
        <v>134</v>
      </c>
      <c r="AK231" s="55">
        <v>312.25053</v>
      </c>
      <c r="AL231" s="60">
        <v>19.2</v>
      </c>
      <c r="AM231" s="60">
        <v>8.5</v>
      </c>
      <c r="AN231" s="60">
        <v>1.2</v>
      </c>
      <c r="AO231" s="60">
        <v>0</v>
      </c>
      <c r="AP231" s="60">
        <v>3.1</v>
      </c>
      <c r="AQ231" s="60">
        <v>11.49</v>
      </c>
      <c r="AR231" s="60">
        <v>0.6</v>
      </c>
      <c r="AS231" s="60">
        <v>3.91</v>
      </c>
      <c r="AT231" s="60">
        <f t="shared" ref="AT231:AT232" si="53">L231-AL231</f>
        <v>28.8</v>
      </c>
      <c r="AU231" s="60">
        <f t="shared" ref="AU231:AU232" si="54">100*(AT231/L231)</f>
        <v>60</v>
      </c>
      <c r="AV231" s="97">
        <v>0</v>
      </c>
      <c r="AW231" s="53" t="s">
        <v>832</v>
      </c>
      <c r="AX231" s="53" t="s">
        <v>395</v>
      </c>
      <c r="AY231" s="53" t="s">
        <v>833</v>
      </c>
      <c r="AZ231" s="53" t="s">
        <v>212</v>
      </c>
      <c r="BA231" s="53" t="s">
        <v>204</v>
      </c>
      <c r="BB231" s="53" t="s">
        <v>403</v>
      </c>
      <c r="BC231" s="56">
        <v>3</v>
      </c>
      <c r="BD231" s="56">
        <v>6</v>
      </c>
      <c r="BE231" s="59">
        <f>U231/((VLOOKUP(B231,'Cell-Characteristics'!$B$4:$E$34,3,FALSE)*VLOOKUP(B231,'Cell-Characteristics'!$B$4:$E$34,4,FALSE)*3600)/1000)</f>
        <v>1.50358014718472</v>
      </c>
      <c r="BF231" s="90">
        <f t="shared" ref="BF231:BF232" si="55">(1000*V231)/AD231</f>
        <v>3730.33120645969</v>
      </c>
      <c r="BG231" s="90" t="e">
        <f t="shared" ref="BG231:BG232" si="56">(1000*W231)/AE231</f>
        <v>#DIV/0!</v>
      </c>
      <c r="BH231" s="90">
        <f t="shared" ref="BH231:BH232" si="57">(1000*X231)/AF231</f>
        <v>31094.946242331</v>
      </c>
      <c r="BI231" s="90">
        <f t="shared" ref="BI231:BI232" si="58">(1000*U231)/AVERAGE(AD231:AF231)</f>
        <v>36637.1777458954</v>
      </c>
      <c r="BJ231" s="90">
        <f>BF231/((VLOOKUP(B231,'Cell-Characteristics'!$B$4:$Q$34,13,FALSE)))</f>
        <v>100.268696421077</v>
      </c>
      <c r="BK231" s="90" t="e">
        <f>BG231/((VLOOKUP(B231,'Cell-Characteristics'!$B$4:$Q$34,14,FALSE)))</f>
        <v>#DIV/0!</v>
      </c>
      <c r="BL231" s="90">
        <f>BH231/((VLOOKUP(B231,'Cell-Characteristics'!$B$4:$Q$34,15,FALSE)))</f>
        <v>11958.5184419291</v>
      </c>
      <c r="BM231" s="90">
        <f>BI231/((VLOOKUP(B231,'Cell-Characteristics'!$B$4:$Q$34,16,FALSE)))</f>
        <v>864.006620203601</v>
      </c>
      <c r="BN231" s="50">
        <f t="shared" si="50"/>
        <v>1.701999982</v>
      </c>
    </row>
    <row r="232" spans="2:66">
      <c r="B232" s="53" t="s">
        <v>148</v>
      </c>
      <c r="C232" s="125" t="s">
        <v>834</v>
      </c>
      <c r="D232" s="53" t="s">
        <v>391</v>
      </c>
      <c r="E232" s="55" t="s">
        <v>228</v>
      </c>
      <c r="F232" s="56" t="s">
        <v>392</v>
      </c>
      <c r="H232" s="57">
        <v>43141</v>
      </c>
      <c r="I232" s="58" t="s">
        <v>134</v>
      </c>
      <c r="J232" s="58">
        <v>100</v>
      </c>
      <c r="K232" s="59" t="s">
        <v>134</v>
      </c>
      <c r="L232" s="60">
        <v>47</v>
      </c>
      <c r="M232" s="60">
        <v>37</v>
      </c>
      <c r="N232" s="60">
        <v>37</v>
      </c>
      <c r="O232" s="59" t="s">
        <v>197</v>
      </c>
      <c r="P232" s="59" t="s">
        <v>197</v>
      </c>
      <c r="Q232" s="61" t="s">
        <v>481</v>
      </c>
      <c r="R232" s="62">
        <v>50.6953005346369</v>
      </c>
      <c r="S232" s="63">
        <v>0.03</v>
      </c>
      <c r="T232" s="63">
        <v>51.9455413625382</v>
      </c>
      <c r="U232" s="60">
        <v>58.4052366613422</v>
      </c>
      <c r="V232" s="60">
        <v>8.55511921497773</v>
      </c>
      <c r="W232" s="60">
        <v>1.82102013910915</v>
      </c>
      <c r="X232" s="60">
        <v>41.1024469222266</v>
      </c>
      <c r="Y232" s="60">
        <v>14.6478632807943</v>
      </c>
      <c r="Z232" s="60">
        <v>3.11790559067191</v>
      </c>
      <c r="AA232" s="60">
        <v>70.3745918547607</v>
      </c>
      <c r="AB232" s="60">
        <v>0</v>
      </c>
      <c r="AC232" s="60">
        <v>6.459695298804</v>
      </c>
      <c r="AD232" s="124">
        <v>8.810500145</v>
      </c>
      <c r="AE232" s="124">
        <v>0</v>
      </c>
      <c r="AF232" s="124">
        <v>1.700700283</v>
      </c>
      <c r="AG232" s="60">
        <v>906.046020668575</v>
      </c>
      <c r="AH232" s="60">
        <v>129.345600128174</v>
      </c>
      <c r="AI232" s="60">
        <v>117.320299145484</v>
      </c>
      <c r="AJ232" s="60" t="s">
        <v>134</v>
      </c>
      <c r="AK232" s="55">
        <v>299.682095</v>
      </c>
      <c r="AL232" s="60">
        <v>19.3</v>
      </c>
      <c r="AM232" s="60">
        <v>0</v>
      </c>
      <c r="AN232" s="60">
        <v>0</v>
      </c>
      <c r="AO232" s="60">
        <v>0</v>
      </c>
      <c r="AP232" s="60">
        <v>0</v>
      </c>
      <c r="AQ232" s="60">
        <v>10.8</v>
      </c>
      <c r="AR232" s="60">
        <v>0.6</v>
      </c>
      <c r="AS232" s="60">
        <v>16.3</v>
      </c>
      <c r="AT232" s="60">
        <f t="shared" si="53"/>
        <v>27.7</v>
      </c>
      <c r="AU232" s="60">
        <f t="shared" si="54"/>
        <v>58.936170212766</v>
      </c>
      <c r="AV232" s="97">
        <v>0</v>
      </c>
      <c r="AW232" s="53" t="s">
        <v>835</v>
      </c>
      <c r="AX232" s="53" t="s">
        <v>395</v>
      </c>
      <c r="AY232" s="53" t="s">
        <v>836</v>
      </c>
      <c r="AZ232" s="53" t="s">
        <v>212</v>
      </c>
      <c r="BA232" s="53" t="s">
        <v>204</v>
      </c>
      <c r="BB232" s="53" t="s">
        <v>403</v>
      </c>
      <c r="BC232" s="56">
        <v>5</v>
      </c>
      <c r="BD232" s="56">
        <v>10</v>
      </c>
      <c r="BE232" s="59">
        <f>U232/((VLOOKUP(B232,'Cell-Characteristics'!$B$4:$E$34,3,FALSE)*VLOOKUP(B232,'Cell-Characteristics'!$B$4:$E$34,4,FALSE)*3600)/1000)</f>
        <v>1.40830528215042</v>
      </c>
      <c r="BF232" s="90">
        <f t="shared" si="55"/>
        <v>971.014025785222</v>
      </c>
      <c r="BG232" s="90" t="e">
        <f t="shared" si="56"/>
        <v>#DIV/0!</v>
      </c>
      <c r="BH232" s="90">
        <f t="shared" si="57"/>
        <v>24167.9544203537</v>
      </c>
      <c r="BI232" s="90">
        <f t="shared" si="58"/>
        <v>16669.4290708493</v>
      </c>
      <c r="BJ232" s="90">
        <f>BF232/((VLOOKUP(B232,'Cell-Characteristics'!$B$4:$Q$34,13,FALSE)))</f>
        <v>26.1001785588013</v>
      </c>
      <c r="BK232" s="90" t="e">
        <f>BG232/((VLOOKUP(B232,'Cell-Characteristics'!$B$4:$Q$34,14,FALSE)))</f>
        <v>#DIV/0!</v>
      </c>
      <c r="BL232" s="90">
        <f>BH232/((VLOOKUP(B232,'Cell-Characteristics'!$B$4:$Q$34,15,FALSE)))</f>
        <v>9294.53057699949</v>
      </c>
      <c r="BM232" s="90">
        <f>BI232/((VLOOKUP(B232,'Cell-Characteristics'!$B$4:$Q$34,16,FALSE)))</f>
        <v>393.111532010451</v>
      </c>
      <c r="BN232" s="50">
        <f t="shared" si="50"/>
        <v>3.503733476</v>
      </c>
    </row>
    <row r="233" spans="2:66">
      <c r="B233" s="53" t="s">
        <v>152</v>
      </c>
      <c r="C233" s="107" t="s">
        <v>837</v>
      </c>
      <c r="D233" s="53" t="s">
        <v>227</v>
      </c>
      <c r="E233" s="55" t="s">
        <v>194</v>
      </c>
      <c r="F233" s="56" t="s">
        <v>229</v>
      </c>
      <c r="H233" s="57">
        <v>43400</v>
      </c>
      <c r="I233" s="58">
        <v>4</v>
      </c>
      <c r="J233" s="58">
        <v>100</v>
      </c>
      <c r="K233" s="59">
        <v>4.075</v>
      </c>
      <c r="L233" s="60">
        <v>111.292</v>
      </c>
      <c r="M233" s="60">
        <v>48</v>
      </c>
      <c r="N233" s="60">
        <v>47.7</v>
      </c>
      <c r="O233" s="55" t="s">
        <v>838</v>
      </c>
      <c r="P233" s="55" t="s">
        <v>838</v>
      </c>
      <c r="Q233" s="61" t="s">
        <v>381</v>
      </c>
      <c r="R233" s="62">
        <v>66.232031610108</v>
      </c>
      <c r="S233" s="63">
        <v>0.027</v>
      </c>
      <c r="T233" s="63">
        <v>75.28624194958</v>
      </c>
      <c r="U233" s="60">
        <v>78.6454314927179</v>
      </c>
      <c r="V233" s="60">
        <v>24.8915782267529</v>
      </c>
      <c r="W233" s="60">
        <v>53.316534730728</v>
      </c>
      <c r="X233" s="60">
        <v>0.437318535237032</v>
      </c>
      <c r="Y233" s="60">
        <v>31.6503803899374</v>
      </c>
      <c r="Z233" s="60">
        <v>67.7935561147818</v>
      </c>
      <c r="AA233" s="60">
        <v>0.556063495280746</v>
      </c>
      <c r="AB233" s="60">
        <v>3.35918954313798</v>
      </c>
      <c r="AC233" s="60">
        <v>0</v>
      </c>
      <c r="AD233" s="124">
        <v>4.4115</v>
      </c>
      <c r="AE233" s="124">
        <v>4.4115</v>
      </c>
      <c r="AF233" s="124">
        <v>0</v>
      </c>
      <c r="AG233" s="60">
        <v>918.348892253743</v>
      </c>
      <c r="AH233" s="60">
        <v>112.2911</v>
      </c>
      <c r="AI233" s="60">
        <v>103.201362354439</v>
      </c>
      <c r="AK233" s="55">
        <v>243.5090525</v>
      </c>
      <c r="AL233" s="60">
        <v>72.5255</v>
      </c>
      <c r="AM233" s="60">
        <v>1.8123</v>
      </c>
      <c r="AN233" s="60">
        <v>8.9989</v>
      </c>
      <c r="AO233" s="60">
        <v>2.1295</v>
      </c>
      <c r="AP233" s="60">
        <v>0.1</v>
      </c>
      <c r="AQ233" s="60">
        <v>0.6985</v>
      </c>
      <c r="AR233" s="60">
        <v>0</v>
      </c>
      <c r="AS233" s="60">
        <v>25.0273</v>
      </c>
      <c r="AT233" s="60">
        <f t="shared" si="51"/>
        <v>38.7665</v>
      </c>
      <c r="AU233" s="60">
        <f t="shared" si="52"/>
        <v>34.8331416454013</v>
      </c>
      <c r="AV233" s="97">
        <v>0</v>
      </c>
      <c r="AW233" s="53" t="s">
        <v>839</v>
      </c>
      <c r="AX233" s="53" t="s">
        <v>134</v>
      </c>
      <c r="AY233" s="53" t="s">
        <v>134</v>
      </c>
      <c r="AZ233" s="53" t="s">
        <v>212</v>
      </c>
      <c r="BA233" s="53" t="s">
        <v>204</v>
      </c>
      <c r="BB233" s="53" t="s">
        <v>840</v>
      </c>
      <c r="BC233" s="56">
        <v>9</v>
      </c>
      <c r="BD233" s="56">
        <v>18</v>
      </c>
      <c r="BE233" s="59">
        <f>U233/((VLOOKUP(B233,'Cell-Characteristics'!$B$4:$E$34,3,FALSE)*VLOOKUP(B233,'Cell-Characteristics'!$B$4:$E$34,4,FALSE)*3600)/1000)</f>
        <v>1.34851562916183</v>
      </c>
      <c r="BF233" s="90">
        <f t="shared" si="48"/>
        <v>5642.42961050728</v>
      </c>
      <c r="BG233" s="90">
        <f t="shared" si="46"/>
        <v>12085.8063540129</v>
      </c>
      <c r="BH233" s="90" t="e">
        <f t="shared" si="47"/>
        <v>#DIV/0!</v>
      </c>
      <c r="BI233" s="90">
        <f t="shared" si="49"/>
        <v>26741.0511705943</v>
      </c>
      <c r="BJ233" s="90">
        <f>BF233/((VLOOKUP(B233,'Cell-Characteristics'!$B$4:$Q$34,13,FALSE)))</f>
        <v>153.585650021974</v>
      </c>
      <c r="BK233" s="90">
        <f>BG233/((VLOOKUP(B233,'Cell-Characteristics'!$B$4:$Q$34,14,FALSE)))</f>
        <v>4751.8307596182</v>
      </c>
      <c r="BL233" s="90" t="e">
        <f>BH233/((VLOOKUP(B233,'Cell-Characteristics'!$B$4:$Q$34,15,FALSE)))</f>
        <v>#DIV/0!</v>
      </c>
      <c r="BM233" s="90">
        <f>BI233/((VLOOKUP(B233,'Cell-Characteristics'!$B$4:$Q$34,16,FALSE)))</f>
        <v>639.358733827641</v>
      </c>
      <c r="BN233" s="50">
        <f t="shared" si="50"/>
        <v>2.941</v>
      </c>
    </row>
    <row r="234" spans="2:66">
      <c r="B234" s="53" t="s">
        <v>152</v>
      </c>
      <c r="C234" s="107" t="s">
        <v>841</v>
      </c>
      <c r="D234" s="53" t="s">
        <v>227</v>
      </c>
      <c r="E234" s="55" t="s">
        <v>194</v>
      </c>
      <c r="F234" s="56" t="s">
        <v>229</v>
      </c>
      <c r="H234" s="57">
        <v>43401</v>
      </c>
      <c r="I234" s="58">
        <v>5</v>
      </c>
      <c r="J234" s="58">
        <v>100</v>
      </c>
      <c r="K234" s="59">
        <v>4.079</v>
      </c>
      <c r="L234" s="97">
        <v>111.0028</v>
      </c>
      <c r="M234" s="97">
        <v>48.7</v>
      </c>
      <c r="N234" s="97">
        <v>51</v>
      </c>
      <c r="O234" s="55" t="s">
        <v>838</v>
      </c>
      <c r="P234" s="55" t="s">
        <v>838</v>
      </c>
      <c r="Q234" s="61" t="s">
        <v>381</v>
      </c>
      <c r="R234" s="62">
        <v>68.0650190942807</v>
      </c>
      <c r="S234" s="63">
        <v>0.021</v>
      </c>
      <c r="T234" s="63">
        <v>75.6525647231821</v>
      </c>
      <c r="U234" s="60">
        <v>79.3648505325902</v>
      </c>
      <c r="V234" s="60">
        <v>31.8117753019064</v>
      </c>
      <c r="W234" s="60">
        <v>47.0596499027249</v>
      </c>
      <c r="X234" s="60">
        <v>0.493425327958913</v>
      </c>
      <c r="Y234" s="60">
        <v>40.0829524511525</v>
      </c>
      <c r="Z234" s="60">
        <v>59.2953298430272</v>
      </c>
      <c r="AA234" s="60">
        <v>0.621717705820279</v>
      </c>
      <c r="AB234" s="60">
        <v>3.71228580940813</v>
      </c>
      <c r="AC234" s="60">
        <v>0</v>
      </c>
      <c r="AD234" s="124">
        <v>3.9164</v>
      </c>
      <c r="AE234" s="124">
        <v>3.9164</v>
      </c>
      <c r="AF234" s="124">
        <v>0</v>
      </c>
      <c r="AG234" s="97">
        <v>911.080716202585</v>
      </c>
      <c r="AH234" s="97">
        <v>113.9661</v>
      </c>
      <c r="AI234" s="97">
        <v>103.836085612654</v>
      </c>
      <c r="AJ234" s="97"/>
      <c r="AK234" s="92">
        <v>122.66852</v>
      </c>
      <c r="AL234" s="97">
        <v>71.4116</v>
      </c>
      <c r="AM234" s="97">
        <v>1.8543</v>
      </c>
      <c r="AN234" s="97">
        <v>6.7404</v>
      </c>
      <c r="AO234" s="97">
        <v>1.7074</v>
      </c>
      <c r="AP234" s="97">
        <v>1.8292</v>
      </c>
      <c r="AQ234" s="97">
        <v>0</v>
      </c>
      <c r="AR234" s="97">
        <v>0.0226</v>
      </c>
      <c r="AS234" s="97">
        <v>27.4373</v>
      </c>
      <c r="AT234" s="60">
        <f t="shared" si="51"/>
        <v>39.5912</v>
      </c>
      <c r="AU234" s="60">
        <f t="shared" si="52"/>
        <v>35.6668480434728</v>
      </c>
      <c r="AV234" s="97">
        <v>0</v>
      </c>
      <c r="AW234" s="53" t="s">
        <v>842</v>
      </c>
      <c r="AX234" s="53" t="s">
        <v>134</v>
      </c>
      <c r="AY234" s="53" t="s">
        <v>134</v>
      </c>
      <c r="AZ234" s="53" t="s">
        <v>212</v>
      </c>
      <c r="BA234" s="90" t="s">
        <v>204</v>
      </c>
      <c r="BB234" s="53" t="s">
        <v>134</v>
      </c>
      <c r="BC234" s="56">
        <v>7</v>
      </c>
      <c r="BD234" s="56">
        <v>14</v>
      </c>
      <c r="BE234" s="59">
        <f>U234/((VLOOKUP(B234,'Cell-Characteristics'!$B$4:$E$34,3,FALSE)*VLOOKUP(B234,'Cell-Characteristics'!$B$4:$E$34,4,FALSE)*3600)/1000)</f>
        <v>1.36085134658077</v>
      </c>
      <c r="BF234" s="90">
        <f t="shared" si="48"/>
        <v>8122.70843169912</v>
      </c>
      <c r="BG234" s="90">
        <f t="shared" si="46"/>
        <v>12016.0478762958</v>
      </c>
      <c r="BH234" s="90" t="e">
        <f t="shared" si="47"/>
        <v>#DIV/0!</v>
      </c>
      <c r="BI234" s="90">
        <f t="shared" si="49"/>
        <v>30397.1187312035</v>
      </c>
      <c r="BJ234" s="90">
        <f>BF234/((VLOOKUP(B234,'Cell-Characteristics'!$B$4:$Q$34,13,FALSE)))</f>
        <v>221.09827512927</v>
      </c>
      <c r="BK234" s="90">
        <f>BG234/((VLOOKUP(B234,'Cell-Characteristics'!$B$4:$Q$34,14,FALSE)))</f>
        <v>4724.40350566006</v>
      </c>
      <c r="BL234" s="90" t="e">
        <f>BH234/((VLOOKUP(B234,'Cell-Characteristics'!$B$4:$Q$34,15,FALSE)))</f>
        <v>#DIV/0!</v>
      </c>
      <c r="BM234" s="90">
        <f>BI234/((VLOOKUP(B234,'Cell-Characteristics'!$B$4:$Q$34,16,FALSE)))</f>
        <v>726.772602169132</v>
      </c>
      <c r="BN234" s="50">
        <f t="shared" si="50"/>
        <v>2.61093333333333</v>
      </c>
    </row>
    <row r="235" spans="2:66">
      <c r="B235" s="53" t="s">
        <v>152</v>
      </c>
      <c r="C235" s="107" t="s">
        <v>843</v>
      </c>
      <c r="D235" s="53" t="s">
        <v>244</v>
      </c>
      <c r="E235" s="55" t="s">
        <v>194</v>
      </c>
      <c r="F235" s="56" t="s">
        <v>245</v>
      </c>
      <c r="H235" s="57">
        <v>43512</v>
      </c>
      <c r="I235" s="58">
        <v>13</v>
      </c>
      <c r="J235" s="58">
        <v>100</v>
      </c>
      <c r="K235" s="59">
        <v>4.047</v>
      </c>
      <c r="L235" s="60">
        <v>112.5</v>
      </c>
      <c r="M235" s="60">
        <v>49</v>
      </c>
      <c r="N235" s="60">
        <v>47.5</v>
      </c>
      <c r="O235" s="55" t="s">
        <v>844</v>
      </c>
      <c r="P235" s="55" t="s">
        <v>838</v>
      </c>
      <c r="Q235" s="61" t="s">
        <v>381</v>
      </c>
      <c r="R235" s="62">
        <v>64.722771224765</v>
      </c>
      <c r="S235" s="63">
        <v>0.044</v>
      </c>
      <c r="T235" s="63">
        <v>77.1434076522252</v>
      </c>
      <c r="U235" s="60">
        <v>82.1522566992732</v>
      </c>
      <c r="V235" s="60">
        <v>20.0823248769977</v>
      </c>
      <c r="W235" s="60">
        <v>60.6544521228517</v>
      </c>
      <c r="X235" s="60">
        <v>1.41547969942373</v>
      </c>
      <c r="Y235" s="60">
        <v>24.4452504214354</v>
      </c>
      <c r="Z235" s="60">
        <v>73.8317540623182</v>
      </c>
      <c r="AA235" s="60">
        <v>1.72299551624643</v>
      </c>
      <c r="AB235" s="60">
        <v>5.008849047048</v>
      </c>
      <c r="AC235" s="60">
        <v>0</v>
      </c>
      <c r="AD235" s="124">
        <v>3.0092</v>
      </c>
      <c r="AE235" s="124">
        <v>3.0092</v>
      </c>
      <c r="AF235" s="124">
        <v>0</v>
      </c>
      <c r="AG235" s="60">
        <v>953.161530065509</v>
      </c>
      <c r="AH235" s="60">
        <v>180.0816</v>
      </c>
      <c r="AI235" s="60">
        <v>156.829003051061</v>
      </c>
      <c r="AK235" s="55">
        <v>233.01761</v>
      </c>
      <c r="AL235" s="60">
        <v>71</v>
      </c>
      <c r="AM235" s="60">
        <v>0.8</v>
      </c>
      <c r="AN235" s="60">
        <v>8.2</v>
      </c>
      <c r="AO235" s="60">
        <v>1.7</v>
      </c>
      <c r="AP235" s="60">
        <v>0</v>
      </c>
      <c r="AQ235" s="60">
        <v>0</v>
      </c>
      <c r="AR235" s="60">
        <v>0</v>
      </c>
      <c r="AS235" s="60">
        <v>30.8</v>
      </c>
      <c r="AT235" s="60">
        <f t="shared" si="51"/>
        <v>41.5</v>
      </c>
      <c r="AU235" s="60">
        <f t="shared" si="52"/>
        <v>36.8888888888889</v>
      </c>
      <c r="AV235" s="97">
        <v>0</v>
      </c>
      <c r="AW235" s="53" t="s">
        <v>845</v>
      </c>
      <c r="AX235" s="53" t="s">
        <v>248</v>
      </c>
      <c r="AY235" s="53" t="s">
        <v>846</v>
      </c>
      <c r="AZ235" s="53" t="s">
        <v>203</v>
      </c>
      <c r="BA235" s="53" t="s">
        <v>204</v>
      </c>
      <c r="BB235" s="53" t="s">
        <v>847</v>
      </c>
      <c r="BC235" s="56">
        <v>9</v>
      </c>
      <c r="BD235" s="56">
        <v>18</v>
      </c>
      <c r="BE235" s="59">
        <f>U235/((VLOOKUP(B235,'Cell-Characteristics'!$B$4:$E$34,3,FALSE)*VLOOKUP(B235,'Cell-Characteristics'!$B$4:$E$34,4,FALSE)*3600)/1000)</f>
        <v>1.40864637687368</v>
      </c>
      <c r="BF235" s="90">
        <f t="shared" si="48"/>
        <v>6673.64245546914</v>
      </c>
      <c r="BG235" s="90">
        <f t="shared" si="46"/>
        <v>20156.3379379409</v>
      </c>
      <c r="BH235" s="90" t="e">
        <f t="shared" si="47"/>
        <v>#DIV/0!</v>
      </c>
      <c r="BI235" s="90">
        <f t="shared" si="49"/>
        <v>40950.5466731722</v>
      </c>
      <c r="BJ235" s="90">
        <f>BF235/((VLOOKUP(B235,'Cell-Characteristics'!$B$4:$Q$34,13,FALSE)))</f>
        <v>181.655029001828</v>
      </c>
      <c r="BK235" s="90">
        <f>BG235/((VLOOKUP(B235,'Cell-Characteristics'!$B$4:$Q$34,14,FALSE)))</f>
        <v>7924.95790592941</v>
      </c>
      <c r="BL235" s="90" t="e">
        <f>BH235/((VLOOKUP(B235,'Cell-Characteristics'!$B$4:$Q$34,15,FALSE)))</f>
        <v>#DIV/0!</v>
      </c>
      <c r="BM235" s="90">
        <f>BI235/((VLOOKUP(B235,'Cell-Characteristics'!$B$4:$Q$34,16,FALSE)))</f>
        <v>979.097250271901</v>
      </c>
      <c r="BN235" s="50">
        <f t="shared" si="50"/>
        <v>2.00613333333333</v>
      </c>
    </row>
    <row r="236" spans="2:66">
      <c r="B236" s="90" t="s">
        <v>152</v>
      </c>
      <c r="C236" s="91" t="s">
        <v>848</v>
      </c>
      <c r="D236" s="90" t="s">
        <v>193</v>
      </c>
      <c r="E236" s="92" t="s">
        <v>194</v>
      </c>
      <c r="F236" s="93" t="s">
        <v>195</v>
      </c>
      <c r="G236" s="93"/>
      <c r="H236" s="94">
        <v>43811</v>
      </c>
      <c r="I236" s="95" t="s">
        <v>849</v>
      </c>
      <c r="J236" s="95">
        <v>100</v>
      </c>
      <c r="K236" s="96">
        <v>4.081</v>
      </c>
      <c r="L236" s="97">
        <v>112.5</v>
      </c>
      <c r="M236" s="97">
        <v>49.9</v>
      </c>
      <c r="N236" s="97">
        <v>46.4</v>
      </c>
      <c r="O236" s="96" t="s">
        <v>844</v>
      </c>
      <c r="P236" s="96" t="s">
        <v>838</v>
      </c>
      <c r="Q236" s="98" t="s">
        <v>381</v>
      </c>
      <c r="R236" s="99">
        <v>65.7574671421473</v>
      </c>
      <c r="S236" s="100">
        <v>0.031</v>
      </c>
      <c r="T236" s="100">
        <v>74.6542344618943</v>
      </c>
      <c r="U236" s="97">
        <v>78.0486373818223</v>
      </c>
      <c r="V236" s="97">
        <v>27.5547891014991</v>
      </c>
      <c r="W236" s="97">
        <v>50.1851499378341</v>
      </c>
      <c r="X236" s="97">
        <v>0.30869834248911</v>
      </c>
      <c r="Y236" s="97">
        <v>35.3046382689529</v>
      </c>
      <c r="Z236" s="97">
        <v>64.2998412545282</v>
      </c>
      <c r="AA236" s="97">
        <v>0.395520476518923</v>
      </c>
      <c r="AB236" s="97">
        <v>3.394402919928</v>
      </c>
      <c r="AC236" s="97">
        <v>0</v>
      </c>
      <c r="AD236" s="120">
        <v>2</v>
      </c>
      <c r="AE236" s="120">
        <v>2</v>
      </c>
      <c r="AF236" s="120">
        <v>2</v>
      </c>
      <c r="AG236" s="97">
        <v>964.013646581218</v>
      </c>
      <c r="AH236" s="97">
        <v>70.0241</v>
      </c>
      <c r="AI236" s="97">
        <v>67.2489661368296</v>
      </c>
      <c r="AJ236" s="97"/>
      <c r="AK236" s="92">
        <v>135.520755</v>
      </c>
      <c r="AL236" s="97">
        <v>74.3</v>
      </c>
      <c r="AM236" s="97">
        <v>0.1</v>
      </c>
      <c r="AN236" s="97">
        <v>5.4</v>
      </c>
      <c r="AO236" s="97">
        <v>0</v>
      </c>
      <c r="AP236" s="97">
        <v>0</v>
      </c>
      <c r="AQ236" s="97">
        <v>0</v>
      </c>
      <c r="AR236" s="97">
        <v>0</v>
      </c>
      <c r="AS236" s="97">
        <v>32.7</v>
      </c>
      <c r="AT236" s="97">
        <f t="shared" si="51"/>
        <v>38.2</v>
      </c>
      <c r="AU236" s="97">
        <f t="shared" si="52"/>
        <v>33.9555555555556</v>
      </c>
      <c r="AV236" s="97">
        <v>0</v>
      </c>
      <c r="AW236" s="90" t="s">
        <v>850</v>
      </c>
      <c r="AX236" s="90" t="s">
        <v>134</v>
      </c>
      <c r="AY236" s="90" t="s">
        <v>851</v>
      </c>
      <c r="AZ236" s="90" t="s">
        <v>203</v>
      </c>
      <c r="BA236" s="90" t="s">
        <v>204</v>
      </c>
      <c r="BB236" s="90" t="s">
        <v>852</v>
      </c>
      <c r="BC236" s="93">
        <v>5</v>
      </c>
      <c r="BD236" s="93">
        <v>6.17283950617284</v>
      </c>
      <c r="BE236" s="59">
        <f>U236/((VLOOKUP(B236,'Cell-Characteristics'!$B$4:$E$34,3,FALSE)*VLOOKUP(B236,'Cell-Characteristics'!$B$4:$E$34,4,FALSE)*3600)/1000)</f>
        <v>1.33828253398186</v>
      </c>
      <c r="BF236" s="90">
        <f t="shared" si="48"/>
        <v>13777.3945507496</v>
      </c>
      <c r="BG236" s="90">
        <f t="shared" si="46"/>
        <v>25092.574968917</v>
      </c>
      <c r="BH236" s="90">
        <f t="shared" si="47"/>
        <v>154.349171244555</v>
      </c>
      <c r="BI236" s="90">
        <f t="shared" si="49"/>
        <v>39024.3186909112</v>
      </c>
      <c r="BJ236" s="90">
        <f>BF236/((VLOOKUP(B236,'Cell-Characteristics'!$B$4:$Q$34,13,FALSE)))</f>
        <v>375.017544524731</v>
      </c>
      <c r="BK236" s="90">
        <f>BG236/((VLOOKUP(B236,'Cell-Characteristics'!$B$4:$Q$34,14,FALSE)))</f>
        <v>9865.76038724425</v>
      </c>
      <c r="BL236" s="90">
        <f>BH236/((VLOOKUP(B236,'Cell-Characteristics'!$B$4:$Q$34,15,FALSE)))</f>
        <v>60.6861568155048</v>
      </c>
      <c r="BM236" s="90">
        <f>BI236/((VLOOKUP(B236,'Cell-Characteristics'!$B$4:$Q$34,16,FALSE)))</f>
        <v>933.042565437519</v>
      </c>
      <c r="BN236" s="50">
        <f t="shared" si="50"/>
        <v>2</v>
      </c>
    </row>
    <row r="237" spans="2:66">
      <c r="B237" s="90" t="s">
        <v>152</v>
      </c>
      <c r="C237" s="91" t="s">
        <v>853</v>
      </c>
      <c r="D237" s="90" t="s">
        <v>193</v>
      </c>
      <c r="E237" s="92" t="s">
        <v>194</v>
      </c>
      <c r="F237" s="93" t="s">
        <v>195</v>
      </c>
      <c r="G237" s="93"/>
      <c r="H237" s="94">
        <v>43811</v>
      </c>
      <c r="I237" s="95" t="s">
        <v>854</v>
      </c>
      <c r="J237" s="95">
        <v>100</v>
      </c>
      <c r="K237" s="96">
        <v>4.082</v>
      </c>
      <c r="L237" s="97">
        <v>112.3</v>
      </c>
      <c r="M237" s="97">
        <v>48.3</v>
      </c>
      <c r="N237" s="97">
        <v>49.7</v>
      </c>
      <c r="O237" s="96" t="s">
        <v>838</v>
      </c>
      <c r="P237" s="96" t="s">
        <v>838</v>
      </c>
      <c r="Q237" s="98" t="s">
        <v>381</v>
      </c>
      <c r="R237" s="99">
        <v>57.5401817865942</v>
      </c>
      <c r="S237" s="100">
        <v>0.043</v>
      </c>
      <c r="T237" s="100">
        <v>67.6186935436002</v>
      </c>
      <c r="U237" s="97">
        <v>71.4174989029392</v>
      </c>
      <c r="V237" s="97">
        <v>18.9430178841042</v>
      </c>
      <c r="W237" s="97">
        <v>51.560186550365</v>
      </c>
      <c r="X237" s="97">
        <v>0.914294468470107</v>
      </c>
      <c r="Y237" s="97">
        <v>26.5243367173203</v>
      </c>
      <c r="Z237" s="97">
        <v>72.1954525744992</v>
      </c>
      <c r="AA237" s="97">
        <v>1.28021070818048</v>
      </c>
      <c r="AB237" s="97">
        <v>3.798805359339</v>
      </c>
      <c r="AC237" s="97">
        <v>0</v>
      </c>
      <c r="AD237" s="120">
        <v>2</v>
      </c>
      <c r="AE237" s="120">
        <v>2</v>
      </c>
      <c r="AF237" s="120">
        <v>2</v>
      </c>
      <c r="AG237" s="97">
        <v>934.78933072204</v>
      </c>
      <c r="AH237" s="97">
        <v>153.8615</v>
      </c>
      <c r="AI237" s="97">
        <v>143.630923318735</v>
      </c>
      <c r="AJ237" s="97"/>
      <c r="AK237" s="92">
        <v>299.43232</v>
      </c>
      <c r="AL237" s="97">
        <v>73.7</v>
      </c>
      <c r="AM237" s="97">
        <v>1.1</v>
      </c>
      <c r="AN237" s="97">
        <v>5.8</v>
      </c>
      <c r="AO237" s="97">
        <v>0.91</v>
      </c>
      <c r="AP237" s="97">
        <v>0</v>
      </c>
      <c r="AQ237" s="97">
        <v>0</v>
      </c>
      <c r="AR237" s="97">
        <v>0</v>
      </c>
      <c r="AS237" s="97">
        <v>30.79</v>
      </c>
      <c r="AT237" s="97">
        <f t="shared" si="51"/>
        <v>38.6</v>
      </c>
      <c r="AU237" s="97">
        <f t="shared" si="52"/>
        <v>34.3722172751558</v>
      </c>
      <c r="AV237" s="97">
        <v>0</v>
      </c>
      <c r="AW237" s="90" t="s">
        <v>855</v>
      </c>
      <c r="AX237" s="90" t="s">
        <v>134</v>
      </c>
      <c r="AY237" s="90" t="s">
        <v>856</v>
      </c>
      <c r="AZ237" s="90" t="s">
        <v>212</v>
      </c>
      <c r="BA237" s="90" t="s">
        <v>204</v>
      </c>
      <c r="BB237" s="90" t="s">
        <v>857</v>
      </c>
      <c r="BC237" s="93">
        <v>4</v>
      </c>
      <c r="BD237" s="93">
        <v>4.93827160493827</v>
      </c>
      <c r="BE237" s="59">
        <f>U237/((VLOOKUP(B237,'Cell-Characteristics'!$B$4:$E$34,3,FALSE)*VLOOKUP(B237,'Cell-Characteristics'!$B$4:$E$34,4,FALSE)*3600)/1000)</f>
        <v>1.224579885167</v>
      </c>
      <c r="BF237" s="90">
        <f t="shared" si="48"/>
        <v>9471.50894205208</v>
      </c>
      <c r="BG237" s="90">
        <f t="shared" si="46"/>
        <v>25780.0932751825</v>
      </c>
      <c r="BH237" s="90">
        <f t="shared" si="47"/>
        <v>457.147234235054</v>
      </c>
      <c r="BI237" s="90">
        <f t="shared" si="49"/>
        <v>35708.7494514696</v>
      </c>
      <c r="BJ237" s="90">
        <f>BF237/((VLOOKUP(B237,'Cell-Characteristics'!$B$4:$Q$34,13,FALSE)))</f>
        <v>257.812318091678</v>
      </c>
      <c r="BK237" s="90">
        <f>BG237/((VLOOKUP(B237,'Cell-Characteristics'!$B$4:$Q$34,14,FALSE)))</f>
        <v>10136.0750472527</v>
      </c>
      <c r="BL237" s="90">
        <f>BH237/((VLOOKUP(B237,'Cell-Characteristics'!$B$4:$Q$34,15,FALSE)))</f>
        <v>179.73863105884</v>
      </c>
      <c r="BM237" s="90">
        <f>BI237/((VLOOKUP(B237,'Cell-Characteristics'!$B$4:$Q$34,16,FALSE)))</f>
        <v>853.769759842716</v>
      </c>
      <c r="BN237" s="50">
        <f t="shared" si="50"/>
        <v>2</v>
      </c>
    </row>
    <row r="238" spans="2:66">
      <c r="B238" s="90" t="s">
        <v>152</v>
      </c>
      <c r="C238" s="91" t="s">
        <v>858</v>
      </c>
      <c r="D238" s="90" t="s">
        <v>193</v>
      </c>
      <c r="E238" s="92" t="s">
        <v>194</v>
      </c>
      <c r="F238" s="93" t="s">
        <v>195</v>
      </c>
      <c r="G238" s="93"/>
      <c r="H238" s="94">
        <v>43811</v>
      </c>
      <c r="I238" s="95" t="s">
        <v>859</v>
      </c>
      <c r="J238" s="95">
        <v>100</v>
      </c>
      <c r="K238" s="96">
        <v>4.079</v>
      </c>
      <c r="L238" s="97">
        <v>111.892</v>
      </c>
      <c r="M238" s="97">
        <v>47.8</v>
      </c>
      <c r="N238" s="97">
        <v>48.3</v>
      </c>
      <c r="O238" s="96" t="s">
        <v>844</v>
      </c>
      <c r="P238" s="96" t="s">
        <v>838</v>
      </c>
      <c r="Q238" s="98" t="s">
        <v>381</v>
      </c>
      <c r="R238" s="99">
        <v>67.3903457345821</v>
      </c>
      <c r="S238" s="100">
        <v>0.034</v>
      </c>
      <c r="T238" s="100">
        <v>75.046180150322</v>
      </c>
      <c r="U238" s="97">
        <v>75.3998831644249</v>
      </c>
      <c r="V238" s="97">
        <v>36.3648392432864</v>
      </c>
      <c r="W238" s="97">
        <v>1.19550730231368</v>
      </c>
      <c r="X238" s="97">
        <v>37.8395366188248</v>
      </c>
      <c r="Y238" s="97">
        <v>48.2293044990341</v>
      </c>
      <c r="Z238" s="97">
        <v>1.58555590823216</v>
      </c>
      <c r="AA238" s="97">
        <v>50.1851395927337</v>
      </c>
      <c r="AB238" s="97">
        <v>0.35370301410288</v>
      </c>
      <c r="AC238" s="97">
        <v>0</v>
      </c>
      <c r="AD238" s="120">
        <v>2</v>
      </c>
      <c r="AE238" s="120">
        <v>2</v>
      </c>
      <c r="AF238" s="120">
        <v>2</v>
      </c>
      <c r="AG238" s="97">
        <v>965.386030546163</v>
      </c>
      <c r="AH238" s="97">
        <v>86.2912</v>
      </c>
      <c r="AI238" s="97">
        <v>83.0894327827844</v>
      </c>
      <c r="AJ238" s="97"/>
      <c r="AK238" s="92">
        <v>160.44802</v>
      </c>
      <c r="AL238" s="97">
        <v>97.1</v>
      </c>
      <c r="AM238" s="97">
        <v>2.2</v>
      </c>
      <c r="AN238" s="97">
        <v>5.4</v>
      </c>
      <c r="AO238" s="97">
        <v>0</v>
      </c>
      <c r="AP238" s="97">
        <v>0</v>
      </c>
      <c r="AQ238" s="97">
        <v>0</v>
      </c>
      <c r="AR238" s="97">
        <v>0</v>
      </c>
      <c r="AS238" s="97">
        <v>7.19199999999999</v>
      </c>
      <c r="AT238" s="97">
        <f t="shared" si="51"/>
        <v>14.792</v>
      </c>
      <c r="AU238" s="97">
        <f t="shared" si="52"/>
        <v>13.2198906088013</v>
      </c>
      <c r="AV238" s="97">
        <v>0</v>
      </c>
      <c r="AW238" s="90" t="s">
        <v>860</v>
      </c>
      <c r="AX238" s="90" t="s">
        <v>134</v>
      </c>
      <c r="AY238" s="90" t="s">
        <v>861</v>
      </c>
      <c r="AZ238" s="90" t="s">
        <v>203</v>
      </c>
      <c r="BA238" s="90" t="s">
        <v>204</v>
      </c>
      <c r="BB238" s="90" t="s">
        <v>862</v>
      </c>
      <c r="BC238" s="93">
        <v>4</v>
      </c>
      <c r="BD238" s="93">
        <v>4.93827160493827</v>
      </c>
      <c r="BE238" s="59">
        <f>U238/((VLOOKUP(B238,'Cell-Characteristics'!$B$4:$E$34,3,FALSE)*VLOOKUP(B238,'Cell-Characteristics'!$B$4:$E$34,4,FALSE)*3600)/1000)</f>
        <v>1.29286493766161</v>
      </c>
      <c r="BF238" s="90">
        <f t="shared" si="48"/>
        <v>18182.4196216432</v>
      </c>
      <c r="BG238" s="90">
        <f t="shared" si="46"/>
        <v>597.753651156842</v>
      </c>
      <c r="BH238" s="90">
        <f t="shared" si="47"/>
        <v>18919.7683094124</v>
      </c>
      <c r="BI238" s="90">
        <f t="shared" si="49"/>
        <v>37699.9415822124</v>
      </c>
      <c r="BJ238" s="90">
        <f>BF238/((VLOOKUP(B238,'Cell-Characteristics'!$B$4:$Q$34,13,FALSE)))</f>
        <v>494.921324558855</v>
      </c>
      <c r="BK238" s="90">
        <f>BG238/((VLOOKUP(B238,'Cell-Characteristics'!$B$4:$Q$34,14,FALSE)))</f>
        <v>235.021487440765</v>
      </c>
      <c r="BL238" s="90">
        <f>BH238/((VLOOKUP(B238,'Cell-Characteristics'!$B$4:$Q$34,15,FALSE)))</f>
        <v>7438.77027184571</v>
      </c>
      <c r="BM238" s="90">
        <f>BI238/((VLOOKUP(B238,'Cell-Characteristics'!$B$4:$Q$34,16,FALSE)))</f>
        <v>901.377689366415</v>
      </c>
      <c r="BN238" s="50">
        <f t="shared" si="50"/>
        <v>2</v>
      </c>
    </row>
    <row r="239" spans="2:66">
      <c r="B239" s="90" t="s">
        <v>152</v>
      </c>
      <c r="C239" s="91" t="s">
        <v>863</v>
      </c>
      <c r="D239" s="90" t="s">
        <v>193</v>
      </c>
      <c r="E239" s="92" t="s">
        <v>194</v>
      </c>
      <c r="F239" s="93" t="s">
        <v>195</v>
      </c>
      <c r="G239" s="93"/>
      <c r="H239" s="94">
        <v>43811</v>
      </c>
      <c r="I239" s="95" t="s">
        <v>864</v>
      </c>
      <c r="J239" s="95">
        <v>100</v>
      </c>
      <c r="K239" s="96">
        <v>4.073</v>
      </c>
      <c r="L239" s="97">
        <v>112.384</v>
      </c>
      <c r="M239" s="97">
        <v>50.5</v>
      </c>
      <c r="N239" s="97">
        <v>48.3</v>
      </c>
      <c r="O239" s="96" t="s">
        <v>838</v>
      </c>
      <c r="P239" s="96" t="s">
        <v>838</v>
      </c>
      <c r="Q239" s="98" t="s">
        <v>381</v>
      </c>
      <c r="R239" s="99">
        <v>55.9502304913194</v>
      </c>
      <c r="S239" s="100">
        <v>0.041</v>
      </c>
      <c r="T239" s="100">
        <v>66.7573553597314</v>
      </c>
      <c r="U239" s="97">
        <v>69.77017736243</v>
      </c>
      <c r="V239" s="97">
        <v>21.0057344490742</v>
      </c>
      <c r="W239" s="97">
        <v>48.0035547890793</v>
      </c>
      <c r="X239" s="97">
        <v>0.760888124276473</v>
      </c>
      <c r="Y239" s="97">
        <v>30.1070389142875</v>
      </c>
      <c r="Z239" s="97">
        <v>68.8023975340048</v>
      </c>
      <c r="AA239" s="97">
        <v>1.09056355170769</v>
      </c>
      <c r="AB239" s="97">
        <v>3.01282200269856</v>
      </c>
      <c r="AC239" s="97">
        <v>0</v>
      </c>
      <c r="AD239" s="120">
        <v>2</v>
      </c>
      <c r="AE239" s="120">
        <v>2</v>
      </c>
      <c r="AF239" s="120">
        <v>2</v>
      </c>
      <c r="AG239" s="97">
        <v>970.840062629387</v>
      </c>
      <c r="AH239" s="97">
        <v>132.6893</v>
      </c>
      <c r="AI239" s="97">
        <v>128.589657371066</v>
      </c>
      <c r="AJ239" s="97"/>
      <c r="AK239" s="92">
        <v>236.34</v>
      </c>
      <c r="AL239" s="97">
        <v>72.7</v>
      </c>
      <c r="AM239" s="97">
        <v>1.5</v>
      </c>
      <c r="AN239" s="97">
        <v>10.3</v>
      </c>
      <c r="AO239" s="97">
        <v>0.7</v>
      </c>
      <c r="AP239" s="97">
        <v>0</v>
      </c>
      <c r="AQ239" s="97">
        <v>0</v>
      </c>
      <c r="AR239" s="97">
        <v>0</v>
      </c>
      <c r="AS239" s="97">
        <v>27.184</v>
      </c>
      <c r="AT239" s="97">
        <f t="shared" si="51"/>
        <v>39.684</v>
      </c>
      <c r="AU239" s="97">
        <f t="shared" si="52"/>
        <v>35.311076309795</v>
      </c>
      <c r="AV239" s="97">
        <v>0</v>
      </c>
      <c r="AW239" s="90" t="s">
        <v>865</v>
      </c>
      <c r="AX239" s="90" t="s">
        <v>134</v>
      </c>
      <c r="AY239" s="90" t="s">
        <v>866</v>
      </c>
      <c r="AZ239" s="90" t="s">
        <v>212</v>
      </c>
      <c r="BA239" s="90" t="s">
        <v>204</v>
      </c>
      <c r="BB239" s="90" t="s">
        <v>857</v>
      </c>
      <c r="BC239" s="93">
        <v>8</v>
      </c>
      <c r="BD239" s="93">
        <v>9.87654320987654</v>
      </c>
      <c r="BE239" s="59">
        <f>U239/((VLOOKUP(B239,'Cell-Characteristics'!$B$4:$E$34,3,FALSE)*VLOOKUP(B239,'Cell-Characteristics'!$B$4:$E$34,4,FALSE)*3600)/1000)</f>
        <v>1.19633363104304</v>
      </c>
      <c r="BF239" s="90">
        <f t="shared" si="48"/>
        <v>10502.8672245371</v>
      </c>
      <c r="BG239" s="90">
        <f t="shared" si="46"/>
        <v>24001.7773945397</v>
      </c>
      <c r="BH239" s="90">
        <f t="shared" si="47"/>
        <v>380.444062138237</v>
      </c>
      <c r="BI239" s="90">
        <f t="shared" si="49"/>
        <v>34885.088681215</v>
      </c>
      <c r="BJ239" s="90">
        <f>BF239/((VLOOKUP(B239,'Cell-Characteristics'!$B$4:$Q$34,13,FALSE)))</f>
        <v>285.885655847817</v>
      </c>
      <c r="BK239" s="90">
        <f>BG239/((VLOOKUP(B239,'Cell-Characteristics'!$B$4:$Q$34,14,FALSE)))</f>
        <v>9436.88660632998</v>
      </c>
      <c r="BL239" s="90">
        <f>BH239/((VLOOKUP(B239,'Cell-Characteristics'!$B$4:$Q$34,15,FALSE)))</f>
        <v>149.580900423935</v>
      </c>
      <c r="BM239" s="90">
        <f>BI239/((VLOOKUP(B239,'Cell-Characteristics'!$B$4:$Q$34,16,FALSE)))</f>
        <v>834.076640682442</v>
      </c>
      <c r="BN239" s="50">
        <f t="shared" si="50"/>
        <v>2</v>
      </c>
    </row>
    <row r="240" spans="2:66">
      <c r="B240" s="90" t="s">
        <v>152</v>
      </c>
      <c r="C240" s="91" t="s">
        <v>867</v>
      </c>
      <c r="D240" s="90" t="s">
        <v>193</v>
      </c>
      <c r="E240" s="92" t="s">
        <v>194</v>
      </c>
      <c r="F240" s="93" t="s">
        <v>195</v>
      </c>
      <c r="G240" s="93"/>
      <c r="H240" s="94">
        <v>43811</v>
      </c>
      <c r="I240" s="95" t="s">
        <v>868</v>
      </c>
      <c r="J240" s="95">
        <v>100</v>
      </c>
      <c r="K240" s="96">
        <v>4.093</v>
      </c>
      <c r="L240" s="97">
        <v>112.227</v>
      </c>
      <c r="M240" s="97">
        <v>51.2</v>
      </c>
      <c r="N240" s="97">
        <v>48.3</v>
      </c>
      <c r="O240" s="96" t="s">
        <v>844</v>
      </c>
      <c r="P240" s="96" t="s">
        <v>838</v>
      </c>
      <c r="Q240" s="98" t="s">
        <v>381</v>
      </c>
      <c r="R240" s="99">
        <v>60.158624715879</v>
      </c>
      <c r="S240" s="100">
        <v>0.042</v>
      </c>
      <c r="T240" s="100">
        <v>69.7747081664034</v>
      </c>
      <c r="U240" s="97">
        <v>73.6329878780766</v>
      </c>
      <c r="V240" s="97">
        <v>20.6041424111172</v>
      </c>
      <c r="W240" s="97">
        <v>52.08015397776</v>
      </c>
      <c r="X240" s="97">
        <v>0.948691489199383</v>
      </c>
      <c r="Y240" s="97">
        <v>27.9822169449841</v>
      </c>
      <c r="Z240" s="97">
        <v>70.7293775230141</v>
      </c>
      <c r="AA240" s="97">
        <v>1.28840553200184</v>
      </c>
      <c r="AB240" s="97">
        <v>3.85827971167314</v>
      </c>
      <c r="AC240" s="97">
        <v>0</v>
      </c>
      <c r="AD240" s="120">
        <v>2</v>
      </c>
      <c r="AE240" s="120">
        <v>2</v>
      </c>
      <c r="AF240" s="120">
        <v>2</v>
      </c>
      <c r="AG240" s="97">
        <v>971.643808041497</v>
      </c>
      <c r="AH240" s="97">
        <v>140.3226</v>
      </c>
      <c r="AI240" s="97">
        <v>136.133944800697</v>
      </c>
      <c r="AJ240" s="97"/>
      <c r="AK240" s="92">
        <v>249.8878</v>
      </c>
      <c r="AL240" s="97">
        <v>71.1</v>
      </c>
      <c r="AM240" s="97">
        <v>0.1</v>
      </c>
      <c r="AN240" s="97">
        <v>10.5</v>
      </c>
      <c r="AO240" s="97">
        <v>1.9</v>
      </c>
      <c r="AP240" s="97">
        <v>0</v>
      </c>
      <c r="AQ240" s="97">
        <v>0.1</v>
      </c>
      <c r="AR240" s="97">
        <v>0</v>
      </c>
      <c r="AS240" s="97">
        <v>28.527</v>
      </c>
      <c r="AT240" s="97">
        <f t="shared" si="51"/>
        <v>41.127</v>
      </c>
      <c r="AU240" s="97">
        <f t="shared" si="52"/>
        <v>36.6462615948034</v>
      </c>
      <c r="AV240" s="97">
        <v>0</v>
      </c>
      <c r="AW240" s="90" t="s">
        <v>869</v>
      </c>
      <c r="AX240" s="90" t="s">
        <v>134</v>
      </c>
      <c r="AY240" s="90" t="s">
        <v>870</v>
      </c>
      <c r="AZ240" s="90" t="s">
        <v>203</v>
      </c>
      <c r="BA240" s="90" t="s">
        <v>204</v>
      </c>
      <c r="BB240" s="90" t="s">
        <v>871</v>
      </c>
      <c r="BC240" s="93">
        <v>8</v>
      </c>
      <c r="BD240" s="93">
        <v>9.87654320987654</v>
      </c>
      <c r="BE240" s="59">
        <f>U240/((VLOOKUP(B240,'Cell-Characteristics'!$B$4:$E$34,3,FALSE)*VLOOKUP(B240,'Cell-Characteristics'!$B$4:$E$34,4,FALSE)*3600)/1000)</f>
        <v>1.26256837925371</v>
      </c>
      <c r="BF240" s="90">
        <f t="shared" si="48"/>
        <v>10302.0712055586</v>
      </c>
      <c r="BG240" s="90">
        <f t="shared" si="46"/>
        <v>26040.07698888</v>
      </c>
      <c r="BH240" s="90">
        <f t="shared" si="47"/>
        <v>474.345744599691</v>
      </c>
      <c r="BI240" s="90">
        <f t="shared" si="49"/>
        <v>36816.4939390383</v>
      </c>
      <c r="BJ240" s="90">
        <f>BF240/((VLOOKUP(B240,'Cell-Characteristics'!$B$4:$Q$34,13,FALSE)))</f>
        <v>280.420033903822</v>
      </c>
      <c r="BK240" s="90">
        <f>BG240/((VLOOKUP(B240,'Cell-Characteristics'!$B$4:$Q$34,14,FALSE)))</f>
        <v>10238.2940115121</v>
      </c>
      <c r="BL240" s="90">
        <f>BH240/((VLOOKUP(B240,'Cell-Characteristics'!$B$4:$Q$34,15,FALSE)))</f>
        <v>186.500646614646</v>
      </c>
      <c r="BM240" s="90">
        <f>BI240/((VLOOKUP(B240,'Cell-Characteristics'!$B$4:$Q$34,16,FALSE)))</f>
        <v>880.255110342148</v>
      </c>
      <c r="BN240" s="50">
        <f t="shared" si="50"/>
        <v>2</v>
      </c>
    </row>
    <row r="241" spans="2:66">
      <c r="B241" s="90" t="s">
        <v>152</v>
      </c>
      <c r="C241" s="91" t="s">
        <v>872</v>
      </c>
      <c r="D241" s="90" t="s">
        <v>193</v>
      </c>
      <c r="E241" s="92" t="s">
        <v>194</v>
      </c>
      <c r="F241" s="93" t="s">
        <v>195</v>
      </c>
      <c r="G241" s="93"/>
      <c r="H241" s="94">
        <v>43811</v>
      </c>
      <c r="I241" s="95" t="s">
        <v>873</v>
      </c>
      <c r="J241" s="95">
        <v>100</v>
      </c>
      <c r="K241" s="96">
        <v>4.09</v>
      </c>
      <c r="L241" s="97">
        <v>112.134</v>
      </c>
      <c r="M241" s="97">
        <v>50.4</v>
      </c>
      <c r="N241" s="97">
        <v>49.7</v>
      </c>
      <c r="O241" s="96" t="s">
        <v>838</v>
      </c>
      <c r="P241" s="96" t="s">
        <v>838</v>
      </c>
      <c r="Q241" s="98" t="s">
        <v>381</v>
      </c>
      <c r="R241" s="99">
        <v>60.5365405685451</v>
      </c>
      <c r="S241" s="100">
        <v>0.047</v>
      </c>
      <c r="T241" s="100">
        <v>70.9748232000446</v>
      </c>
      <c r="U241" s="97">
        <v>74.473789297673</v>
      </c>
      <c r="V241" s="97">
        <v>21.0616149748138</v>
      </c>
      <c r="W241" s="97">
        <v>52.515948951241</v>
      </c>
      <c r="X241" s="97">
        <v>0.896225371618198</v>
      </c>
      <c r="Y241" s="97">
        <v>28.2805738413956</v>
      </c>
      <c r="Z241" s="97">
        <v>70.5160156969237</v>
      </c>
      <c r="AA241" s="97">
        <v>1.20341046168065</v>
      </c>
      <c r="AB241" s="97">
        <v>3.4989660976284</v>
      </c>
      <c r="AC241" s="97">
        <v>0</v>
      </c>
      <c r="AD241" s="120">
        <v>2</v>
      </c>
      <c r="AE241" s="120">
        <v>2</v>
      </c>
      <c r="AF241" s="120">
        <v>2</v>
      </c>
      <c r="AG241" s="97">
        <v>935.779194068786</v>
      </c>
      <c r="AH241" s="97">
        <v>145.6429</v>
      </c>
      <c r="AI241" s="97">
        <v>136.029306674884</v>
      </c>
      <c r="AJ241" s="97"/>
      <c r="AK241" s="92">
        <v>259.549745</v>
      </c>
      <c r="AL241" s="97">
        <v>70.9</v>
      </c>
      <c r="AM241" s="97">
        <v>1.1</v>
      </c>
      <c r="AN241" s="97">
        <v>7.8</v>
      </c>
      <c r="AO241" s="97">
        <v>3.3</v>
      </c>
      <c r="AP241" s="97">
        <v>0</v>
      </c>
      <c r="AQ241" s="97">
        <v>0</v>
      </c>
      <c r="AR241" s="97">
        <v>0</v>
      </c>
      <c r="AS241" s="97">
        <v>29.034</v>
      </c>
      <c r="AT241" s="97">
        <f t="shared" si="51"/>
        <v>41.234</v>
      </c>
      <c r="AU241" s="97">
        <f t="shared" si="52"/>
        <v>36.7720762658962</v>
      </c>
      <c r="AV241" s="97">
        <v>0</v>
      </c>
      <c r="AW241" s="90" t="s">
        <v>874</v>
      </c>
      <c r="AX241" s="90" t="s">
        <v>134</v>
      </c>
      <c r="AY241" s="90" t="s">
        <v>875</v>
      </c>
      <c r="AZ241" s="90" t="s">
        <v>212</v>
      </c>
      <c r="BA241" s="90" t="s">
        <v>204</v>
      </c>
      <c r="BB241" s="90" t="s">
        <v>857</v>
      </c>
      <c r="BC241" s="93">
        <v>5</v>
      </c>
      <c r="BD241" s="93">
        <v>6.17283950617284</v>
      </c>
      <c r="BE241" s="59">
        <f>U241/((VLOOKUP(B241,'Cell-Characteristics'!$B$4:$E$34,3,FALSE)*VLOOKUP(B241,'Cell-Characteristics'!$B$4:$E$34,4,FALSE)*3600)/1000)</f>
        <v>1.27698541319741</v>
      </c>
      <c r="BF241" s="90">
        <f t="shared" si="48"/>
        <v>10530.8074874069</v>
      </c>
      <c r="BG241" s="90">
        <f t="shared" si="46"/>
        <v>26257.9744756205</v>
      </c>
      <c r="BH241" s="90">
        <f t="shared" si="47"/>
        <v>448.112685809099</v>
      </c>
      <c r="BI241" s="90">
        <f t="shared" si="49"/>
        <v>37236.8946488365</v>
      </c>
      <c r="BJ241" s="90">
        <f>BF241/((VLOOKUP(B241,'Cell-Characteristics'!$B$4:$Q$34,13,FALSE)))</f>
        <v>286.646183445122</v>
      </c>
      <c r="BK241" s="90">
        <f>BG241/((VLOOKUP(B241,'Cell-Characteristics'!$B$4:$Q$34,14,FALSE)))</f>
        <v>10323.9657449164</v>
      </c>
      <c r="BL241" s="90">
        <f>BH241/((VLOOKUP(B241,'Cell-Characteristics'!$B$4:$Q$34,15,FALSE)))</f>
        <v>176.186477081505</v>
      </c>
      <c r="BM241" s="90">
        <f>BI241/((VLOOKUP(B241,'Cell-Characteristics'!$B$4:$Q$34,16,FALSE)))</f>
        <v>890.30658003951</v>
      </c>
      <c r="BN241" s="50">
        <f t="shared" si="50"/>
        <v>2</v>
      </c>
    </row>
    <row r="242" spans="2:66">
      <c r="B242" s="53" t="s">
        <v>152</v>
      </c>
      <c r="C242" s="107" t="s">
        <v>876</v>
      </c>
      <c r="D242" s="53" t="s">
        <v>244</v>
      </c>
      <c r="E242" s="55" t="s">
        <v>228</v>
      </c>
      <c r="F242" s="56" t="s">
        <v>245</v>
      </c>
      <c r="H242" s="57">
        <v>43511</v>
      </c>
      <c r="I242" s="58">
        <v>7483</v>
      </c>
      <c r="J242" s="58">
        <v>100</v>
      </c>
      <c r="K242" s="59">
        <v>4.044</v>
      </c>
      <c r="L242" s="97">
        <v>112.35</v>
      </c>
      <c r="M242" s="97">
        <v>47.5</v>
      </c>
      <c r="N242" s="97">
        <v>47.5</v>
      </c>
      <c r="O242" s="55" t="s">
        <v>838</v>
      </c>
      <c r="P242" s="55" t="s">
        <v>838</v>
      </c>
      <c r="Q242" s="61" t="s">
        <v>381</v>
      </c>
      <c r="R242" s="62">
        <v>57.8653254378712</v>
      </c>
      <c r="S242" s="63">
        <v>0.031</v>
      </c>
      <c r="T242" s="63">
        <v>65.493473652011</v>
      </c>
      <c r="U242" s="60">
        <v>68.806894134779</v>
      </c>
      <c r="V242" s="60">
        <v>27.5487011550644</v>
      </c>
      <c r="W242" s="60">
        <v>40.3439888534611</v>
      </c>
      <c r="X242" s="60">
        <v>0.914204126253533</v>
      </c>
      <c r="Y242" s="60">
        <v>40.0377047990307</v>
      </c>
      <c r="Z242" s="60">
        <v>58.6336432719013</v>
      </c>
      <c r="AA242" s="60">
        <v>1.32865192906802</v>
      </c>
      <c r="AB242" s="60">
        <v>3.313420482768</v>
      </c>
      <c r="AC242" s="60">
        <v>0</v>
      </c>
      <c r="AD242" s="124">
        <v>6.0201</v>
      </c>
      <c r="AE242" s="124">
        <v>6.0201</v>
      </c>
      <c r="AF242" s="124">
        <v>0</v>
      </c>
      <c r="AG242" s="97">
        <v>822.14471233081</v>
      </c>
      <c r="AH242" s="97">
        <v>173.6868</v>
      </c>
      <c r="AI242" s="97">
        <v>143.6838230045</v>
      </c>
      <c r="AJ242" s="97"/>
      <c r="AK242" s="92">
        <v>241.20787</v>
      </c>
      <c r="AL242" s="97">
        <v>74.1</v>
      </c>
      <c r="AM242" s="97">
        <v>1.4</v>
      </c>
      <c r="AN242" s="97">
        <v>7.5</v>
      </c>
      <c r="AO242" s="97">
        <v>3.5</v>
      </c>
      <c r="AP242" s="97">
        <v>0</v>
      </c>
      <c r="AQ242" s="97">
        <v>0</v>
      </c>
      <c r="AR242" s="97">
        <v>0</v>
      </c>
      <c r="AS242" s="97">
        <v>25.85</v>
      </c>
      <c r="AT242" s="60">
        <f t="shared" si="51"/>
        <v>38.25</v>
      </c>
      <c r="AU242" s="60">
        <f t="shared" si="52"/>
        <v>34.045393858478</v>
      </c>
      <c r="AV242" s="97">
        <v>0</v>
      </c>
      <c r="AW242" s="53" t="s">
        <v>877</v>
      </c>
      <c r="AX242" s="53" t="s">
        <v>248</v>
      </c>
      <c r="AY242" s="53" t="s">
        <v>878</v>
      </c>
      <c r="AZ242" s="53" t="s">
        <v>212</v>
      </c>
      <c r="BA242" s="90" t="s">
        <v>204</v>
      </c>
      <c r="BB242" s="53" t="s">
        <v>600</v>
      </c>
      <c r="BC242" s="56">
        <v>3</v>
      </c>
      <c r="BD242" s="56">
        <v>6</v>
      </c>
      <c r="BE242" s="59">
        <f>U242/((VLOOKUP(B242,'Cell-Characteristics'!$B$4:$E$34,3,FALSE)*VLOOKUP(B242,'Cell-Characteristics'!$B$4:$E$34,4,FALSE)*3600)/1000)</f>
        <v>1.17981642892282</v>
      </c>
      <c r="BF242" s="90">
        <f t="shared" si="48"/>
        <v>4576.12018987465</v>
      </c>
      <c r="BG242" s="90">
        <f t="shared" si="46"/>
        <v>6701.54795658895</v>
      </c>
      <c r="BH242" s="90" t="e">
        <f t="shared" si="47"/>
        <v>#DIV/0!</v>
      </c>
      <c r="BI242" s="90">
        <f t="shared" si="49"/>
        <v>17144.2901616532</v>
      </c>
      <c r="BJ242" s="90">
        <f>BF242/((VLOOKUP(B242,'Cell-Characteristics'!$B$4:$Q$34,13,FALSE)))</f>
        <v>124.560950238844</v>
      </c>
      <c r="BK242" s="90">
        <f>BG242/((VLOOKUP(B242,'Cell-Characteristics'!$B$4:$Q$34,14,FALSE)))</f>
        <v>2634.87770566523</v>
      </c>
      <c r="BL242" s="90" t="e">
        <f>BH242/((VLOOKUP(B242,'Cell-Characteristics'!$B$4:$Q$34,15,FALSE)))</f>
        <v>#DIV/0!</v>
      </c>
      <c r="BM242" s="90">
        <f>BI242/((VLOOKUP(B242,'Cell-Characteristics'!$B$4:$Q$34,16,FALSE)))</f>
        <v>409.907283756365</v>
      </c>
      <c r="BN242" s="50">
        <f t="shared" si="50"/>
        <v>4.0134</v>
      </c>
    </row>
    <row r="243" spans="2:66">
      <c r="B243" s="53" t="s">
        <v>152</v>
      </c>
      <c r="C243" s="107" t="s">
        <v>879</v>
      </c>
      <c r="D243" s="53" t="s">
        <v>244</v>
      </c>
      <c r="E243" s="55" t="s">
        <v>228</v>
      </c>
      <c r="F243" s="56" t="s">
        <v>245</v>
      </c>
      <c r="H243" s="57">
        <v>43512</v>
      </c>
      <c r="I243" s="58">
        <v>7487</v>
      </c>
      <c r="J243" s="58">
        <v>100</v>
      </c>
      <c r="K243" s="59">
        <v>4.043</v>
      </c>
      <c r="L243" s="97">
        <v>112.676</v>
      </c>
      <c r="M243" s="97">
        <v>50.3</v>
      </c>
      <c r="N243" s="97">
        <v>47.5</v>
      </c>
      <c r="O243" s="55" t="s">
        <v>838</v>
      </c>
      <c r="P243" s="55" t="s">
        <v>838</v>
      </c>
      <c r="Q243" s="61" t="s">
        <v>381</v>
      </c>
      <c r="R243" s="62">
        <v>63.7957173667837</v>
      </c>
      <c r="S243" s="63">
        <v>0.035</v>
      </c>
      <c r="T243" s="63">
        <v>71.9429092465466</v>
      </c>
      <c r="U243" s="60">
        <v>75.4847282347382</v>
      </c>
      <c r="V243" s="60">
        <v>20.1892539600257</v>
      </c>
      <c r="W243" s="60">
        <v>53.5162313631986</v>
      </c>
      <c r="X243" s="60">
        <v>1.77924291151389</v>
      </c>
      <c r="Y243" s="60">
        <v>26.7461437991037</v>
      </c>
      <c r="Z243" s="60">
        <v>70.8967662926159</v>
      </c>
      <c r="AA243" s="60">
        <v>2.35708990828039</v>
      </c>
      <c r="AB243" s="60">
        <v>3.5418189881916</v>
      </c>
      <c r="AC243" s="60">
        <v>0</v>
      </c>
      <c r="AD243" s="124">
        <v>9.4385</v>
      </c>
      <c r="AE243" s="124">
        <v>9.4385</v>
      </c>
      <c r="AF243" s="124">
        <v>0</v>
      </c>
      <c r="AG243" s="97">
        <v>974.782250092214</v>
      </c>
      <c r="AH243" s="97">
        <v>115.2488</v>
      </c>
      <c r="AI243" s="97">
        <v>112.247582303802</v>
      </c>
      <c r="AJ243" s="97"/>
      <c r="AK243" s="92">
        <v>219.40193</v>
      </c>
      <c r="AL243" s="97">
        <v>75</v>
      </c>
      <c r="AM243" s="97">
        <v>1.1</v>
      </c>
      <c r="AN243" s="97">
        <v>8.5</v>
      </c>
      <c r="AO243" s="97">
        <v>0.8</v>
      </c>
      <c r="AP243" s="97">
        <v>0</v>
      </c>
      <c r="AQ243" s="97">
        <v>0</v>
      </c>
      <c r="AR243" s="97">
        <v>0</v>
      </c>
      <c r="AS243" s="97">
        <v>27.276</v>
      </c>
      <c r="AT243" s="60">
        <f t="shared" si="51"/>
        <v>37.676</v>
      </c>
      <c r="AU243" s="60">
        <f t="shared" si="52"/>
        <v>33.4374667187334</v>
      </c>
      <c r="AV243" s="97">
        <v>0</v>
      </c>
      <c r="AW243" s="53" t="s">
        <v>880</v>
      </c>
      <c r="AX243" s="53" t="s">
        <v>248</v>
      </c>
      <c r="AY243" s="53" t="s">
        <v>881</v>
      </c>
      <c r="AZ243" s="53" t="s">
        <v>212</v>
      </c>
      <c r="BA243" s="90" t="s">
        <v>204</v>
      </c>
      <c r="BB243" s="53" t="s">
        <v>882</v>
      </c>
      <c r="BC243" s="56">
        <v>5</v>
      </c>
      <c r="BD243" s="56">
        <v>10</v>
      </c>
      <c r="BE243" s="59">
        <f>U243/((VLOOKUP(B243,'Cell-Characteristics'!$B$4:$E$34,3,FALSE)*VLOOKUP(B243,'Cell-Characteristics'!$B$4:$E$34,4,FALSE)*3600)/1000)</f>
        <v>1.29431975711142</v>
      </c>
      <c r="BF243" s="90">
        <f t="shared" si="48"/>
        <v>2139.03204534891</v>
      </c>
      <c r="BG243" s="90">
        <f t="shared" si="46"/>
        <v>5669.99325774208</v>
      </c>
      <c r="BH243" s="90" t="e">
        <f t="shared" si="47"/>
        <v>#DIV/0!</v>
      </c>
      <c r="BI243" s="90">
        <f t="shared" si="49"/>
        <v>11996.301568269</v>
      </c>
      <c r="BJ243" s="90">
        <f>BF243/((VLOOKUP(B243,'Cell-Characteristics'!$B$4:$Q$34,13,FALSE)))</f>
        <v>58.2239655220457</v>
      </c>
      <c r="BK243" s="90">
        <f>BG243/((VLOOKUP(B243,'Cell-Characteristics'!$B$4:$Q$34,14,FALSE)))</f>
        <v>2229.2967121735</v>
      </c>
      <c r="BL243" s="90" t="e">
        <f>BH243/((VLOOKUP(B243,'Cell-Characteristics'!$B$4:$Q$34,15,FALSE)))</f>
        <v>#DIV/0!</v>
      </c>
      <c r="BM243" s="90">
        <f>BI243/((VLOOKUP(B243,'Cell-Characteristics'!$B$4:$Q$34,16,FALSE)))</f>
        <v>286.822688172306</v>
      </c>
      <c r="BN243" s="50">
        <f t="shared" si="50"/>
        <v>6.29233333333333</v>
      </c>
    </row>
    <row r="244" spans="2:66">
      <c r="B244" s="53" t="s">
        <v>152</v>
      </c>
      <c r="C244" s="107" t="s">
        <v>883</v>
      </c>
      <c r="D244" s="53" t="s">
        <v>244</v>
      </c>
      <c r="E244" s="55" t="s">
        <v>228</v>
      </c>
      <c r="F244" s="56" t="s">
        <v>245</v>
      </c>
      <c r="H244" s="57">
        <v>43512</v>
      </c>
      <c r="I244" s="58">
        <v>7500</v>
      </c>
      <c r="J244" s="58">
        <v>100</v>
      </c>
      <c r="K244" s="59">
        <v>4.031</v>
      </c>
      <c r="L244" s="97">
        <v>112.592</v>
      </c>
      <c r="M244" s="97">
        <v>50.6</v>
      </c>
      <c r="N244" s="97">
        <v>47.5</v>
      </c>
      <c r="O244" s="55" t="s">
        <v>838</v>
      </c>
      <c r="P244" s="55" t="s">
        <v>838</v>
      </c>
      <c r="Q244" s="61" t="s">
        <v>381</v>
      </c>
      <c r="R244" s="62">
        <v>47.2163140841646</v>
      </c>
      <c r="S244" s="63">
        <v>0.05</v>
      </c>
      <c r="T244" s="63">
        <v>58.4313521234698</v>
      </c>
      <c r="U244" s="60">
        <v>63.4396367417245</v>
      </c>
      <c r="V244" s="60">
        <v>11.7075245939365</v>
      </c>
      <c r="W244" s="60">
        <v>50.5977217914922</v>
      </c>
      <c r="X244" s="60">
        <v>1.13439035629571</v>
      </c>
      <c r="Y244" s="60">
        <v>18.454589583481</v>
      </c>
      <c r="Z244" s="60">
        <v>79.7572690989479</v>
      </c>
      <c r="AA244" s="60">
        <v>1.78814131757097</v>
      </c>
      <c r="AB244" s="60">
        <v>5.00828461825464</v>
      </c>
      <c r="AC244" s="60">
        <v>0</v>
      </c>
      <c r="AD244" s="124">
        <v>2.5026</v>
      </c>
      <c r="AE244" s="124">
        <v>2.5026</v>
      </c>
      <c r="AF244" s="124">
        <v>0</v>
      </c>
      <c r="AG244" s="97">
        <v>1072.80531297752</v>
      </c>
      <c r="AH244" s="97">
        <v>212.9935</v>
      </c>
      <c r="AI244" s="97">
        <v>228.720611794527</v>
      </c>
      <c r="AJ244" s="97"/>
      <c r="AK244" s="92">
        <v>314.55889375</v>
      </c>
      <c r="AL244" s="97">
        <v>69</v>
      </c>
      <c r="AM244" s="97">
        <v>1.4</v>
      </c>
      <c r="AN244" s="97">
        <v>6.5</v>
      </c>
      <c r="AO244" s="97">
        <v>3.8</v>
      </c>
      <c r="AP244" s="97">
        <v>0.1</v>
      </c>
      <c r="AQ244" s="97">
        <v>0.1</v>
      </c>
      <c r="AR244" s="97">
        <v>0</v>
      </c>
      <c r="AS244" s="97">
        <v>31.692</v>
      </c>
      <c r="AT244" s="60">
        <f t="shared" si="51"/>
        <v>43.592</v>
      </c>
      <c r="AU244" s="60">
        <f t="shared" si="52"/>
        <v>38.7167827199091</v>
      </c>
      <c r="AV244" s="97">
        <v>0</v>
      </c>
      <c r="AW244" s="53" t="s">
        <v>884</v>
      </c>
      <c r="AX244" s="53" t="s">
        <v>248</v>
      </c>
      <c r="AY244" s="53" t="s">
        <v>885</v>
      </c>
      <c r="AZ244" s="53" t="s">
        <v>212</v>
      </c>
      <c r="BA244" s="53" t="s">
        <v>204</v>
      </c>
      <c r="BB244" s="53" t="s">
        <v>886</v>
      </c>
      <c r="BC244" s="56">
        <v>10</v>
      </c>
      <c r="BD244" s="56">
        <v>20</v>
      </c>
      <c r="BE244" s="59">
        <f>U244/((VLOOKUP(B244,'Cell-Characteristics'!$B$4:$E$34,3,FALSE)*VLOOKUP(B244,'Cell-Characteristics'!$B$4:$E$34,4,FALSE)*3600)/1000)</f>
        <v>1.08778526649047</v>
      </c>
      <c r="BF244" s="90">
        <f t="shared" si="48"/>
        <v>4678.14456722469</v>
      </c>
      <c r="BG244" s="90">
        <f t="shared" si="46"/>
        <v>20218.0619321874</v>
      </c>
      <c r="BH244" s="90" t="e">
        <f t="shared" si="47"/>
        <v>#DIV/0!</v>
      </c>
      <c r="BI244" s="90">
        <f t="shared" si="49"/>
        <v>38024.2368387224</v>
      </c>
      <c r="BJ244" s="90">
        <f>BF244/((VLOOKUP(B244,'Cell-Characteristics'!$B$4:$Q$34,13,FALSE)))</f>
        <v>127.33803057392</v>
      </c>
      <c r="BK244" s="90">
        <f>BG244/((VLOOKUP(B244,'Cell-Characteristics'!$B$4:$Q$34,14,FALSE)))</f>
        <v>7949.22620593985</v>
      </c>
      <c r="BL244" s="90" t="e">
        <f>BH244/((VLOOKUP(B244,'Cell-Characteristics'!$B$4:$Q$34,15,FALSE)))</f>
        <v>#DIV/0!</v>
      </c>
      <c r="BM244" s="90">
        <f>BI244/((VLOOKUP(B244,'Cell-Characteristics'!$B$4:$Q$34,16,FALSE)))</f>
        <v>909.131348834242</v>
      </c>
      <c r="BN244" s="50">
        <f t="shared" si="50"/>
        <v>1.6684</v>
      </c>
    </row>
    <row r="245" spans="2:66">
      <c r="B245" s="53" t="s">
        <v>152</v>
      </c>
      <c r="C245" s="107" t="s">
        <v>887</v>
      </c>
      <c r="D245" s="53" t="s">
        <v>244</v>
      </c>
      <c r="E245" s="55" t="s">
        <v>228</v>
      </c>
      <c r="F245" s="56" t="s">
        <v>245</v>
      </c>
      <c r="H245" s="57">
        <v>43512</v>
      </c>
      <c r="I245" s="58">
        <v>7485</v>
      </c>
      <c r="J245" s="58">
        <v>100</v>
      </c>
      <c r="K245" s="59">
        <v>4.017</v>
      </c>
      <c r="L245" s="97">
        <v>112.644</v>
      </c>
      <c r="M245" s="97">
        <v>47.5</v>
      </c>
      <c r="N245" s="97">
        <v>47.5</v>
      </c>
      <c r="O245" s="55" t="s">
        <v>844</v>
      </c>
      <c r="P245" s="55" t="s">
        <v>838</v>
      </c>
      <c r="Q245" s="61" t="s">
        <v>381</v>
      </c>
      <c r="R245" s="62">
        <v>53.4081403165172</v>
      </c>
      <c r="S245" s="63">
        <v>0.037</v>
      </c>
      <c r="T245" s="63">
        <v>65.48365651039</v>
      </c>
      <c r="U245" s="60">
        <v>66.4527782241955</v>
      </c>
      <c r="V245" s="60">
        <v>15.7199549550299</v>
      </c>
      <c r="W245" s="60">
        <v>49.4166500535271</v>
      </c>
      <c r="X245" s="60">
        <v>1.31617321563846</v>
      </c>
      <c r="Y245" s="60">
        <v>23.6558280558183</v>
      </c>
      <c r="Z245" s="60">
        <v>74.3635576631685</v>
      </c>
      <c r="AA245" s="60">
        <v>1.98061428101323</v>
      </c>
      <c r="AB245" s="60">
        <v>0.969121713805441</v>
      </c>
      <c r="AC245" s="60">
        <v>0</v>
      </c>
      <c r="AD245" s="124">
        <v>8.512</v>
      </c>
      <c r="AE245" s="124">
        <v>8.512</v>
      </c>
      <c r="AF245" s="124">
        <v>0</v>
      </c>
      <c r="AG245" s="97">
        <v>984.895934085964</v>
      </c>
      <c r="AH245" s="97">
        <v>180.2247</v>
      </c>
      <c r="AI245" s="97">
        <v>177.75253475622</v>
      </c>
      <c r="AJ245" s="97"/>
      <c r="AK245" s="92">
        <v>238.29554</v>
      </c>
      <c r="AL245" s="97">
        <v>75.9</v>
      </c>
      <c r="AM245" s="97">
        <v>4.6</v>
      </c>
      <c r="AN245" s="97">
        <v>9.24</v>
      </c>
      <c r="AO245" s="97">
        <v>8.8</v>
      </c>
      <c r="AP245" s="60">
        <v>3.7</v>
      </c>
      <c r="AQ245" s="60">
        <v>2.5</v>
      </c>
      <c r="AR245" s="60">
        <v>0</v>
      </c>
      <c r="AS245" s="60">
        <v>7.90400000000001</v>
      </c>
      <c r="AT245" s="60">
        <f t="shared" si="51"/>
        <v>36.744</v>
      </c>
      <c r="AU245" s="60">
        <f t="shared" si="52"/>
        <v>32.619580270587</v>
      </c>
      <c r="AV245" s="97">
        <v>0</v>
      </c>
      <c r="AW245" s="53" t="s">
        <v>888</v>
      </c>
      <c r="AX245" s="53" t="s">
        <v>248</v>
      </c>
      <c r="AY245" s="53" t="s">
        <v>889</v>
      </c>
      <c r="AZ245" s="53" t="s">
        <v>203</v>
      </c>
      <c r="BA245" s="53" t="s">
        <v>204</v>
      </c>
      <c r="BB245" s="53" t="s">
        <v>890</v>
      </c>
      <c r="BC245" s="56">
        <v>11</v>
      </c>
      <c r="BD245" s="56">
        <v>22</v>
      </c>
      <c r="BE245" s="59">
        <f>U245/((VLOOKUP(B245,'Cell-Characteristics'!$B$4:$E$34,3,FALSE)*VLOOKUP(B245,'Cell-Characteristics'!$B$4:$E$34,4,FALSE)*3600)/1000)</f>
        <v>1.13945092977016</v>
      </c>
      <c r="BF245" s="90">
        <f t="shared" si="48"/>
        <v>1846.79921934092</v>
      </c>
      <c r="BG245" s="90">
        <f t="shared" si="46"/>
        <v>5805.52749688993</v>
      </c>
      <c r="BH245" s="90" t="e">
        <f t="shared" si="47"/>
        <v>#DIV/0!</v>
      </c>
      <c r="BI245" s="90">
        <f t="shared" si="49"/>
        <v>11710.4284934555</v>
      </c>
      <c r="BJ245" s="90">
        <f>BF245/((VLOOKUP(B245,'Cell-Characteristics'!$B$4:$Q$34,13,FALSE)))</f>
        <v>50.2694544978203</v>
      </c>
      <c r="BK245" s="90">
        <f>BG245/((VLOOKUP(B245,'Cell-Characteristics'!$B$4:$Q$34,14,FALSE)))</f>
        <v>2282.58531764171</v>
      </c>
      <c r="BL245" s="90" t="e">
        <f>BH245/((VLOOKUP(B245,'Cell-Characteristics'!$B$4:$Q$34,15,FALSE)))</f>
        <v>#DIV/0!</v>
      </c>
      <c r="BM245" s="90">
        <f>BI245/((VLOOKUP(B245,'Cell-Characteristics'!$B$4:$Q$34,16,FALSE)))</f>
        <v>279.987674620213</v>
      </c>
      <c r="BN245" s="50">
        <f t="shared" si="50"/>
        <v>5.67466666666667</v>
      </c>
    </row>
    <row r="246" spans="2:66">
      <c r="B246" s="53" t="s">
        <v>152</v>
      </c>
      <c r="C246" s="107" t="s">
        <v>891</v>
      </c>
      <c r="D246" s="53" t="s">
        <v>193</v>
      </c>
      <c r="E246" s="55" t="s">
        <v>228</v>
      </c>
      <c r="F246" s="56" t="s">
        <v>195</v>
      </c>
      <c r="H246" s="57">
        <v>43811</v>
      </c>
      <c r="I246" s="58" t="s">
        <v>892</v>
      </c>
      <c r="J246" s="58">
        <v>100</v>
      </c>
      <c r="K246" s="59">
        <v>4.076</v>
      </c>
      <c r="L246" s="60">
        <v>111.5</v>
      </c>
      <c r="M246" s="60">
        <v>51.5</v>
      </c>
      <c r="N246" s="60">
        <v>46.4</v>
      </c>
      <c r="O246" s="55" t="s">
        <v>844</v>
      </c>
      <c r="P246" s="55" t="s">
        <v>838</v>
      </c>
      <c r="Q246" s="61" t="s">
        <v>381</v>
      </c>
      <c r="R246" s="62">
        <v>58.3932557528975</v>
      </c>
      <c r="S246" s="63">
        <v>0.046</v>
      </c>
      <c r="T246" s="63">
        <v>68.9661535070712</v>
      </c>
      <c r="U246" s="60">
        <v>72.2532161334672</v>
      </c>
      <c r="V246" s="60">
        <v>22.9722279992411</v>
      </c>
      <c r="W246" s="60">
        <v>48.2605403484146</v>
      </c>
      <c r="X246" s="60">
        <v>1.02044778581138</v>
      </c>
      <c r="Y246" s="60">
        <v>31.7940559999523</v>
      </c>
      <c r="Z246" s="60">
        <v>66.7936223894409</v>
      </c>
      <c r="AA246" s="60">
        <v>1.41232161060678</v>
      </c>
      <c r="AB246" s="60">
        <v>3.287062626396</v>
      </c>
      <c r="AC246" s="60">
        <v>0</v>
      </c>
      <c r="AD246" s="120">
        <v>2</v>
      </c>
      <c r="AE246" s="120">
        <v>2</v>
      </c>
      <c r="AF246" s="120">
        <v>2</v>
      </c>
      <c r="AG246" s="60">
        <v>968.273615772221</v>
      </c>
      <c r="AH246" s="60">
        <v>157.4866</v>
      </c>
      <c r="AI246" s="60">
        <v>152.295998248924</v>
      </c>
      <c r="AK246" s="55">
        <v>314.44486</v>
      </c>
      <c r="AL246" s="60">
        <v>73</v>
      </c>
      <c r="AM246" s="60">
        <v>0.2</v>
      </c>
      <c r="AN246" s="60">
        <v>9.7</v>
      </c>
      <c r="AO246" s="60">
        <v>0.8</v>
      </c>
      <c r="AP246" s="60">
        <v>0</v>
      </c>
      <c r="AQ246" s="60">
        <v>0</v>
      </c>
      <c r="AR246" s="60">
        <v>0</v>
      </c>
      <c r="AS246" s="60">
        <v>27.8</v>
      </c>
      <c r="AT246" s="60">
        <f t="shared" si="51"/>
        <v>38.5</v>
      </c>
      <c r="AU246" s="60">
        <f t="shared" si="52"/>
        <v>34.5291479820628</v>
      </c>
      <c r="AV246" s="97">
        <v>0</v>
      </c>
      <c r="AW246" s="53" t="s">
        <v>893</v>
      </c>
      <c r="AX246" s="53" t="s">
        <v>134</v>
      </c>
      <c r="AY246" s="53" t="s">
        <v>894</v>
      </c>
      <c r="AZ246" s="53" t="s">
        <v>203</v>
      </c>
      <c r="BA246" s="53" t="s">
        <v>204</v>
      </c>
      <c r="BB246" s="53" t="s">
        <v>857</v>
      </c>
      <c r="BC246" s="56">
        <v>9</v>
      </c>
      <c r="BD246" s="56">
        <v>11.1111111111111</v>
      </c>
      <c r="BE246" s="59">
        <f>U246/((VLOOKUP(B246,'Cell-Characteristics'!$B$4:$E$34,3,FALSE)*VLOOKUP(B246,'Cell-Characteristics'!$B$4:$E$34,4,FALSE)*3600)/1000)</f>
        <v>1.23890974165753</v>
      </c>
      <c r="BF246" s="90">
        <f t="shared" si="48"/>
        <v>11486.1139996206</v>
      </c>
      <c r="BG246" s="90">
        <f t="shared" si="46"/>
        <v>24130.2701742073</v>
      </c>
      <c r="BH246" s="90">
        <f t="shared" si="47"/>
        <v>510.223892905689</v>
      </c>
      <c r="BI246" s="90">
        <f t="shared" si="49"/>
        <v>36126.6080667336</v>
      </c>
      <c r="BJ246" s="90">
        <f>BF246/((VLOOKUP(B246,'Cell-Characteristics'!$B$4:$Q$34,13,FALSE)))</f>
        <v>312.64940932061</v>
      </c>
      <c r="BK246" s="90">
        <f>BG246/((VLOOKUP(B246,'Cell-Characteristics'!$B$4:$Q$34,14,FALSE)))</f>
        <v>9487.4066895523</v>
      </c>
      <c r="BL246" s="90">
        <f>BH246/((VLOOKUP(B246,'Cell-Characteristics'!$B$4:$Q$34,15,FALSE)))</f>
        <v>200.607019307104</v>
      </c>
      <c r="BM246" s="90">
        <f>BI246/((VLOOKUP(B246,'Cell-Characteristics'!$B$4:$Q$34,16,FALSE)))</f>
        <v>863.760449941986</v>
      </c>
      <c r="BN246" s="50">
        <f t="shared" si="50"/>
        <v>2</v>
      </c>
    </row>
    <row r="247" spans="2:66">
      <c r="B247" s="53" t="s">
        <v>152</v>
      </c>
      <c r="C247" s="53" t="s">
        <v>895</v>
      </c>
      <c r="D247" s="53" t="s">
        <v>193</v>
      </c>
      <c r="E247" s="55" t="s">
        <v>228</v>
      </c>
      <c r="F247" s="56" t="s">
        <v>195</v>
      </c>
      <c r="H247" s="57">
        <v>43811</v>
      </c>
      <c r="I247" s="58" t="s">
        <v>896</v>
      </c>
      <c r="J247" s="58">
        <v>100</v>
      </c>
      <c r="K247" s="59">
        <v>4.084</v>
      </c>
      <c r="L247" s="60">
        <v>111.519</v>
      </c>
      <c r="M247" s="60">
        <v>50.3</v>
      </c>
      <c r="N247" s="60">
        <v>49.7</v>
      </c>
      <c r="O247" s="55" t="s">
        <v>844</v>
      </c>
      <c r="P247" s="55" t="s">
        <v>838</v>
      </c>
      <c r="Q247" s="61" t="s">
        <v>381</v>
      </c>
      <c r="R247" s="62">
        <v>61.5839510491735</v>
      </c>
      <c r="S247" s="63">
        <v>0.049</v>
      </c>
      <c r="T247" s="63">
        <v>71.1605076485782</v>
      </c>
      <c r="U247" s="60">
        <v>73.6545563397673</v>
      </c>
      <c r="V247" s="60">
        <v>27.4479032055096</v>
      </c>
      <c r="W247" s="60">
        <v>44.9271122621004</v>
      </c>
      <c r="X247" s="60">
        <v>1.2795408721573</v>
      </c>
      <c r="Y247" s="60">
        <v>37.2657233571442</v>
      </c>
      <c r="Z247" s="60">
        <v>60.9970577446049</v>
      </c>
      <c r="AA247" s="60">
        <v>1.73721889825091</v>
      </c>
      <c r="AB247" s="60">
        <v>2.4940486911891</v>
      </c>
      <c r="AC247" s="60">
        <v>0</v>
      </c>
      <c r="AD247" s="120">
        <v>2</v>
      </c>
      <c r="AE247" s="120">
        <v>2</v>
      </c>
      <c r="AF247" s="120">
        <v>2</v>
      </c>
      <c r="AG247" s="60">
        <v>937.033846911009</v>
      </c>
      <c r="AH247" s="60">
        <v>166.8664</v>
      </c>
      <c r="AI247" s="60">
        <v>156.131678030839</v>
      </c>
      <c r="AK247" s="55">
        <v>275.61868</v>
      </c>
      <c r="AL247" s="60">
        <v>73.9</v>
      </c>
      <c r="AM247" s="60">
        <v>2.1</v>
      </c>
      <c r="AN247" s="60">
        <v>1.9</v>
      </c>
      <c r="AO247" s="60">
        <v>1.1</v>
      </c>
      <c r="AP247" s="60">
        <v>1.9</v>
      </c>
      <c r="AQ247" s="60">
        <v>1.9</v>
      </c>
      <c r="AR247" s="60">
        <v>4</v>
      </c>
      <c r="AS247" s="60">
        <v>24.719</v>
      </c>
      <c r="AT247" s="60">
        <f t="shared" si="51"/>
        <v>37.619</v>
      </c>
      <c r="AU247" s="60">
        <f t="shared" si="52"/>
        <v>33.7332651835113</v>
      </c>
      <c r="AV247" s="97">
        <v>0</v>
      </c>
      <c r="AW247" s="53" t="s">
        <v>897</v>
      </c>
      <c r="AX247" s="53" t="s">
        <v>134</v>
      </c>
      <c r="AY247" s="53" t="s">
        <v>898</v>
      </c>
      <c r="AZ247" s="53" t="s">
        <v>203</v>
      </c>
      <c r="BA247" s="102" t="s">
        <v>322</v>
      </c>
      <c r="BB247" s="53" t="s">
        <v>899</v>
      </c>
      <c r="BC247" s="56">
        <v>5</v>
      </c>
      <c r="BD247" s="56">
        <v>6.17283950617284</v>
      </c>
      <c r="BE247" s="59">
        <f>U247/((VLOOKUP(B247,'Cell-Characteristics'!$B$4:$E$34,3,FALSE)*VLOOKUP(B247,'Cell-Characteristics'!$B$4:$E$34,4,FALSE)*3600)/1000)</f>
        <v>1.26293820884375</v>
      </c>
      <c r="BF247" s="90">
        <f t="shared" si="48"/>
        <v>13723.9516027548</v>
      </c>
      <c r="BG247" s="90">
        <f t="shared" si="46"/>
        <v>22463.5561310502</v>
      </c>
      <c r="BH247" s="90">
        <f t="shared" si="47"/>
        <v>639.77043607865</v>
      </c>
      <c r="BI247" s="90">
        <f t="shared" si="49"/>
        <v>36827.2781698837</v>
      </c>
      <c r="BJ247" s="90">
        <f>BF247/((VLOOKUP(B247,'Cell-Characteristics'!$B$4:$Q$34,13,FALSE)))</f>
        <v>373.562839641647</v>
      </c>
      <c r="BK247" s="90">
        <f>BG247/((VLOOKUP(B247,'Cell-Characteristics'!$B$4:$Q$34,14,FALSE)))</f>
        <v>8832.09724425973</v>
      </c>
      <c r="BL247" s="90">
        <f>BH247/((VLOOKUP(B247,'Cell-Characteristics'!$B$4:$Q$34,15,FALSE)))</f>
        <v>251.54141545909</v>
      </c>
      <c r="BM247" s="90">
        <f>BI247/((VLOOKUP(B247,'Cell-Characteristics'!$B$4:$Q$34,16,FALSE)))</f>
        <v>880.51295331678</v>
      </c>
      <c r="BN247" s="50">
        <f t="shared" si="50"/>
        <v>2</v>
      </c>
    </row>
    <row r="248" spans="2:66">
      <c r="B248" s="53" t="s">
        <v>152</v>
      </c>
      <c r="C248" s="107" t="s">
        <v>900</v>
      </c>
      <c r="D248" s="53" t="s">
        <v>193</v>
      </c>
      <c r="E248" s="55" t="s">
        <v>228</v>
      </c>
      <c r="F248" s="56" t="s">
        <v>195</v>
      </c>
      <c r="H248" s="57">
        <v>43813</v>
      </c>
      <c r="I248" s="58" t="s">
        <v>901</v>
      </c>
      <c r="J248" s="58">
        <v>100</v>
      </c>
      <c r="K248" s="59">
        <v>4.088</v>
      </c>
      <c r="L248" s="60">
        <v>111.667</v>
      </c>
      <c r="M248" s="60">
        <v>53.6</v>
      </c>
      <c r="N248" s="60">
        <v>53.7</v>
      </c>
      <c r="O248" s="55" t="s">
        <v>838</v>
      </c>
      <c r="P248" s="55" t="s">
        <v>838</v>
      </c>
      <c r="Q248" s="61" t="s">
        <v>381</v>
      </c>
      <c r="R248" s="62">
        <v>55.9893751397812</v>
      </c>
      <c r="S248" s="63">
        <v>0.051</v>
      </c>
      <c r="T248" s="63">
        <v>65.9156881588741</v>
      </c>
      <c r="U248" s="60">
        <v>68.5923877858865</v>
      </c>
      <c r="V248" s="60">
        <v>25.1136073694526</v>
      </c>
      <c r="W248" s="60">
        <v>42.4957397646433</v>
      </c>
      <c r="X248" s="60">
        <v>0.98304065179054</v>
      </c>
      <c r="Y248" s="60">
        <v>36.6128198479482</v>
      </c>
      <c r="Z248" s="60">
        <v>61.9540172552313</v>
      </c>
      <c r="AA248" s="60">
        <v>1.43316289682047</v>
      </c>
      <c r="AB248" s="60">
        <v>2.67669962701236</v>
      </c>
      <c r="AC248" s="60">
        <v>0</v>
      </c>
      <c r="AD248" s="120">
        <v>2</v>
      </c>
      <c r="AE248" s="120">
        <v>2</v>
      </c>
      <c r="AF248" s="120">
        <v>2</v>
      </c>
      <c r="AG248" s="60">
        <v>941.954644837149</v>
      </c>
      <c r="AH248" s="60">
        <v>159.3364</v>
      </c>
      <c r="AI248" s="60">
        <v>149.855744401009</v>
      </c>
      <c r="AK248" s="55">
        <v>271.99343</v>
      </c>
      <c r="AL248" s="60">
        <v>73.4</v>
      </c>
      <c r="AM248" s="60">
        <v>1.7</v>
      </c>
      <c r="AN248" s="60">
        <v>6.9</v>
      </c>
      <c r="AO248" s="60">
        <v>1</v>
      </c>
      <c r="AP248" s="60">
        <v>0</v>
      </c>
      <c r="AQ248" s="60">
        <v>0</v>
      </c>
      <c r="AR248" s="60">
        <v>0</v>
      </c>
      <c r="AS248" s="60">
        <v>28.667</v>
      </c>
      <c r="AT248" s="60">
        <f t="shared" si="51"/>
        <v>38.267</v>
      </c>
      <c r="AU248" s="60">
        <f t="shared" si="52"/>
        <v>34.2688529287972</v>
      </c>
      <c r="AV248" s="97">
        <v>0</v>
      </c>
      <c r="AW248" s="53" t="s">
        <v>902</v>
      </c>
      <c r="AX248" s="53" t="s">
        <v>134</v>
      </c>
      <c r="AY248" s="53" t="s">
        <v>903</v>
      </c>
      <c r="AZ248" s="53" t="s">
        <v>212</v>
      </c>
      <c r="BA248" s="53" t="s">
        <v>204</v>
      </c>
      <c r="BB248" s="53" t="s">
        <v>857</v>
      </c>
      <c r="BC248" s="56">
        <v>6</v>
      </c>
      <c r="BD248" s="56">
        <v>7.40740740740741</v>
      </c>
      <c r="BE248" s="59">
        <f>U248/((VLOOKUP(B248,'Cell-Characteristics'!$B$4:$E$34,3,FALSE)*VLOOKUP(B248,'Cell-Characteristics'!$B$4:$E$34,4,FALSE)*3600)/1000)</f>
        <v>1.17613833652069</v>
      </c>
      <c r="BF248" s="90">
        <f t="shared" si="48"/>
        <v>12556.8036847263</v>
      </c>
      <c r="BG248" s="90">
        <f t="shared" si="46"/>
        <v>21247.8698823217</v>
      </c>
      <c r="BH248" s="90">
        <f t="shared" si="47"/>
        <v>491.52032589527</v>
      </c>
      <c r="BI248" s="90">
        <f t="shared" si="49"/>
        <v>34296.1938929432</v>
      </c>
      <c r="BJ248" s="90">
        <f>BF248/((VLOOKUP(B248,'Cell-Characteristics'!$B$4:$Q$34,13,FALSE)))</f>
        <v>341.793338905937</v>
      </c>
      <c r="BK248" s="90">
        <f>BG248/((VLOOKUP(B248,'Cell-Characteristics'!$B$4:$Q$34,14,FALSE)))</f>
        <v>8354.12042239587</v>
      </c>
      <c r="BL248" s="90">
        <f>BH248/((VLOOKUP(B248,'Cell-Characteristics'!$B$4:$Q$34,15,FALSE)))</f>
        <v>193.253253870909</v>
      </c>
      <c r="BM248" s="90">
        <f>BI248/((VLOOKUP(B248,'Cell-Characteristics'!$B$4:$Q$34,16,FALSE)))</f>
        <v>819.996602325492</v>
      </c>
      <c r="BN248" s="50">
        <f t="shared" si="50"/>
        <v>2</v>
      </c>
    </row>
    <row r="249" spans="2:66">
      <c r="B249" s="53" t="s">
        <v>152</v>
      </c>
      <c r="C249" s="107" t="s">
        <v>904</v>
      </c>
      <c r="D249" s="53" t="s">
        <v>193</v>
      </c>
      <c r="E249" s="55" t="s">
        <v>228</v>
      </c>
      <c r="F249" s="56" t="s">
        <v>195</v>
      </c>
      <c r="H249" s="57">
        <v>43813</v>
      </c>
      <c r="I249" s="58" t="s">
        <v>905</v>
      </c>
      <c r="J249" s="58">
        <v>100</v>
      </c>
      <c r="K249" s="59">
        <v>4.074</v>
      </c>
      <c r="L249" s="60">
        <v>111.49</v>
      </c>
      <c r="M249" s="60">
        <v>52.3</v>
      </c>
      <c r="N249" s="60">
        <v>52</v>
      </c>
      <c r="O249" s="55" t="s">
        <v>838</v>
      </c>
      <c r="P249" s="55" t="s">
        <v>838</v>
      </c>
      <c r="Q249" s="61" t="s">
        <v>381</v>
      </c>
      <c r="R249" s="62">
        <v>61.2776675573997</v>
      </c>
      <c r="S249" s="63">
        <v>0.048</v>
      </c>
      <c r="T249" s="63">
        <v>71.1897570453526</v>
      </c>
      <c r="U249" s="60">
        <v>75.5553229025002</v>
      </c>
      <c r="V249" s="60">
        <v>28.1816092557782</v>
      </c>
      <c r="W249" s="60">
        <v>46.23001897476</v>
      </c>
      <c r="X249" s="60">
        <v>1.14369467196199</v>
      </c>
      <c r="Y249" s="60">
        <v>37.2993035740776</v>
      </c>
      <c r="Z249" s="60">
        <v>61.1869782284131</v>
      </c>
      <c r="AA249" s="60">
        <v>1.51371819750921</v>
      </c>
      <c r="AB249" s="60">
        <v>4.3655658571476</v>
      </c>
      <c r="AC249" s="60">
        <v>0</v>
      </c>
      <c r="AD249" s="120">
        <v>2</v>
      </c>
      <c r="AE249" s="120">
        <v>2</v>
      </c>
      <c r="AF249" s="120">
        <v>2</v>
      </c>
      <c r="AG249" s="60">
        <v>977.904419102754</v>
      </c>
      <c r="AH249" s="60">
        <v>151.5288</v>
      </c>
      <c r="AI249" s="60">
        <v>147.919042105722</v>
      </c>
      <c r="AK249" s="55">
        <v>270.893315</v>
      </c>
      <c r="AL249" s="60">
        <v>72.3</v>
      </c>
      <c r="AM249" s="60">
        <v>0.8</v>
      </c>
      <c r="AN249" s="60">
        <v>5.8</v>
      </c>
      <c r="AO249" s="60">
        <v>1.3</v>
      </c>
      <c r="AP249" s="60">
        <v>0</v>
      </c>
      <c r="AQ249" s="60">
        <v>0</v>
      </c>
      <c r="AR249" s="60">
        <v>0</v>
      </c>
      <c r="AS249" s="60">
        <v>31.29</v>
      </c>
      <c r="AT249" s="60">
        <f t="shared" si="51"/>
        <v>39.19</v>
      </c>
      <c r="AU249" s="60">
        <f t="shared" si="52"/>
        <v>35.1511346309086</v>
      </c>
      <c r="AV249" s="97">
        <v>0</v>
      </c>
      <c r="AW249" s="53" t="s">
        <v>906</v>
      </c>
      <c r="AX249" s="53" t="s">
        <v>134</v>
      </c>
      <c r="AY249" s="53" t="s">
        <v>907</v>
      </c>
      <c r="AZ249" s="53" t="s">
        <v>212</v>
      </c>
      <c r="BA249" s="53" t="s">
        <v>204</v>
      </c>
      <c r="BB249" s="53" t="s">
        <v>134</v>
      </c>
      <c r="BC249" s="56">
        <v>9</v>
      </c>
      <c r="BD249" s="56">
        <v>11.1111111111111</v>
      </c>
      <c r="BE249" s="59">
        <f>U249/((VLOOKUP(B249,'Cell-Characteristics'!$B$4:$E$34,3,FALSE)*VLOOKUP(B249,'Cell-Characteristics'!$B$4:$E$34,4,FALSE)*3600)/1000)</f>
        <v>1.295530228095</v>
      </c>
      <c r="BF249" s="90">
        <f t="shared" si="48"/>
        <v>14090.8046278891</v>
      </c>
      <c r="BG249" s="90">
        <f t="shared" si="46"/>
        <v>23115.00948738</v>
      </c>
      <c r="BH249" s="90">
        <f t="shared" si="47"/>
        <v>571.847335980995</v>
      </c>
      <c r="BI249" s="90">
        <f t="shared" si="49"/>
        <v>37777.6614512501</v>
      </c>
      <c r="BJ249" s="90">
        <f>BF249/((VLOOKUP(B249,'Cell-Characteristics'!$B$4:$Q$34,13,FALSE)))</f>
        <v>383.548495505718</v>
      </c>
      <c r="BK249" s="90">
        <f>BG249/((VLOOKUP(B249,'Cell-Characteristics'!$B$4:$Q$34,14,FALSE)))</f>
        <v>9088.23208594009</v>
      </c>
      <c r="BL249" s="90">
        <f>BH249/((VLOOKUP(B249,'Cell-Characteristics'!$B$4:$Q$34,15,FALSE)))</f>
        <v>224.835785161986</v>
      </c>
      <c r="BM249" s="90">
        <f>BI249/((VLOOKUP(B249,'Cell-Characteristics'!$B$4:$Q$34,16,FALSE)))</f>
        <v>903.235913889609</v>
      </c>
      <c r="BN249" s="50">
        <f t="shared" si="50"/>
        <v>2</v>
      </c>
    </row>
    <row r="250" spans="2:66">
      <c r="B250" s="53" t="s">
        <v>152</v>
      </c>
      <c r="C250" s="107" t="s">
        <v>908</v>
      </c>
      <c r="D250" s="53" t="s">
        <v>193</v>
      </c>
      <c r="E250" s="55" t="s">
        <v>228</v>
      </c>
      <c r="F250" s="56" t="s">
        <v>195</v>
      </c>
      <c r="H250" s="57">
        <v>43813</v>
      </c>
      <c r="I250" s="58" t="s">
        <v>909</v>
      </c>
      <c r="J250" s="58">
        <v>100</v>
      </c>
      <c r="K250" s="59">
        <v>4.058</v>
      </c>
      <c r="L250" s="60">
        <v>111.701</v>
      </c>
      <c r="M250" s="60">
        <v>48.6</v>
      </c>
      <c r="N250" s="60">
        <v>52</v>
      </c>
      <c r="O250" s="55" t="s">
        <v>838</v>
      </c>
      <c r="P250" s="55" t="s">
        <v>838</v>
      </c>
      <c r="Q250" s="61" t="s">
        <v>381</v>
      </c>
      <c r="R250" s="62">
        <v>52.1611127374123</v>
      </c>
      <c r="S250" s="63">
        <v>0.053</v>
      </c>
      <c r="T250" s="63">
        <v>61.803018668099</v>
      </c>
      <c r="U250" s="60">
        <v>63.8686903614047</v>
      </c>
      <c r="V250" s="60">
        <v>25.014011344936</v>
      </c>
      <c r="W250" s="60">
        <v>37.5636590198123</v>
      </c>
      <c r="X250" s="60">
        <v>1.29101999665638</v>
      </c>
      <c r="Y250" s="60">
        <v>39.1647475521931</v>
      </c>
      <c r="Z250" s="60">
        <v>58.8138864399068</v>
      </c>
      <c r="AA250" s="60">
        <v>2.02136600790007</v>
      </c>
      <c r="AB250" s="60">
        <v>2.06567169330564</v>
      </c>
      <c r="AC250" s="60">
        <v>0</v>
      </c>
      <c r="AD250" s="120">
        <v>2</v>
      </c>
      <c r="AE250" s="120">
        <v>2</v>
      </c>
      <c r="AF250" s="120">
        <v>2</v>
      </c>
      <c r="AG250" s="60">
        <v>942.698620371495</v>
      </c>
      <c r="AH250" s="60">
        <v>172.2232</v>
      </c>
      <c r="AI250" s="60">
        <v>162.152994234992</v>
      </c>
      <c r="AK250" s="55">
        <v>289.89017</v>
      </c>
      <c r="AL250" s="60">
        <v>73.3</v>
      </c>
      <c r="AM250" s="60">
        <v>1.9</v>
      </c>
      <c r="AN250" s="60">
        <v>10.9</v>
      </c>
      <c r="AO250" s="60">
        <v>3.2</v>
      </c>
      <c r="AP250" s="60">
        <v>0</v>
      </c>
      <c r="AQ250" s="60">
        <v>0</v>
      </c>
      <c r="AR250" s="60">
        <v>0</v>
      </c>
      <c r="AS250" s="60">
        <v>22.401</v>
      </c>
      <c r="AT250" s="60">
        <f t="shared" si="51"/>
        <v>38.401</v>
      </c>
      <c r="AU250" s="60">
        <f t="shared" si="52"/>
        <v>34.3783851532215</v>
      </c>
      <c r="AV250" s="97">
        <v>0</v>
      </c>
      <c r="AW250" s="53" t="s">
        <v>910</v>
      </c>
      <c r="AX250" s="53" t="s">
        <v>134</v>
      </c>
      <c r="AY250" s="53" t="s">
        <v>911</v>
      </c>
      <c r="AZ250" s="53" t="s">
        <v>212</v>
      </c>
      <c r="BA250" s="53" t="s">
        <v>204</v>
      </c>
      <c r="BB250" s="53" t="s">
        <v>134</v>
      </c>
      <c r="BC250" s="56">
        <v>5</v>
      </c>
      <c r="BD250" s="56">
        <v>6.17283950617284</v>
      </c>
      <c r="BE250" s="59">
        <f>U250/((VLOOKUP(B250,'Cell-Characteristics'!$B$4:$E$34,3,FALSE)*VLOOKUP(B250,'Cell-Characteristics'!$B$4:$E$34,4,FALSE)*3600)/1000)</f>
        <v>1.09514215297333</v>
      </c>
      <c r="BF250" s="90">
        <f t="shared" si="48"/>
        <v>12507.005672468</v>
      </c>
      <c r="BG250" s="90">
        <f t="shared" si="46"/>
        <v>18781.8295099061</v>
      </c>
      <c r="BH250" s="90">
        <f t="shared" si="47"/>
        <v>645.50999832819</v>
      </c>
      <c r="BI250" s="90">
        <f t="shared" si="49"/>
        <v>31934.3451807023</v>
      </c>
      <c r="BJ250" s="90">
        <f>BF250/((VLOOKUP(B250,'Cell-Characteristics'!$B$4:$Q$34,13,FALSE)))</f>
        <v>340.437848344167</v>
      </c>
      <c r="BK250" s="90">
        <f>BG250/((VLOOKUP(B250,'Cell-Characteristics'!$B$4:$Q$34,14,FALSE)))</f>
        <v>7384.53625458289</v>
      </c>
      <c r="BL250" s="90">
        <f>BH250/((VLOOKUP(B250,'Cell-Characteristics'!$B$4:$Q$34,15,FALSE)))</f>
        <v>253.798064924192</v>
      </c>
      <c r="BM250" s="90">
        <f>BI250/((VLOOKUP(B250,'Cell-Characteristics'!$B$4:$Q$34,16,FALSE)))</f>
        <v>763.526548380443</v>
      </c>
      <c r="BN250" s="50">
        <f t="shared" si="50"/>
        <v>2</v>
      </c>
    </row>
    <row r="251" spans="2:66">
      <c r="B251" s="53" t="s">
        <v>152</v>
      </c>
      <c r="C251" s="107" t="s">
        <v>912</v>
      </c>
      <c r="D251" s="53" t="s">
        <v>244</v>
      </c>
      <c r="E251" s="55" t="s">
        <v>265</v>
      </c>
      <c r="F251" s="56" t="s">
        <v>245</v>
      </c>
      <c r="H251" s="57">
        <v>43511</v>
      </c>
      <c r="I251" s="58">
        <v>7483</v>
      </c>
      <c r="J251" s="58">
        <v>100</v>
      </c>
      <c r="K251" s="59">
        <v>4.058</v>
      </c>
      <c r="L251" s="97">
        <v>112.335</v>
      </c>
      <c r="M251" s="97">
        <v>51.5</v>
      </c>
      <c r="N251" s="97">
        <v>47.5</v>
      </c>
      <c r="O251" s="55" t="s">
        <v>838</v>
      </c>
      <c r="P251" s="55" t="s">
        <v>838</v>
      </c>
      <c r="Q251" s="61" t="s">
        <v>381</v>
      </c>
      <c r="R251" s="62">
        <v>75.2593324695965</v>
      </c>
      <c r="S251" s="63">
        <v>0.015</v>
      </c>
      <c r="T251" s="63">
        <v>81.3625471718682</v>
      </c>
      <c r="U251" s="60">
        <v>83.7743471857845</v>
      </c>
      <c r="V251" s="60">
        <v>39.0073366555254</v>
      </c>
      <c r="W251" s="60">
        <v>44.6517907761145</v>
      </c>
      <c r="X251" s="60">
        <v>0.115219754144552</v>
      </c>
      <c r="Y251" s="60">
        <v>46.5623880888259</v>
      </c>
      <c r="Z251" s="60">
        <v>53.3000760687412</v>
      </c>
      <c r="AA251" s="60">
        <v>0.137535842432805</v>
      </c>
      <c r="AB251" s="60">
        <v>2.4118000139163</v>
      </c>
      <c r="AC251" s="60">
        <v>0</v>
      </c>
      <c r="AD251" s="124">
        <v>4.5157</v>
      </c>
      <c r="AE251" s="124">
        <v>4.5157</v>
      </c>
      <c r="AF251" s="124">
        <v>0</v>
      </c>
      <c r="AG251" s="97" t="s">
        <v>134</v>
      </c>
      <c r="AH251" s="97" t="s">
        <v>134</v>
      </c>
      <c r="AI251" s="97" t="s">
        <v>134</v>
      </c>
      <c r="AJ251" s="97"/>
      <c r="AK251" s="92" t="s">
        <v>134</v>
      </c>
      <c r="AL251" s="97">
        <v>74.2</v>
      </c>
      <c r="AM251" s="97">
        <v>2.3</v>
      </c>
      <c r="AN251" s="97">
        <v>11</v>
      </c>
      <c r="AO251" s="97">
        <v>2.7</v>
      </c>
      <c r="AP251" s="97">
        <v>0</v>
      </c>
      <c r="AQ251" s="97">
        <v>0</v>
      </c>
      <c r="AR251" s="97">
        <v>0</v>
      </c>
      <c r="AS251" s="97">
        <v>22.135</v>
      </c>
      <c r="AT251" s="60">
        <f t="shared" si="51"/>
        <v>38.135</v>
      </c>
      <c r="AU251" s="60">
        <f t="shared" si="52"/>
        <v>33.9475675435082</v>
      </c>
      <c r="AV251" s="97">
        <v>0</v>
      </c>
      <c r="AW251" s="53" t="s">
        <v>913</v>
      </c>
      <c r="AX251" s="53" t="s">
        <v>134</v>
      </c>
      <c r="AY251" s="53" t="s">
        <v>914</v>
      </c>
      <c r="AZ251" s="53" t="s">
        <v>212</v>
      </c>
      <c r="BA251" s="53" t="s">
        <v>204</v>
      </c>
      <c r="BB251" s="53" t="s">
        <v>915</v>
      </c>
      <c r="BC251" s="56">
        <v>5</v>
      </c>
      <c r="BD251" s="56">
        <v>10</v>
      </c>
      <c r="BE251" s="59">
        <f>U251/((VLOOKUP(B251,'Cell-Characteristics'!$B$4:$E$34,3,FALSE)*VLOOKUP(B251,'Cell-Characteristics'!$B$4:$E$34,4,FALSE)*3600)/1000)</f>
        <v>1.43645999975625</v>
      </c>
      <c r="BF251" s="90">
        <f t="shared" si="48"/>
        <v>8638.15945601466</v>
      </c>
      <c r="BG251" s="90">
        <f t="shared" si="46"/>
        <v>9888.12161483591</v>
      </c>
      <c r="BH251" s="90" t="e">
        <f t="shared" si="47"/>
        <v>#DIV/0!</v>
      </c>
      <c r="BI251" s="90">
        <f t="shared" si="49"/>
        <v>27827.6946605569</v>
      </c>
      <c r="BJ251" s="90">
        <f>BF251/((VLOOKUP(B251,'Cell-Characteristics'!$B$4:$Q$34,13,FALSE)))</f>
        <v>235.128734716497</v>
      </c>
      <c r="BK251" s="90">
        <f>BG251/((VLOOKUP(B251,'Cell-Characteristics'!$B$4:$Q$34,14,FALSE)))</f>
        <v>3887.75718126756</v>
      </c>
      <c r="BL251" s="90" t="e">
        <f>BH251/((VLOOKUP(B251,'Cell-Characteristics'!$B$4:$Q$34,15,FALSE)))</f>
        <v>#DIV/0!</v>
      </c>
      <c r="BM251" s="90">
        <f>BI251/((VLOOKUP(B251,'Cell-Characteristics'!$B$4:$Q$34,16,FALSE)))</f>
        <v>665.339575097954</v>
      </c>
      <c r="BN251" s="50">
        <f t="shared" si="50"/>
        <v>3.01046666666667</v>
      </c>
    </row>
    <row r="252" spans="2:66">
      <c r="B252" s="53" t="s">
        <v>152</v>
      </c>
      <c r="C252" s="107" t="s">
        <v>916</v>
      </c>
      <c r="D252" s="53" t="s">
        <v>244</v>
      </c>
      <c r="E252" s="55" t="s">
        <v>265</v>
      </c>
      <c r="F252" s="56" t="s">
        <v>245</v>
      </c>
      <c r="H252" s="57">
        <v>43512</v>
      </c>
      <c r="I252" s="58">
        <v>7491</v>
      </c>
      <c r="J252" s="58">
        <v>100</v>
      </c>
      <c r="K252" s="59">
        <v>4.047</v>
      </c>
      <c r="L252" s="97">
        <v>112.183</v>
      </c>
      <c r="M252" s="97">
        <v>47</v>
      </c>
      <c r="N252" s="97">
        <v>47.5</v>
      </c>
      <c r="O252" s="55" t="s">
        <v>838</v>
      </c>
      <c r="P252" s="55" t="s">
        <v>838</v>
      </c>
      <c r="Q252" s="61" t="s">
        <v>381</v>
      </c>
      <c r="R252" s="62">
        <v>77.0891383071306</v>
      </c>
      <c r="S252" s="63">
        <v>0.012</v>
      </c>
      <c r="T252" s="63">
        <v>82.0923912201657</v>
      </c>
      <c r="U252" s="60">
        <v>85.3649145339514</v>
      </c>
      <c r="V252" s="60">
        <v>31.0016969442506</v>
      </c>
      <c r="W252" s="60">
        <v>54.1585418272852</v>
      </c>
      <c r="X252" s="60">
        <v>0.204675762415568</v>
      </c>
      <c r="Y252" s="60">
        <v>36.3166730892943</v>
      </c>
      <c r="Z252" s="60">
        <v>63.4435612370293</v>
      </c>
      <c r="AA252" s="60">
        <v>0.239765673676349</v>
      </c>
      <c r="AB252" s="60">
        <v>3.27252331378572</v>
      </c>
      <c r="AC252" s="60">
        <v>0</v>
      </c>
      <c r="AD252" s="124">
        <v>2.6079</v>
      </c>
      <c r="AE252" s="124">
        <v>2.6079</v>
      </c>
      <c r="AF252" s="124">
        <v>0</v>
      </c>
      <c r="AG252" s="97" t="s">
        <v>134</v>
      </c>
      <c r="AH252" s="97" t="s">
        <v>134</v>
      </c>
      <c r="AI252" s="97" t="s">
        <v>134</v>
      </c>
      <c r="AJ252" s="97"/>
      <c r="AK252" s="92" t="s">
        <v>134</v>
      </c>
      <c r="AL252" s="97">
        <v>74.6</v>
      </c>
      <c r="AM252" s="97">
        <v>1.2</v>
      </c>
      <c r="AN252" s="97">
        <v>9.2</v>
      </c>
      <c r="AO252" s="97">
        <v>1.7</v>
      </c>
      <c r="AP252" s="97">
        <v>0</v>
      </c>
      <c r="AQ252" s="97">
        <v>0</v>
      </c>
      <c r="AR252" s="97">
        <v>0</v>
      </c>
      <c r="AS252" s="97">
        <v>25.483</v>
      </c>
      <c r="AT252" s="60">
        <f t="shared" si="51"/>
        <v>37.583</v>
      </c>
      <c r="AU252" s="60">
        <f t="shared" si="52"/>
        <v>33.5015109241151</v>
      </c>
      <c r="AV252" s="97">
        <v>0</v>
      </c>
      <c r="AW252" s="53" t="s">
        <v>917</v>
      </c>
      <c r="AX252" s="53" t="s">
        <v>248</v>
      </c>
      <c r="AY252" s="53" t="s">
        <v>918</v>
      </c>
      <c r="AZ252" s="53" t="s">
        <v>212</v>
      </c>
      <c r="BA252" s="53" t="s">
        <v>204</v>
      </c>
      <c r="BB252" s="53" t="s">
        <v>915</v>
      </c>
      <c r="BC252" s="56">
        <v>8</v>
      </c>
      <c r="BD252" s="56">
        <v>16</v>
      </c>
      <c r="BE252" s="59">
        <f>U252/((VLOOKUP(B252,'Cell-Characteristics'!$B$4:$E$34,3,FALSE)*VLOOKUP(B252,'Cell-Characteristics'!$B$4:$E$34,4,FALSE)*3600)/1000)</f>
        <v>1.46373310243401</v>
      </c>
      <c r="BF252" s="90">
        <f t="shared" si="48"/>
        <v>11887.609549542</v>
      </c>
      <c r="BG252" s="90">
        <f t="shared" si="46"/>
        <v>20767.1083351682</v>
      </c>
      <c r="BH252" s="90" t="e">
        <f t="shared" si="47"/>
        <v>#DIV/0!</v>
      </c>
      <c r="BI252" s="90">
        <f t="shared" si="49"/>
        <v>49099.8012964175</v>
      </c>
      <c r="BJ252" s="90">
        <f>BF252/((VLOOKUP(B252,'Cell-Characteristics'!$B$4:$Q$34,13,FALSE)))</f>
        <v>323.57802682623</v>
      </c>
      <c r="BK252" s="90">
        <f>BG252/((VLOOKUP(B252,'Cell-Characteristics'!$B$4:$Q$34,14,FALSE)))</f>
        <v>8165.09724587883</v>
      </c>
      <c r="BL252" s="90" t="e">
        <f>BH252/((VLOOKUP(B252,'Cell-Characteristics'!$B$4:$Q$34,15,FALSE)))</f>
        <v>#DIV/0!</v>
      </c>
      <c r="BM252" s="90">
        <f>BI252/((VLOOKUP(B252,'Cell-Characteristics'!$B$4:$Q$34,16,FALSE)))</f>
        <v>1173.93989442669</v>
      </c>
      <c r="BN252" s="50">
        <f t="shared" si="50"/>
        <v>1.7386</v>
      </c>
    </row>
    <row r="253" spans="2:66">
      <c r="B253" s="53" t="s">
        <v>152</v>
      </c>
      <c r="C253" s="107" t="s">
        <v>919</v>
      </c>
      <c r="D253" s="53" t="s">
        <v>193</v>
      </c>
      <c r="E253" s="55" t="s">
        <v>265</v>
      </c>
      <c r="F253" s="56" t="s">
        <v>195</v>
      </c>
      <c r="H253" s="57">
        <v>43812</v>
      </c>
      <c r="I253" s="58" t="s">
        <v>920</v>
      </c>
      <c r="J253" s="58">
        <v>100</v>
      </c>
      <c r="K253" s="59">
        <v>3.93</v>
      </c>
      <c r="L253" s="97">
        <v>111.582</v>
      </c>
      <c r="M253" s="97">
        <v>45.5</v>
      </c>
      <c r="N253" s="97">
        <v>45.9</v>
      </c>
      <c r="O253" s="55" t="s">
        <v>838</v>
      </c>
      <c r="P253" s="55" t="s">
        <v>838</v>
      </c>
      <c r="Q253" s="61" t="s">
        <v>381</v>
      </c>
      <c r="R253" s="62">
        <v>72.3805267098743</v>
      </c>
      <c r="S253" s="63">
        <v>0.015</v>
      </c>
      <c r="T253" s="63">
        <v>78.1923598661685</v>
      </c>
      <c r="U253" s="60">
        <v>80.4939888045661</v>
      </c>
      <c r="V253" s="60">
        <v>34.3365152203378</v>
      </c>
      <c r="W253" s="60">
        <v>46.1387260535372</v>
      </c>
      <c r="X253" s="60">
        <v>0.0187475306910673</v>
      </c>
      <c r="Y253" s="60">
        <v>42.6572415285625</v>
      </c>
      <c r="Z253" s="60">
        <v>57.319467874252</v>
      </c>
      <c r="AA253" s="60">
        <v>0.0232905971855675</v>
      </c>
      <c r="AB253" s="60">
        <v>2.30162893839756</v>
      </c>
      <c r="AC253" s="60">
        <v>0</v>
      </c>
      <c r="AD253" s="120">
        <v>2</v>
      </c>
      <c r="AE253" s="120">
        <v>2</v>
      </c>
      <c r="AF253" s="120">
        <v>2</v>
      </c>
      <c r="AG253" s="97" t="s">
        <v>134</v>
      </c>
      <c r="AH253" s="97" t="s">
        <v>134</v>
      </c>
      <c r="AI253" s="97" t="s">
        <v>134</v>
      </c>
      <c r="AJ253" s="97"/>
      <c r="AK253" s="92" t="s">
        <v>134</v>
      </c>
      <c r="AL253" s="97">
        <v>75.6</v>
      </c>
      <c r="AM253" s="97">
        <v>0.5</v>
      </c>
      <c r="AN253" s="97">
        <v>4.9</v>
      </c>
      <c r="AO253" s="97">
        <v>0.8</v>
      </c>
      <c r="AP253" s="60">
        <v>0.1</v>
      </c>
      <c r="AQ253" s="60">
        <v>0.3</v>
      </c>
      <c r="AR253" s="60">
        <v>0</v>
      </c>
      <c r="AS253" s="60">
        <v>29.382</v>
      </c>
      <c r="AT253" s="60">
        <f t="shared" si="51"/>
        <v>35.982</v>
      </c>
      <c r="AU253" s="60">
        <f t="shared" si="52"/>
        <v>32.2471366349411</v>
      </c>
      <c r="AV253" s="97">
        <v>0</v>
      </c>
      <c r="AW253" s="53" t="s">
        <v>921</v>
      </c>
      <c r="AX253" s="53" t="s">
        <v>134</v>
      </c>
      <c r="AY253" s="53" t="s">
        <v>922</v>
      </c>
      <c r="AZ253" s="53" t="s">
        <v>212</v>
      </c>
      <c r="BA253" s="53" t="s">
        <v>204</v>
      </c>
      <c r="BB253" s="53" t="s">
        <v>923</v>
      </c>
      <c r="BC253" s="56">
        <v>5</v>
      </c>
      <c r="BD253" s="56">
        <v>6.17283950617284</v>
      </c>
      <c r="BE253" s="59">
        <f>U253/((VLOOKUP(B253,'Cell-Characteristics'!$B$4:$E$34,3,FALSE)*VLOOKUP(B253,'Cell-Characteristics'!$B$4:$E$34,4,FALSE)*3600)/1000)</f>
        <v>1.38021242806183</v>
      </c>
      <c r="BF253" s="90">
        <f t="shared" si="48"/>
        <v>17168.2576101689</v>
      </c>
      <c r="BG253" s="90">
        <f t="shared" si="46"/>
        <v>23069.3630267686</v>
      </c>
      <c r="BH253" s="90">
        <f t="shared" si="47"/>
        <v>9.37376534553364</v>
      </c>
      <c r="BI253" s="90">
        <f t="shared" si="49"/>
        <v>40246.994402283</v>
      </c>
      <c r="BJ253" s="90">
        <f>BF253/((VLOOKUP(B253,'Cell-Characteristics'!$B$4:$Q$34,13,FALSE)))</f>
        <v>467.316065386491</v>
      </c>
      <c r="BK253" s="90">
        <f>BG253/((VLOOKUP(B253,'Cell-Characteristics'!$B$4:$Q$34,14,FALSE)))</f>
        <v>9070.2850620306</v>
      </c>
      <c r="BL253" s="90">
        <f>BH253/((VLOOKUP(B253,'Cell-Characteristics'!$B$4:$Q$34,15,FALSE)))</f>
        <v>3.68552541697477</v>
      </c>
      <c r="BM253" s="90">
        <f>BI253/((VLOOKUP(B253,'Cell-Characteristics'!$B$4:$Q$34,16,FALSE)))</f>
        <v>962.275836400486</v>
      </c>
      <c r="BN253" s="50">
        <f t="shared" si="50"/>
        <v>2</v>
      </c>
    </row>
    <row r="254" spans="2:66">
      <c r="B254" s="53" t="s">
        <v>152</v>
      </c>
      <c r="C254" s="107" t="s">
        <v>924</v>
      </c>
      <c r="D254" s="53" t="s">
        <v>193</v>
      </c>
      <c r="E254" s="55" t="s">
        <v>265</v>
      </c>
      <c r="F254" s="56" t="s">
        <v>195</v>
      </c>
      <c r="H254" s="57">
        <v>43812</v>
      </c>
      <c r="I254" s="58" t="s">
        <v>925</v>
      </c>
      <c r="J254" s="58">
        <v>100</v>
      </c>
      <c r="K254" s="59">
        <v>4.086</v>
      </c>
      <c r="L254" s="97">
        <v>111.401</v>
      </c>
      <c r="M254" s="97">
        <v>49.3</v>
      </c>
      <c r="N254" s="97">
        <v>49.7</v>
      </c>
      <c r="O254" s="55" t="s">
        <v>838</v>
      </c>
      <c r="P254" s="55" t="s">
        <v>838</v>
      </c>
      <c r="Q254" s="61" t="s">
        <v>381</v>
      </c>
      <c r="R254" s="62">
        <v>85.085915481522</v>
      </c>
      <c r="S254" s="63">
        <v>0.019</v>
      </c>
      <c r="T254" s="63">
        <v>91.6201290921686</v>
      </c>
      <c r="U254" s="60">
        <v>94.8095914770377</v>
      </c>
      <c r="V254" s="60">
        <v>40.2508866210147</v>
      </c>
      <c r="W254" s="60">
        <v>54.5306132366167</v>
      </c>
      <c r="X254" s="60">
        <v>0.0280916194062854</v>
      </c>
      <c r="Y254" s="60">
        <v>42.4544457938765</v>
      </c>
      <c r="Z254" s="60">
        <v>57.5159246939944</v>
      </c>
      <c r="AA254" s="60">
        <v>0.0296295121291489</v>
      </c>
      <c r="AB254" s="60">
        <v>3.1894623848691</v>
      </c>
      <c r="AC254" s="60">
        <v>0</v>
      </c>
      <c r="AD254" s="120">
        <v>2</v>
      </c>
      <c r="AE254" s="120">
        <v>2</v>
      </c>
      <c r="AF254" s="120">
        <v>2</v>
      </c>
      <c r="AG254" s="97" t="s">
        <v>134</v>
      </c>
      <c r="AH254" s="97" t="s">
        <v>134</v>
      </c>
      <c r="AI254" s="97" t="s">
        <v>134</v>
      </c>
      <c r="AJ254" s="97"/>
      <c r="AK254" s="92" t="s">
        <v>134</v>
      </c>
      <c r="AL254" s="97">
        <v>72.2</v>
      </c>
      <c r="AM254" s="97">
        <v>1.3</v>
      </c>
      <c r="AN254" s="97">
        <v>5.1</v>
      </c>
      <c r="AO254" s="97">
        <v>2.6</v>
      </c>
      <c r="AP254" s="60">
        <v>0.1</v>
      </c>
      <c r="AQ254" s="60">
        <v>0.1</v>
      </c>
      <c r="AR254" s="60">
        <v>0</v>
      </c>
      <c r="AS254" s="60">
        <v>30.001</v>
      </c>
      <c r="AT254" s="60">
        <f t="shared" si="51"/>
        <v>39.201</v>
      </c>
      <c r="AU254" s="60">
        <f t="shared" si="52"/>
        <v>35.1890916598594</v>
      </c>
      <c r="AV254" s="97">
        <v>0</v>
      </c>
      <c r="AW254" s="53" t="s">
        <v>926</v>
      </c>
      <c r="AX254" s="53" t="s">
        <v>134</v>
      </c>
      <c r="AY254" s="53" t="s">
        <v>927</v>
      </c>
      <c r="AZ254" s="53" t="s">
        <v>212</v>
      </c>
      <c r="BA254" s="53" t="s">
        <v>204</v>
      </c>
      <c r="BB254" s="53" t="s">
        <v>134</v>
      </c>
      <c r="BC254" s="56">
        <v>7</v>
      </c>
      <c r="BD254" s="56">
        <v>8.64197530864197</v>
      </c>
      <c r="BE254" s="59">
        <f>U254/((VLOOKUP(B254,'Cell-Characteristics'!$B$4:$E$34,3,FALSE)*VLOOKUP(B254,'Cell-Characteristics'!$B$4:$E$34,4,FALSE)*3600)/1000)</f>
        <v>1.62567886620435</v>
      </c>
      <c r="BF254" s="90">
        <f t="shared" si="48"/>
        <v>20125.4433105074</v>
      </c>
      <c r="BG254" s="90">
        <f t="shared" si="46"/>
        <v>27265.3066183083</v>
      </c>
      <c r="BH254" s="90">
        <f t="shared" si="47"/>
        <v>14.0458097031427</v>
      </c>
      <c r="BI254" s="90">
        <f t="shared" si="49"/>
        <v>47404.7957385188</v>
      </c>
      <c r="BJ254" s="90">
        <f>BF254/((VLOOKUP(B254,'Cell-Characteristics'!$B$4:$Q$34,13,FALSE)))</f>
        <v>547.809987220517</v>
      </c>
      <c r="BK254" s="90">
        <f>BG254/((VLOOKUP(B254,'Cell-Characteristics'!$B$4:$Q$34,14,FALSE)))</f>
        <v>10720.0230472235</v>
      </c>
      <c r="BL254" s="90">
        <f>BH254/((VLOOKUP(B254,'Cell-Characteristics'!$B$4:$Q$34,15,FALSE)))</f>
        <v>5.52245407845509</v>
      </c>
      <c r="BM254" s="90">
        <f>BI254/((VLOOKUP(B254,'Cell-Characteristics'!$B$4:$Q$34,16,FALSE)))</f>
        <v>1133.41356655666</v>
      </c>
      <c r="BN254" s="50">
        <f t="shared" si="50"/>
        <v>2</v>
      </c>
    </row>
    <row r="255" spans="2:66">
      <c r="B255" s="53" t="s">
        <v>152</v>
      </c>
      <c r="C255" s="107" t="s">
        <v>928</v>
      </c>
      <c r="D255" s="53" t="s">
        <v>193</v>
      </c>
      <c r="E255" s="55" t="s">
        <v>265</v>
      </c>
      <c r="F255" s="56" t="s">
        <v>195</v>
      </c>
      <c r="H255" s="57">
        <v>43812</v>
      </c>
      <c r="I255" s="58" t="s">
        <v>929</v>
      </c>
      <c r="J255" s="58">
        <v>100</v>
      </c>
      <c r="K255" s="59">
        <v>4.085</v>
      </c>
      <c r="L255" s="97">
        <v>111.412</v>
      </c>
      <c r="M255" s="97">
        <v>48.69</v>
      </c>
      <c r="N255" s="97">
        <v>49.5</v>
      </c>
      <c r="O255" s="55" t="s">
        <v>838</v>
      </c>
      <c r="P255" s="55" t="s">
        <v>838</v>
      </c>
      <c r="Q255" s="61" t="s">
        <v>381</v>
      </c>
      <c r="R255" s="62">
        <v>84.2877102223832</v>
      </c>
      <c r="S255" s="63">
        <v>0.019</v>
      </c>
      <c r="T255" s="63">
        <v>89.6757191755148</v>
      </c>
      <c r="U255" s="60">
        <v>94.5930344844429</v>
      </c>
      <c r="V255" s="60">
        <v>34.2916881452255</v>
      </c>
      <c r="W255" s="60">
        <v>60.221904061319</v>
      </c>
      <c r="X255" s="60">
        <v>0.079442277898356</v>
      </c>
      <c r="Y255" s="60">
        <v>36.2518110684622</v>
      </c>
      <c r="Z255" s="60">
        <v>63.6642057098013</v>
      </c>
      <c r="AA255" s="60">
        <v>0.0839832217365025</v>
      </c>
      <c r="AB255" s="60">
        <v>4.91731530892812</v>
      </c>
      <c r="AC255" s="60">
        <v>0</v>
      </c>
      <c r="AD255" s="120">
        <v>2</v>
      </c>
      <c r="AE255" s="120">
        <v>2</v>
      </c>
      <c r="AF255" s="120">
        <v>2</v>
      </c>
      <c r="AG255" s="97" t="s">
        <v>134</v>
      </c>
      <c r="AH255" s="97" t="s">
        <v>134</v>
      </c>
      <c r="AI255" s="97" t="s">
        <v>134</v>
      </c>
      <c r="AJ255" s="97"/>
      <c r="AK255" s="92" t="s">
        <v>134</v>
      </c>
      <c r="AL255" s="97">
        <v>70.8</v>
      </c>
      <c r="AM255" s="97">
        <v>0.7</v>
      </c>
      <c r="AN255" s="97">
        <v>7.8</v>
      </c>
      <c r="AO255" s="97">
        <v>1.51</v>
      </c>
      <c r="AP255" s="60">
        <v>0.1</v>
      </c>
      <c r="AQ255" s="60">
        <v>0.1</v>
      </c>
      <c r="AR255" s="60">
        <v>0</v>
      </c>
      <c r="AS255" s="60">
        <v>30.402</v>
      </c>
      <c r="AT255" s="60">
        <f t="shared" si="51"/>
        <v>40.612</v>
      </c>
      <c r="AU255" s="60">
        <f t="shared" si="52"/>
        <v>36.4520877463828</v>
      </c>
      <c r="AV255" s="97">
        <v>0</v>
      </c>
      <c r="AW255" s="53" t="s">
        <v>930</v>
      </c>
      <c r="AX255" s="53" t="s">
        <v>134</v>
      </c>
      <c r="AY255" s="53" t="s">
        <v>931</v>
      </c>
      <c r="AZ255" s="53" t="s">
        <v>212</v>
      </c>
      <c r="BA255" s="53" t="s">
        <v>204</v>
      </c>
      <c r="BB255" s="53" t="s">
        <v>932</v>
      </c>
      <c r="BC255" s="56">
        <v>6</v>
      </c>
      <c r="BD255" s="56">
        <v>7.40740740740741</v>
      </c>
      <c r="BE255" s="59">
        <f>U255/((VLOOKUP(B255,'Cell-Characteristics'!$B$4:$E$34,3,FALSE)*VLOOKUP(B255,'Cell-Characteristics'!$B$4:$E$34,4,FALSE)*3600)/1000)</f>
        <v>1.62196561187316</v>
      </c>
      <c r="BF255" s="90">
        <f t="shared" si="48"/>
        <v>17145.8440726128</v>
      </c>
      <c r="BG255" s="90">
        <f t="shared" si="46"/>
        <v>30110.9520306595</v>
      </c>
      <c r="BH255" s="90">
        <f t="shared" si="47"/>
        <v>39.721138949178</v>
      </c>
      <c r="BI255" s="90">
        <f t="shared" si="49"/>
        <v>47296.5172422215</v>
      </c>
      <c r="BJ255" s="90">
        <f>BF255/((VLOOKUP(B255,'Cell-Characteristics'!$B$4:$Q$34,13,FALSE)))</f>
        <v>466.705973994577</v>
      </c>
      <c r="BK255" s="90">
        <f>BG255/((VLOOKUP(B255,'Cell-Characteristics'!$B$4:$Q$34,14,FALSE)))</f>
        <v>11838.8582333331</v>
      </c>
      <c r="BL255" s="90">
        <f>BH255/((VLOOKUP(B255,'Cell-Characteristics'!$B$4:$Q$34,15,FALSE)))</f>
        <v>15.6173385818896</v>
      </c>
      <c r="BM255" s="90">
        <f>BI255/((VLOOKUP(B255,'Cell-Characteristics'!$B$4:$Q$34,16,FALSE)))</f>
        <v>1130.82470788196</v>
      </c>
      <c r="BN255" s="50">
        <f t="shared" si="50"/>
        <v>2</v>
      </c>
    </row>
    <row r="256" spans="2:66">
      <c r="B256" s="53" t="s">
        <v>152</v>
      </c>
      <c r="C256" s="107" t="s">
        <v>933</v>
      </c>
      <c r="D256" s="53" t="s">
        <v>193</v>
      </c>
      <c r="E256" s="55" t="s">
        <v>265</v>
      </c>
      <c r="F256" s="56" t="s">
        <v>195</v>
      </c>
      <c r="H256" s="57">
        <v>43813</v>
      </c>
      <c r="I256" s="58" t="s">
        <v>934</v>
      </c>
      <c r="J256" s="58">
        <v>100</v>
      </c>
      <c r="K256" s="59">
        <v>4.083</v>
      </c>
      <c r="L256" s="97">
        <v>111.37</v>
      </c>
      <c r="M256" s="97">
        <v>50.8</v>
      </c>
      <c r="N256" s="97">
        <v>46</v>
      </c>
      <c r="O256" s="55" t="s">
        <v>838</v>
      </c>
      <c r="P256" s="55" t="s">
        <v>838</v>
      </c>
      <c r="Q256" s="61" t="s">
        <v>381</v>
      </c>
      <c r="R256" s="62">
        <v>84.9588390351851</v>
      </c>
      <c r="S256" s="63">
        <v>0.018</v>
      </c>
      <c r="T256" s="63">
        <v>90.9202608042635</v>
      </c>
      <c r="U256" s="60">
        <v>94.5525866679839</v>
      </c>
      <c r="V256" s="60">
        <v>35.4344923714365</v>
      </c>
      <c r="W256" s="60">
        <v>59.071950666579</v>
      </c>
      <c r="X256" s="60">
        <v>0.0461436299682886</v>
      </c>
      <c r="Y256" s="60">
        <v>37.4759629748288</v>
      </c>
      <c r="Z256" s="60">
        <v>62.4752349441342</v>
      </c>
      <c r="AA256" s="60">
        <v>0.0488020810369994</v>
      </c>
      <c r="AB256" s="60">
        <v>3.6323258637204</v>
      </c>
      <c r="AC256" s="60">
        <v>0</v>
      </c>
      <c r="AD256" s="120">
        <v>2</v>
      </c>
      <c r="AE256" s="120">
        <v>2</v>
      </c>
      <c r="AF256" s="120">
        <v>2</v>
      </c>
      <c r="AG256" s="97" t="s">
        <v>134</v>
      </c>
      <c r="AH256" s="97" t="s">
        <v>134</v>
      </c>
      <c r="AI256" s="97" t="s">
        <v>134</v>
      </c>
      <c r="AJ256" s="97"/>
      <c r="AK256" s="92" t="s">
        <v>134</v>
      </c>
      <c r="AL256" s="97">
        <v>70.1</v>
      </c>
      <c r="AM256" s="97">
        <v>1.3</v>
      </c>
      <c r="AN256" s="97">
        <v>6.8</v>
      </c>
      <c r="AO256" s="97">
        <v>2</v>
      </c>
      <c r="AP256" s="60">
        <v>0.1</v>
      </c>
      <c r="AQ256" s="60">
        <v>0.1</v>
      </c>
      <c r="AR256" s="60">
        <v>0.1</v>
      </c>
      <c r="AS256" s="60">
        <v>30.87</v>
      </c>
      <c r="AT256" s="60">
        <f t="shared" si="51"/>
        <v>41.27</v>
      </c>
      <c r="AU256" s="60">
        <f t="shared" si="52"/>
        <v>37.0566579868905</v>
      </c>
      <c r="AV256" s="97">
        <v>0</v>
      </c>
      <c r="AW256" s="53" t="s">
        <v>935</v>
      </c>
      <c r="AX256" s="53" t="s">
        <v>134</v>
      </c>
      <c r="AY256" s="53" t="s">
        <v>936</v>
      </c>
      <c r="AZ256" s="53" t="s">
        <v>212</v>
      </c>
      <c r="BA256" s="53" t="s">
        <v>204</v>
      </c>
      <c r="BB256" s="53" t="s">
        <v>937</v>
      </c>
      <c r="BC256" s="56">
        <v>7</v>
      </c>
      <c r="BD256" s="56">
        <v>8.64197530864197</v>
      </c>
      <c r="BE256" s="59">
        <f>U256/((VLOOKUP(B256,'Cell-Characteristics'!$B$4:$E$34,3,FALSE)*VLOOKUP(B256,'Cell-Characteristics'!$B$4:$E$34,4,FALSE)*3600)/1000)</f>
        <v>1.62127206220823</v>
      </c>
      <c r="BF256" s="90">
        <f t="shared" si="48"/>
        <v>17717.2461857183</v>
      </c>
      <c r="BG256" s="90">
        <f t="shared" si="46"/>
        <v>29535.9753332895</v>
      </c>
      <c r="BH256" s="90">
        <f t="shared" si="47"/>
        <v>23.0718149841443</v>
      </c>
      <c r="BI256" s="90">
        <f t="shared" si="49"/>
        <v>47276.293333992</v>
      </c>
      <c r="BJ256" s="90">
        <f>BF256/((VLOOKUP(B256,'Cell-Characteristics'!$B$4:$Q$34,13,FALSE)))</f>
        <v>482.259409486588</v>
      </c>
      <c r="BK256" s="90">
        <f>BG256/((VLOOKUP(B256,'Cell-Characteristics'!$B$4:$Q$34,14,FALSE)))</f>
        <v>11612.7920631004</v>
      </c>
      <c r="BL256" s="90">
        <f>BH256/((VLOOKUP(B256,'Cell-Characteristics'!$B$4:$Q$34,15,FALSE)))</f>
        <v>9.07124910912335</v>
      </c>
      <c r="BM256" s="90">
        <f>BI256/((VLOOKUP(B256,'Cell-Characteristics'!$B$4:$Q$34,16,FALSE)))</f>
        <v>1130.34116921042</v>
      </c>
      <c r="BN256" s="50">
        <f t="shared" si="50"/>
        <v>2</v>
      </c>
    </row>
    <row r="257" spans="2:66">
      <c r="B257" s="53" t="s">
        <v>152</v>
      </c>
      <c r="C257" s="107" t="s">
        <v>938</v>
      </c>
      <c r="D257" s="53" t="s">
        <v>193</v>
      </c>
      <c r="E257" s="55" t="s">
        <v>265</v>
      </c>
      <c r="F257" s="56" t="s">
        <v>195</v>
      </c>
      <c r="H257" s="57">
        <v>43813</v>
      </c>
      <c r="I257" s="58" t="s">
        <v>939</v>
      </c>
      <c r="J257" s="58">
        <v>100</v>
      </c>
      <c r="K257" s="59">
        <v>4.085</v>
      </c>
      <c r="L257" s="97">
        <v>111.411</v>
      </c>
      <c r="M257" s="97">
        <v>47.1</v>
      </c>
      <c r="N257" s="97">
        <v>48.4</v>
      </c>
      <c r="O257" s="55" t="s">
        <v>838</v>
      </c>
      <c r="P257" s="55" t="s">
        <v>838</v>
      </c>
      <c r="Q257" s="61" t="s">
        <v>381</v>
      </c>
      <c r="R257" s="62">
        <v>84.6621430286428</v>
      </c>
      <c r="S257" s="63">
        <v>0.018</v>
      </c>
      <c r="T257" s="63">
        <v>90.673982782568</v>
      </c>
      <c r="U257" s="60">
        <v>93.5180524100592</v>
      </c>
      <c r="V257" s="60">
        <v>45.1401288556135</v>
      </c>
      <c r="W257" s="60">
        <v>48.3303317624877</v>
      </c>
      <c r="X257" s="60">
        <v>0.0475917919580061</v>
      </c>
      <c r="Y257" s="60">
        <v>48.2688932161274</v>
      </c>
      <c r="Z257" s="60">
        <v>51.680216297243</v>
      </c>
      <c r="AA257" s="60">
        <v>0.0508904866296028</v>
      </c>
      <c r="AB257" s="60">
        <v>2.84406962749122</v>
      </c>
      <c r="AC257" s="60">
        <v>0</v>
      </c>
      <c r="AD257" s="120">
        <v>2</v>
      </c>
      <c r="AE257" s="120">
        <v>2</v>
      </c>
      <c r="AF257" s="120">
        <v>2</v>
      </c>
      <c r="AG257" s="97" t="s">
        <v>134</v>
      </c>
      <c r="AH257" s="97" t="s">
        <v>134</v>
      </c>
      <c r="AI257" s="97" t="s">
        <v>134</v>
      </c>
      <c r="AJ257" s="97"/>
      <c r="AK257" s="92" t="s">
        <v>134</v>
      </c>
      <c r="AL257" s="97">
        <v>72.9</v>
      </c>
      <c r="AM257" s="97">
        <v>1.8</v>
      </c>
      <c r="AN257" s="97">
        <v>9.3</v>
      </c>
      <c r="AO257" s="97">
        <v>1</v>
      </c>
      <c r="AP257" s="60">
        <v>0.1</v>
      </c>
      <c r="AQ257" s="60">
        <v>0.1</v>
      </c>
      <c r="AR257" s="60">
        <v>0.1</v>
      </c>
      <c r="AS257" s="60">
        <v>26.111</v>
      </c>
      <c r="AT257" s="60">
        <f t="shared" si="51"/>
        <v>38.511</v>
      </c>
      <c r="AU257" s="60">
        <f t="shared" si="52"/>
        <v>34.5666047338234</v>
      </c>
      <c r="AV257" s="97">
        <v>0</v>
      </c>
      <c r="AW257" s="53" t="s">
        <v>940</v>
      </c>
      <c r="AX257" s="53" t="s">
        <v>134</v>
      </c>
      <c r="AY257" s="53" t="s">
        <v>941</v>
      </c>
      <c r="AZ257" s="53" t="s">
        <v>212</v>
      </c>
      <c r="BA257" s="53" t="s">
        <v>204</v>
      </c>
      <c r="BB257" s="53" t="s">
        <v>134</v>
      </c>
      <c r="BC257" s="56">
        <v>7</v>
      </c>
      <c r="BD257" s="56">
        <v>8.64197530864197</v>
      </c>
      <c r="BE257" s="59">
        <f>U257/((VLOOKUP(B257,'Cell-Characteristics'!$B$4:$E$34,3,FALSE)*VLOOKUP(B257,'Cell-Characteristics'!$B$4:$E$34,4,FALSE)*3600)/1000)</f>
        <v>1.60353313460321</v>
      </c>
      <c r="BF257" s="90">
        <f t="shared" si="48"/>
        <v>22570.0644278068</v>
      </c>
      <c r="BG257" s="90">
        <f t="shared" si="46"/>
        <v>24165.1658812438</v>
      </c>
      <c r="BH257" s="90">
        <f t="shared" si="47"/>
        <v>23.7958959790031</v>
      </c>
      <c r="BI257" s="90">
        <f t="shared" si="49"/>
        <v>46759.0262050296</v>
      </c>
      <c r="BJ257" s="90">
        <f>BF257/((VLOOKUP(B257,'Cell-Characteristics'!$B$4:$Q$34,13,FALSE)))</f>
        <v>614.352017742032</v>
      </c>
      <c r="BK257" s="90">
        <f>BG257/((VLOOKUP(B257,'Cell-Characteristics'!$B$4:$Q$34,14,FALSE)))</f>
        <v>9501.12679139885</v>
      </c>
      <c r="BL257" s="90">
        <f>BH257/((VLOOKUP(B257,'Cell-Characteristics'!$B$4:$Q$34,15,FALSE)))</f>
        <v>9.35593928560316</v>
      </c>
      <c r="BM257" s="90">
        <f>BI257/((VLOOKUP(B257,'Cell-Characteristics'!$B$4:$Q$34,16,FALSE)))</f>
        <v>1117.97369515287</v>
      </c>
      <c r="BN257" s="50">
        <f t="shared" si="50"/>
        <v>2</v>
      </c>
    </row>
    <row r="258" spans="2:66">
      <c r="B258" s="53" t="s">
        <v>152</v>
      </c>
      <c r="C258" s="107" t="s">
        <v>942</v>
      </c>
      <c r="D258" s="53" t="s">
        <v>193</v>
      </c>
      <c r="E258" s="55" t="s">
        <v>265</v>
      </c>
      <c r="F258" s="56" t="s">
        <v>195</v>
      </c>
      <c r="H258" s="57">
        <v>43813</v>
      </c>
      <c r="I258" s="58" t="s">
        <v>943</v>
      </c>
      <c r="J258" s="58">
        <v>100</v>
      </c>
      <c r="K258" s="59">
        <v>4.089</v>
      </c>
      <c r="L258" s="97">
        <v>111.478</v>
      </c>
      <c r="M258" s="97">
        <v>48.1</v>
      </c>
      <c r="N258" s="97">
        <v>47.99</v>
      </c>
      <c r="O258" s="55" t="s">
        <v>838</v>
      </c>
      <c r="P258" s="55" t="s">
        <v>838</v>
      </c>
      <c r="Q258" s="61" t="s">
        <v>381</v>
      </c>
      <c r="R258" s="62">
        <v>83.0521311782076</v>
      </c>
      <c r="S258" s="63">
        <v>0.019</v>
      </c>
      <c r="T258" s="63">
        <v>88.7261608825497</v>
      </c>
      <c r="U258" s="60">
        <v>91.9078039184957</v>
      </c>
      <c r="V258" s="60">
        <v>35.865884406935</v>
      </c>
      <c r="W258" s="60">
        <v>55.9878022934319</v>
      </c>
      <c r="X258" s="60">
        <v>0.0541172181288331</v>
      </c>
      <c r="Y258" s="60">
        <v>39.0237639001157</v>
      </c>
      <c r="Z258" s="60">
        <v>60.9173540291335</v>
      </c>
      <c r="AA258" s="60">
        <v>0.0588820707508413</v>
      </c>
      <c r="AB258" s="60">
        <v>3.18164303594592</v>
      </c>
      <c r="AC258" s="60">
        <v>0</v>
      </c>
      <c r="AD258" s="120">
        <v>2</v>
      </c>
      <c r="AE258" s="120">
        <v>2</v>
      </c>
      <c r="AF258" s="120">
        <v>2</v>
      </c>
      <c r="AG258" s="97" t="s">
        <v>134</v>
      </c>
      <c r="AH258" s="97" t="s">
        <v>134</v>
      </c>
      <c r="AI258" s="97" t="s">
        <v>134</v>
      </c>
      <c r="AJ258" s="97"/>
      <c r="AK258" s="92" t="s">
        <v>134</v>
      </c>
      <c r="AL258" s="97">
        <v>70.3</v>
      </c>
      <c r="AM258" s="97">
        <v>1.2</v>
      </c>
      <c r="AN258" s="97">
        <v>8.5</v>
      </c>
      <c r="AO258" s="97">
        <v>2.5</v>
      </c>
      <c r="AP258" s="60">
        <v>0.1</v>
      </c>
      <c r="AQ258" s="60">
        <v>1.2</v>
      </c>
      <c r="AR258" s="60">
        <v>0.21</v>
      </c>
      <c r="AS258" s="60">
        <v>27.468</v>
      </c>
      <c r="AT258" s="60">
        <f t="shared" si="51"/>
        <v>41.178</v>
      </c>
      <c r="AU258" s="60">
        <f t="shared" si="52"/>
        <v>36.9382299646567</v>
      </c>
      <c r="AV258" s="97">
        <v>0</v>
      </c>
      <c r="AW258" s="53" t="s">
        <v>944</v>
      </c>
      <c r="AX258" s="53" t="s">
        <v>134</v>
      </c>
      <c r="AY258" s="53" t="s">
        <v>945</v>
      </c>
      <c r="AZ258" s="53" t="s">
        <v>212</v>
      </c>
      <c r="BA258" s="53" t="s">
        <v>204</v>
      </c>
      <c r="BB258" s="53" t="s">
        <v>946</v>
      </c>
      <c r="BC258" s="56">
        <v>7</v>
      </c>
      <c r="BD258" s="56">
        <v>8.64197530864197</v>
      </c>
      <c r="BE258" s="59">
        <f>U258/((VLOOKUP(B258,'Cell-Characteristics'!$B$4:$E$34,3,FALSE)*VLOOKUP(B258,'Cell-Characteristics'!$B$4:$E$34,4,FALSE)*3600)/1000)</f>
        <v>1.57592256376021</v>
      </c>
      <c r="BF258" s="90">
        <f t="shared" si="48"/>
        <v>17932.9422034675</v>
      </c>
      <c r="BG258" s="90">
        <f t="shared" si="46"/>
        <v>27993.9011467159</v>
      </c>
      <c r="BH258" s="90">
        <f t="shared" si="47"/>
        <v>27.0586090644165</v>
      </c>
      <c r="BI258" s="90">
        <f t="shared" si="49"/>
        <v>45953.9019592478</v>
      </c>
      <c r="BJ258" s="90">
        <f>BF258/((VLOOKUP(B258,'Cell-Characteristics'!$B$4:$Q$34,13,FALSE)))</f>
        <v>488.130606006519</v>
      </c>
      <c r="BK258" s="90">
        <f>BG258/((VLOOKUP(B258,'Cell-Characteristics'!$B$4:$Q$34,14,FALSE)))</f>
        <v>11006.4878299583</v>
      </c>
      <c r="BL258" s="90">
        <f>BH258/((VLOOKUP(B258,'Cell-Characteristics'!$B$4:$Q$34,15,FALSE)))</f>
        <v>10.6387548417145</v>
      </c>
      <c r="BM258" s="90">
        <f>BI258/((VLOOKUP(B258,'Cell-Characteristics'!$B$4:$Q$34,16,FALSE)))</f>
        <v>1098.72377056789</v>
      </c>
      <c r="BN258" s="50">
        <f t="shared" si="50"/>
        <v>2</v>
      </c>
    </row>
    <row r="259" spans="2:66">
      <c r="B259" s="53" t="s">
        <v>152</v>
      </c>
      <c r="C259" s="107" t="s">
        <v>947</v>
      </c>
      <c r="D259" s="53" t="s">
        <v>193</v>
      </c>
      <c r="E259" s="55" t="s">
        <v>265</v>
      </c>
      <c r="F259" s="56" t="s">
        <v>195</v>
      </c>
      <c r="H259" s="57">
        <v>43813</v>
      </c>
      <c r="I259" s="58" t="s">
        <v>948</v>
      </c>
      <c r="J259" s="58">
        <v>100</v>
      </c>
      <c r="K259" s="59">
        <v>4.076</v>
      </c>
      <c r="L259" s="97">
        <v>111.5</v>
      </c>
      <c r="M259" s="97">
        <v>48.5</v>
      </c>
      <c r="N259" s="97">
        <v>49.4</v>
      </c>
      <c r="O259" s="55" t="s">
        <v>838</v>
      </c>
      <c r="P259" s="55" t="s">
        <v>838</v>
      </c>
      <c r="Q259" s="61" t="s">
        <v>381</v>
      </c>
      <c r="R259" s="62">
        <v>78.7060551955204</v>
      </c>
      <c r="S259" s="63">
        <v>0.019</v>
      </c>
      <c r="T259" s="63">
        <v>84.8086875011507</v>
      </c>
      <c r="U259" s="60">
        <v>87.6799226105867</v>
      </c>
      <c r="V259" s="60">
        <v>34.3928165891143</v>
      </c>
      <c r="W259" s="60">
        <v>53.2690649553947</v>
      </c>
      <c r="X259" s="60">
        <v>0.0180410660777879</v>
      </c>
      <c r="Y259" s="60">
        <v>39.2254185052869</v>
      </c>
      <c r="Z259" s="60">
        <v>60.7540054431604</v>
      </c>
      <c r="AA259" s="60">
        <v>0.0205760515527754</v>
      </c>
      <c r="AB259" s="60">
        <v>2.871235109436</v>
      </c>
      <c r="AC259" s="60">
        <v>0</v>
      </c>
      <c r="AD259" s="120">
        <v>2</v>
      </c>
      <c r="AE259" s="120">
        <v>2</v>
      </c>
      <c r="AF259" s="120">
        <v>2</v>
      </c>
      <c r="AG259" s="97" t="s">
        <v>134</v>
      </c>
      <c r="AH259" s="97" t="s">
        <v>134</v>
      </c>
      <c r="AI259" s="97" t="s">
        <v>134</v>
      </c>
      <c r="AJ259" s="97"/>
      <c r="AK259" s="92" t="s">
        <v>134</v>
      </c>
      <c r="AL259" s="97">
        <v>72.3</v>
      </c>
      <c r="AM259" s="97">
        <v>1.5</v>
      </c>
      <c r="AN259" s="97">
        <v>9.8</v>
      </c>
      <c r="AO259" s="97">
        <v>2.5</v>
      </c>
      <c r="AP259" s="60">
        <v>0</v>
      </c>
      <c r="AQ259" s="60">
        <v>0</v>
      </c>
      <c r="AR259" s="60">
        <v>0</v>
      </c>
      <c r="AS259" s="60">
        <v>25.4</v>
      </c>
      <c r="AT259" s="60">
        <f t="shared" si="51"/>
        <v>39.2</v>
      </c>
      <c r="AU259" s="60">
        <f t="shared" si="52"/>
        <v>35.1569506726457</v>
      </c>
      <c r="AV259" s="97">
        <v>0</v>
      </c>
      <c r="AW259" s="53" t="s">
        <v>949</v>
      </c>
      <c r="AX259" s="53" t="s">
        <v>134</v>
      </c>
      <c r="AY259" s="53" t="s">
        <v>950</v>
      </c>
      <c r="AZ259" s="53" t="s">
        <v>212</v>
      </c>
      <c r="BA259" s="53" t="s">
        <v>204</v>
      </c>
      <c r="BB259" s="53" t="s">
        <v>951</v>
      </c>
      <c r="BC259" s="56">
        <v>7</v>
      </c>
      <c r="BD259" s="56">
        <v>8.64197530864197</v>
      </c>
      <c r="BE259" s="59">
        <f>U259/((VLOOKUP(B259,'Cell-Characteristics'!$B$4:$E$34,3,FALSE)*VLOOKUP(B259,'Cell-Characteristics'!$B$4:$E$34,4,FALSE)*3600)/1000)</f>
        <v>1.50342802830224</v>
      </c>
      <c r="BF259" s="90">
        <f t="shared" si="48"/>
        <v>17196.4082945571</v>
      </c>
      <c r="BG259" s="90">
        <f t="shared" si="46"/>
        <v>26634.5324776973</v>
      </c>
      <c r="BH259" s="90">
        <f t="shared" si="47"/>
        <v>9.02053303889397</v>
      </c>
      <c r="BI259" s="90">
        <f t="shared" si="49"/>
        <v>43839.9613052934</v>
      </c>
      <c r="BJ259" s="90">
        <f>BF259/((VLOOKUP(B259,'Cell-Characteristics'!$B$4:$Q$34,13,FALSE)))</f>
        <v>468.082320609645</v>
      </c>
      <c r="BK259" s="90">
        <f>BG259/((VLOOKUP(B259,'Cell-Characteristics'!$B$4:$Q$34,14,FALSE)))</f>
        <v>10472.0187456544</v>
      </c>
      <c r="BL259" s="90">
        <f>BH259/((VLOOKUP(B259,'Cell-Characteristics'!$B$4:$Q$34,15,FALSE)))</f>
        <v>3.54664348466382</v>
      </c>
      <c r="BM259" s="90">
        <f>BI259/((VLOOKUP(B259,'Cell-Characteristics'!$B$4:$Q$34,16,FALSE)))</f>
        <v>1048.1810147399</v>
      </c>
      <c r="BN259" s="50">
        <f t="shared" si="50"/>
        <v>2</v>
      </c>
    </row>
    <row r="260" spans="2:66">
      <c r="B260" s="53" t="s">
        <v>156</v>
      </c>
      <c r="C260" s="107" t="s">
        <v>952</v>
      </c>
      <c r="D260" s="53" t="s">
        <v>193</v>
      </c>
      <c r="E260" s="55" t="s">
        <v>228</v>
      </c>
      <c r="F260" s="56" t="s">
        <v>195</v>
      </c>
      <c r="H260" s="57">
        <v>43810</v>
      </c>
      <c r="I260" s="58" t="s">
        <v>134</v>
      </c>
      <c r="J260" s="58">
        <v>100</v>
      </c>
      <c r="K260" s="59">
        <v>4.151</v>
      </c>
      <c r="L260" s="60">
        <v>44.0838</v>
      </c>
      <c r="M260" s="60">
        <v>47.3</v>
      </c>
      <c r="N260" s="60">
        <v>50.4</v>
      </c>
      <c r="O260" s="55" t="s">
        <v>197</v>
      </c>
      <c r="P260" s="55" t="s">
        <v>198</v>
      </c>
      <c r="Q260" s="61" t="s">
        <v>381</v>
      </c>
      <c r="R260" s="62">
        <v>30.57191667231</v>
      </c>
      <c r="S260" s="63">
        <v>0.0404</v>
      </c>
      <c r="T260" s="63">
        <v>34.5564254088246</v>
      </c>
      <c r="U260" s="60">
        <v>35.551850831515</v>
      </c>
      <c r="V260" s="60">
        <v>13.5849565417035</v>
      </c>
      <c r="W260" s="60">
        <v>21.1720002236951</v>
      </c>
      <c r="X260" s="60">
        <v>0.794894066116396</v>
      </c>
      <c r="Y260" s="60">
        <v>38.2116717525746</v>
      </c>
      <c r="Z260" s="60">
        <v>59.5524557189219</v>
      </c>
      <c r="AA260" s="60">
        <v>2.23587252850353</v>
      </c>
      <c r="AB260" s="60">
        <v>0.995425422690335</v>
      </c>
      <c r="AC260" s="60">
        <v>0</v>
      </c>
      <c r="AD260" s="120">
        <v>2</v>
      </c>
      <c r="AE260" s="120">
        <v>2</v>
      </c>
      <c r="AF260" s="120">
        <v>2</v>
      </c>
      <c r="AG260" s="60">
        <v>938.795466118716</v>
      </c>
      <c r="AH260" s="60">
        <v>188.8533</v>
      </c>
      <c r="AI260" s="60">
        <v>114.159453625761</v>
      </c>
      <c r="AJ260" s="60">
        <v>212.1756</v>
      </c>
      <c r="AK260" s="55">
        <v>288.55152</v>
      </c>
      <c r="AL260" s="60">
        <v>28</v>
      </c>
      <c r="AM260" s="60">
        <v>0.5</v>
      </c>
      <c r="AN260" s="60">
        <v>3.4</v>
      </c>
      <c r="AO260" s="60">
        <v>1.00000000000001</v>
      </c>
      <c r="AP260" s="60">
        <v>0</v>
      </c>
      <c r="AQ260" s="60">
        <v>0</v>
      </c>
      <c r="AR260" s="60">
        <v>0</v>
      </c>
      <c r="AS260" s="60">
        <v>11.1838</v>
      </c>
      <c r="AT260" s="60">
        <v>16.0838</v>
      </c>
      <c r="AU260" s="60">
        <v>36.484604321769</v>
      </c>
      <c r="AV260" s="97">
        <v>0</v>
      </c>
      <c r="AW260" s="53" t="s">
        <v>953</v>
      </c>
      <c r="AX260" s="53" t="s">
        <v>954</v>
      </c>
      <c r="AY260" s="53" t="s">
        <v>202</v>
      </c>
      <c r="AZ260" s="53" t="s">
        <v>202</v>
      </c>
      <c r="BA260" s="53" t="s">
        <v>204</v>
      </c>
      <c r="BC260" s="56">
        <v>4</v>
      </c>
      <c r="BD260" s="56">
        <v>4.93827160493827</v>
      </c>
      <c r="BE260" s="59">
        <f>U260/((VLOOKUP(B260,'Cell-Characteristics'!$B$4:$E$34,3,FALSE)*VLOOKUP(B260,'Cell-Characteristics'!$B$4:$E$34,4,FALSE)*3600)/1000)</f>
        <v>1.04635665605693</v>
      </c>
      <c r="BF260" s="90">
        <f t="shared" si="48"/>
        <v>6792.47827085175</v>
      </c>
      <c r="BG260" s="90">
        <f t="shared" si="46"/>
        <v>10586.0001118476</v>
      </c>
      <c r="BH260" s="90">
        <f t="shared" si="47"/>
        <v>397.447033058198</v>
      </c>
      <c r="BI260" s="90">
        <f t="shared" si="49"/>
        <v>17775.9254157575</v>
      </c>
      <c r="BJ260" s="90">
        <f>BF260/((VLOOKUP(B260,'Cell-Characteristics'!$B$4:$Q$34,13,FALSE)))</f>
        <v>184.889712854585</v>
      </c>
      <c r="BK260" s="90">
        <f>BG260/((VLOOKUP(B260,'Cell-Characteristics'!$B$4:$Q$34,14,FALSE)))</f>
        <v>4162.14520399762</v>
      </c>
      <c r="BL260" s="90">
        <f>BH260/((VLOOKUP(B260,'Cell-Characteristics'!$B$4:$Q$34,15,FALSE)))</f>
        <v>156.266034858142</v>
      </c>
      <c r="BM260" s="90">
        <f>BI260/((VLOOKUP(B260,'Cell-Characteristics'!$B$4:$Q$34,16,FALSE)))</f>
        <v>425.009215005392</v>
      </c>
      <c r="BN260" s="50">
        <f t="shared" si="50"/>
        <v>2</v>
      </c>
    </row>
    <row r="261" spans="2:66">
      <c r="B261" s="53" t="s">
        <v>156</v>
      </c>
      <c r="C261" s="107" t="s">
        <v>955</v>
      </c>
      <c r="D261" s="53" t="s">
        <v>193</v>
      </c>
      <c r="E261" s="55" t="s">
        <v>228</v>
      </c>
      <c r="F261" s="56" t="s">
        <v>195</v>
      </c>
      <c r="H261" s="57">
        <v>43810</v>
      </c>
      <c r="I261" s="58" t="s">
        <v>956</v>
      </c>
      <c r="J261" s="58">
        <v>100</v>
      </c>
      <c r="K261" s="59">
        <v>4.142</v>
      </c>
      <c r="L261" s="60">
        <v>44.1052</v>
      </c>
      <c r="M261" s="60">
        <v>46.8</v>
      </c>
      <c r="N261" s="60">
        <v>51.3</v>
      </c>
      <c r="O261" s="59" t="s">
        <v>197</v>
      </c>
      <c r="P261" s="59" t="s">
        <v>198</v>
      </c>
      <c r="Q261" s="61" t="s">
        <v>381</v>
      </c>
      <c r="R261" s="62">
        <v>46.0658396208315</v>
      </c>
      <c r="S261" s="63">
        <v>0.0419</v>
      </c>
      <c r="T261" s="63">
        <v>48.6790126404027</v>
      </c>
      <c r="U261" s="60">
        <v>51.1051299229885</v>
      </c>
      <c r="V261" s="60">
        <v>10.9150546296836</v>
      </c>
      <c r="W261" s="60">
        <v>39.5965935291616</v>
      </c>
      <c r="X261" s="60">
        <v>0.593481764143316</v>
      </c>
      <c r="Y261" s="60">
        <v>21.3580410540619</v>
      </c>
      <c r="Z261" s="60">
        <v>77.4806630740019</v>
      </c>
      <c r="AA261" s="60">
        <v>1.16129587193624</v>
      </c>
      <c r="AB261" s="60">
        <v>2.42611728258576</v>
      </c>
      <c r="AC261" s="60">
        <v>0</v>
      </c>
      <c r="AD261" s="120">
        <v>2</v>
      </c>
      <c r="AE261" s="120">
        <v>2</v>
      </c>
      <c r="AF261" s="120">
        <v>2</v>
      </c>
      <c r="AG261" s="60">
        <v>931.059953670453</v>
      </c>
      <c r="AH261" s="60">
        <v>119.7969</v>
      </c>
      <c r="AI261" s="60">
        <v>111.292790583753</v>
      </c>
      <c r="AJ261" s="60">
        <v>199.2139</v>
      </c>
      <c r="AK261" s="55">
        <v>300.641155</v>
      </c>
      <c r="AL261" s="60">
        <v>14.2</v>
      </c>
      <c r="AM261" s="60">
        <v>6.2</v>
      </c>
      <c r="AN261" s="60">
        <v>9.8</v>
      </c>
      <c r="AO261" s="60">
        <v>1.3</v>
      </c>
      <c r="AP261" s="60">
        <v>0</v>
      </c>
      <c r="AQ261" s="60">
        <v>0</v>
      </c>
      <c r="AR261" s="60">
        <v>0</v>
      </c>
      <c r="AS261" s="60">
        <v>12.6052</v>
      </c>
      <c r="AT261" s="60">
        <v>29.9052</v>
      </c>
      <c r="AU261" s="60">
        <v>67.8042498390213</v>
      </c>
      <c r="AV261" s="97">
        <v>0</v>
      </c>
      <c r="AW261" s="53" t="s">
        <v>957</v>
      </c>
      <c r="AX261" s="53" t="s">
        <v>958</v>
      </c>
      <c r="AY261" s="53" t="s">
        <v>202</v>
      </c>
      <c r="AZ261" s="53" t="s">
        <v>202</v>
      </c>
      <c r="BA261" s="53" t="s">
        <v>204</v>
      </c>
      <c r="BC261" s="56">
        <v>1</v>
      </c>
      <c r="BD261" s="56">
        <v>1.23456790123457</v>
      </c>
      <c r="BE261" s="59">
        <f>U261/((VLOOKUP(B261,'Cell-Characteristics'!$B$4:$E$34,3,FALSE)*VLOOKUP(B261,'Cell-Characteristics'!$B$4:$E$34,4,FALSE)*3600)/1000)</f>
        <v>1.50411839616999</v>
      </c>
      <c r="BF261" s="90">
        <f t="shared" si="48"/>
        <v>5457.5273148418</v>
      </c>
      <c r="BG261" s="90">
        <f t="shared" si="46"/>
        <v>19798.2967645808</v>
      </c>
      <c r="BH261" s="90">
        <f t="shared" si="47"/>
        <v>296.740882071658</v>
      </c>
      <c r="BI261" s="90">
        <f t="shared" si="49"/>
        <v>25552.5649614943</v>
      </c>
      <c r="BJ261" s="90">
        <f>BF261/((VLOOKUP(B261,'Cell-Characteristics'!$B$4:$Q$34,13,FALSE)))</f>
        <v>148.552651609826</v>
      </c>
      <c r="BK261" s="90">
        <f>BG261/((VLOOKUP(B261,'Cell-Characteristics'!$B$4:$Q$34,14,FALSE)))</f>
        <v>7784.18524989416</v>
      </c>
      <c r="BL261" s="90">
        <f>BH261/((VLOOKUP(B261,'Cell-Characteristics'!$B$4:$Q$34,15,FALSE)))</f>
        <v>116.67094521965</v>
      </c>
      <c r="BM261" s="90">
        <f>BI261/((VLOOKUP(B261,'Cell-Characteristics'!$B$4:$Q$34,16,FALSE)))</f>
        <v>610.942908549336</v>
      </c>
      <c r="BN261" s="50">
        <f t="shared" si="50"/>
        <v>2</v>
      </c>
    </row>
    <row r="262" spans="2:66">
      <c r="B262" s="53" t="s">
        <v>156</v>
      </c>
      <c r="C262" s="107" t="s">
        <v>959</v>
      </c>
      <c r="D262" s="53" t="s">
        <v>193</v>
      </c>
      <c r="E262" s="55" t="s">
        <v>228</v>
      </c>
      <c r="F262" s="56" t="s">
        <v>195</v>
      </c>
      <c r="H262" s="57">
        <v>43810</v>
      </c>
      <c r="I262" s="58" t="s">
        <v>960</v>
      </c>
      <c r="J262" s="58">
        <v>100</v>
      </c>
      <c r="K262" s="59">
        <v>4.146</v>
      </c>
      <c r="L262" s="60">
        <v>44.1045</v>
      </c>
      <c r="M262" s="60">
        <v>50.4</v>
      </c>
      <c r="N262" s="60">
        <v>50.4</v>
      </c>
      <c r="O262" s="59" t="s">
        <v>197</v>
      </c>
      <c r="P262" s="59" t="s">
        <v>198</v>
      </c>
      <c r="Q262" s="61" t="s">
        <v>381</v>
      </c>
      <c r="R262" s="62">
        <v>39.0652440660325</v>
      </c>
      <c r="S262" s="63">
        <v>0.043</v>
      </c>
      <c r="T262" s="63">
        <v>42.8151919799268</v>
      </c>
      <c r="U262" s="60">
        <v>43.9297243377232</v>
      </c>
      <c r="V262" s="60">
        <v>6.83946884836887</v>
      </c>
      <c r="W262" s="60">
        <v>35.9621727011039</v>
      </c>
      <c r="X262" s="60">
        <v>1.12808278825041</v>
      </c>
      <c r="Y262" s="60">
        <v>15.5691139689117</v>
      </c>
      <c r="Z262" s="60">
        <v>81.8629600874199</v>
      </c>
      <c r="AA262" s="60">
        <v>2.5679259436684</v>
      </c>
      <c r="AB262" s="60">
        <v>1.11453235779642</v>
      </c>
      <c r="AC262" s="60">
        <v>0</v>
      </c>
      <c r="AD262" s="120">
        <v>2</v>
      </c>
      <c r="AE262" s="120">
        <v>2</v>
      </c>
      <c r="AF262" s="120">
        <v>2</v>
      </c>
      <c r="AG262" s="60">
        <v>940.200383505971</v>
      </c>
      <c r="AH262" s="60">
        <v>125.684</v>
      </c>
      <c r="AI262" s="60">
        <v>117.973580524542</v>
      </c>
      <c r="AJ262" s="60">
        <v>156.2138</v>
      </c>
      <c r="AK262" s="55">
        <v>306.95516</v>
      </c>
      <c r="AL262" s="60">
        <v>12.2</v>
      </c>
      <c r="AM262" s="60">
        <v>12.4</v>
      </c>
      <c r="AN262" s="60">
        <v>7.3</v>
      </c>
      <c r="AO262" s="60">
        <v>1.90000000000001</v>
      </c>
      <c r="AP262" s="60">
        <v>0</v>
      </c>
      <c r="AQ262" s="60">
        <v>0</v>
      </c>
      <c r="AR262" s="60">
        <v>0</v>
      </c>
      <c r="AS262" s="60">
        <v>10.3045</v>
      </c>
      <c r="AT262" s="60">
        <v>31.9045</v>
      </c>
      <c r="AU262" s="60">
        <v>72.3384235168747</v>
      </c>
      <c r="AV262" s="97">
        <v>0</v>
      </c>
      <c r="AW262" s="53" t="s">
        <v>961</v>
      </c>
      <c r="AX262" s="53" t="s">
        <v>962</v>
      </c>
      <c r="AY262" s="53" t="s">
        <v>202</v>
      </c>
      <c r="AZ262" s="53" t="s">
        <v>202</v>
      </c>
      <c r="BA262" s="53" t="s">
        <v>204</v>
      </c>
      <c r="BC262" s="56">
        <v>5</v>
      </c>
      <c r="BD262" s="56">
        <v>6.17283950617284</v>
      </c>
      <c r="BE262" s="59">
        <f>U262/((VLOOKUP(B262,'Cell-Characteristics'!$B$4:$E$34,3,FALSE)*VLOOKUP(B262,'Cell-Characteristics'!$B$4:$E$34,4,FALSE)*3600)/1000)</f>
        <v>1.29293295241821</v>
      </c>
      <c r="BF262" s="90">
        <f t="shared" si="48"/>
        <v>3419.73442418444</v>
      </c>
      <c r="BG262" s="90">
        <f t="shared" si="46"/>
        <v>17981.086350552</v>
      </c>
      <c r="BH262" s="90">
        <f t="shared" si="47"/>
        <v>564.041394125205</v>
      </c>
      <c r="BI262" s="90">
        <f t="shared" si="49"/>
        <v>21964.8621688616</v>
      </c>
      <c r="BJ262" s="90">
        <f>BF262/((VLOOKUP(B262,'Cell-Characteristics'!$B$4:$Q$34,13,FALSE)))</f>
        <v>93.0843928407762</v>
      </c>
      <c r="BK262" s="90">
        <f>BG262/((VLOOKUP(B262,'Cell-Characteristics'!$B$4:$Q$34,14,FALSE)))</f>
        <v>7069.70447061097</v>
      </c>
      <c r="BL262" s="90">
        <f>BH262/((VLOOKUP(B262,'Cell-Characteristics'!$B$4:$Q$34,15,FALSE)))</f>
        <v>221.766687947317</v>
      </c>
      <c r="BM262" s="90">
        <f>BI262/((VLOOKUP(B262,'Cell-Characteristics'!$B$4:$Q$34,16,FALSE)))</f>
        <v>525.163591191389</v>
      </c>
      <c r="BN262" s="50">
        <f t="shared" si="50"/>
        <v>2</v>
      </c>
    </row>
    <row r="263" spans="2:66">
      <c r="B263" s="53" t="s">
        <v>156</v>
      </c>
      <c r="C263" s="107" t="s">
        <v>963</v>
      </c>
      <c r="D263" s="53" t="s">
        <v>193</v>
      </c>
      <c r="E263" s="55" t="s">
        <v>228</v>
      </c>
      <c r="F263" s="56" t="s">
        <v>195</v>
      </c>
      <c r="H263" s="57">
        <v>43810</v>
      </c>
      <c r="I263" s="58" t="s">
        <v>964</v>
      </c>
      <c r="J263" s="58">
        <v>100</v>
      </c>
      <c r="K263" s="59">
        <v>4.146</v>
      </c>
      <c r="L263" s="60">
        <v>44.255</v>
      </c>
      <c r="M263" s="60">
        <v>50.5</v>
      </c>
      <c r="N263" s="60">
        <v>51.3</v>
      </c>
      <c r="O263" s="59" t="s">
        <v>197</v>
      </c>
      <c r="P263" s="59" t="s">
        <v>198</v>
      </c>
      <c r="Q263" s="61" t="s">
        <v>381</v>
      </c>
      <c r="R263" s="62">
        <v>30.9772118192126</v>
      </c>
      <c r="S263" s="63">
        <v>0.0388</v>
      </c>
      <c r="T263" s="63">
        <v>34.4844437914956</v>
      </c>
      <c r="U263" s="60">
        <v>35.1466015171806</v>
      </c>
      <c r="V263" s="60">
        <v>14.9528743259788</v>
      </c>
      <c r="W263" s="60">
        <v>19.5314664795333</v>
      </c>
      <c r="X263" s="60">
        <v>0.662260711668515</v>
      </c>
      <c r="Y263" s="60">
        <v>42.544296405641</v>
      </c>
      <c r="Z263" s="60">
        <v>55.5714226594163</v>
      </c>
      <c r="AA263" s="60">
        <v>1.8842809349427</v>
      </c>
      <c r="AB263" s="60">
        <v>0.662157725685</v>
      </c>
      <c r="AC263" s="60">
        <v>0</v>
      </c>
      <c r="AD263" s="120">
        <v>2</v>
      </c>
      <c r="AE263" s="120">
        <v>2</v>
      </c>
      <c r="AF263" s="120">
        <v>2</v>
      </c>
      <c r="AG263" s="60">
        <v>930.293956439842</v>
      </c>
      <c r="AH263" s="60">
        <v>125.9489</v>
      </c>
      <c r="AI263" s="60">
        <v>116.981390249832</v>
      </c>
      <c r="AJ263" s="60">
        <v>152.8885</v>
      </c>
      <c r="AK263" s="55">
        <v>325.37776</v>
      </c>
      <c r="AL263" s="60">
        <v>29.3</v>
      </c>
      <c r="AM263" s="60">
        <v>0.899999999999999</v>
      </c>
      <c r="AN263" s="60">
        <v>6</v>
      </c>
      <c r="AO263" s="60">
        <v>0.5</v>
      </c>
      <c r="AP263" s="60">
        <v>0</v>
      </c>
      <c r="AQ263" s="60">
        <v>0</v>
      </c>
      <c r="AR263" s="60">
        <v>0</v>
      </c>
      <c r="AS263" s="60">
        <v>7.555</v>
      </c>
      <c r="AT263" s="60">
        <v>14.955</v>
      </c>
      <c r="AU263" s="60">
        <v>33.7927917749407</v>
      </c>
      <c r="AV263" s="97">
        <v>0</v>
      </c>
      <c r="AW263" s="53" t="s">
        <v>965</v>
      </c>
      <c r="AX263" s="53" t="s">
        <v>966</v>
      </c>
      <c r="AY263" s="53" t="s">
        <v>202</v>
      </c>
      <c r="AZ263" s="53" t="s">
        <v>202</v>
      </c>
      <c r="BA263" s="53" t="s">
        <v>204</v>
      </c>
      <c r="BC263" s="56">
        <v>2</v>
      </c>
      <c r="BD263" s="56">
        <v>2.46913580246914</v>
      </c>
      <c r="BE263" s="59">
        <f>U263/((VLOOKUP(B263,'Cell-Characteristics'!$B$4:$E$34,3,FALSE)*VLOOKUP(B263,'Cell-Characteristics'!$B$4:$E$34,4,FALSE)*3600)/1000)</f>
        <v>1.03442941999189</v>
      </c>
      <c r="BF263" s="90">
        <f t="shared" si="48"/>
        <v>7476.4371629894</v>
      </c>
      <c r="BG263" s="90">
        <f t="shared" si="46"/>
        <v>9765.73323976665</v>
      </c>
      <c r="BH263" s="90">
        <f t="shared" si="47"/>
        <v>331.130355834258</v>
      </c>
      <c r="BI263" s="90">
        <f t="shared" si="49"/>
        <v>17573.3007585903</v>
      </c>
      <c r="BJ263" s="90">
        <f>BF263/((VLOOKUP(B263,'Cell-Characteristics'!$B$4:$Q$34,13,FALSE)))</f>
        <v>203.506918258735</v>
      </c>
      <c r="BK263" s="90">
        <f>BG263/((VLOOKUP(B263,'Cell-Characteristics'!$B$4:$Q$34,14,FALSE)))</f>
        <v>3839.63719421509</v>
      </c>
      <c r="BL263" s="90">
        <f>BH263/((VLOOKUP(B263,'Cell-Characteristics'!$B$4:$Q$34,15,FALSE)))</f>
        <v>130.192009056482</v>
      </c>
      <c r="BM263" s="90">
        <f>BI263/((VLOOKUP(B263,'Cell-Characteristics'!$B$4:$Q$34,16,FALSE)))</f>
        <v>420.164609480268</v>
      </c>
      <c r="BN263" s="50">
        <f t="shared" si="50"/>
        <v>2</v>
      </c>
    </row>
    <row r="264" spans="2:66">
      <c r="B264" s="53" t="s">
        <v>156</v>
      </c>
      <c r="C264" s="107" t="s">
        <v>967</v>
      </c>
      <c r="D264" s="53" t="s">
        <v>193</v>
      </c>
      <c r="E264" s="55" t="s">
        <v>228</v>
      </c>
      <c r="F264" s="56" t="s">
        <v>195</v>
      </c>
      <c r="H264" s="57">
        <v>43810</v>
      </c>
      <c r="I264" s="58" t="s">
        <v>968</v>
      </c>
      <c r="J264" s="58">
        <v>100</v>
      </c>
      <c r="K264" s="59">
        <v>4.138</v>
      </c>
      <c r="L264" s="60">
        <v>44.025</v>
      </c>
      <c r="M264" s="60">
        <v>50.8</v>
      </c>
      <c r="N264" s="60">
        <v>50.2</v>
      </c>
      <c r="O264" s="59" t="s">
        <v>198</v>
      </c>
      <c r="P264" s="59" t="s">
        <v>198</v>
      </c>
      <c r="Q264" s="61" t="s">
        <v>381</v>
      </c>
      <c r="R264" s="62">
        <v>35.9459486566937</v>
      </c>
      <c r="S264" s="63">
        <v>0.0398</v>
      </c>
      <c r="T264" s="63">
        <v>40.2543732304926</v>
      </c>
      <c r="U264" s="60">
        <v>41.3199306110136</v>
      </c>
      <c r="V264" s="60">
        <v>15.5964810725527</v>
      </c>
      <c r="W264" s="60">
        <v>24.4288556961311</v>
      </c>
      <c r="X264" s="60">
        <v>1.29459384232981</v>
      </c>
      <c r="Y264" s="60">
        <v>37.7456613356354</v>
      </c>
      <c r="Z264" s="60">
        <v>59.1212408513089</v>
      </c>
      <c r="AA264" s="60">
        <v>3.13309781305572</v>
      </c>
      <c r="AB264" s="60">
        <v>1.065557380521</v>
      </c>
      <c r="AC264" s="60">
        <v>0</v>
      </c>
      <c r="AD264" s="120">
        <v>2</v>
      </c>
      <c r="AE264" s="120">
        <v>2</v>
      </c>
      <c r="AF264" s="120">
        <v>2</v>
      </c>
      <c r="AG264" s="60">
        <v>940.8954983054</v>
      </c>
      <c r="AH264" s="60">
        <v>130.8875</v>
      </c>
      <c r="AI264" s="60">
        <v>122.940458629398</v>
      </c>
      <c r="AJ264" s="60">
        <v>137.4903</v>
      </c>
      <c r="AK264" s="55">
        <v>280.09053</v>
      </c>
      <c r="AL264" s="60">
        <v>28.7</v>
      </c>
      <c r="AM264" s="60">
        <v>1.1</v>
      </c>
      <c r="AN264" s="60">
        <v>3.3</v>
      </c>
      <c r="AO264" s="60">
        <v>0.700000000000003</v>
      </c>
      <c r="AP264" s="60">
        <v>0</v>
      </c>
      <c r="AQ264" s="60">
        <v>0</v>
      </c>
      <c r="AR264" s="60">
        <v>0</v>
      </c>
      <c r="AS264" s="60">
        <v>10.225</v>
      </c>
      <c r="AT264" s="60">
        <v>15.325</v>
      </c>
      <c r="AU264" s="60">
        <v>34.8097671777399</v>
      </c>
      <c r="AV264" s="97">
        <v>0</v>
      </c>
      <c r="AW264" s="53" t="s">
        <v>969</v>
      </c>
      <c r="AX264" s="53" t="s">
        <v>970</v>
      </c>
      <c r="AY264" s="53" t="s">
        <v>202</v>
      </c>
      <c r="AZ264" s="53" t="s">
        <v>202</v>
      </c>
      <c r="BA264" s="53" t="s">
        <v>204</v>
      </c>
      <c r="BC264" s="56">
        <v>4</v>
      </c>
      <c r="BD264" s="56">
        <v>4.93827160493827</v>
      </c>
      <c r="BE264" s="59">
        <f>U264/((VLOOKUP(B264,'Cell-Characteristics'!$B$4:$E$34,3,FALSE)*VLOOKUP(B264,'Cell-Characteristics'!$B$4:$E$34,4,FALSE)*3600)/1000)</f>
        <v>1.2161219011506</v>
      </c>
      <c r="BF264" s="90">
        <f t="shared" si="48"/>
        <v>7798.24053627635</v>
      </c>
      <c r="BG264" s="90">
        <f t="shared" si="46"/>
        <v>12214.4278480656</v>
      </c>
      <c r="BH264" s="90">
        <f t="shared" si="47"/>
        <v>647.296921164905</v>
      </c>
      <c r="BI264" s="90">
        <f t="shared" si="49"/>
        <v>20659.9653055068</v>
      </c>
      <c r="BJ264" s="90">
        <f>BF264/((VLOOKUP(B264,'Cell-Characteristics'!$B$4:$Q$34,13,FALSE)))</f>
        <v>212.2663328509</v>
      </c>
      <c r="BK264" s="90">
        <f>BG264/((VLOOKUP(B264,'Cell-Characteristics'!$B$4:$Q$34,14,FALSE)))</f>
        <v>4802.40145005329</v>
      </c>
      <c r="BL264" s="90">
        <f>BH264/((VLOOKUP(B264,'Cell-Characteristics'!$B$4:$Q$34,15,FALSE)))</f>
        <v>254.500637400686</v>
      </c>
      <c r="BM264" s="90">
        <f>BI264/((VLOOKUP(B264,'Cell-Characteristics'!$B$4:$Q$34,16,FALSE)))</f>
        <v>493.964473362857</v>
      </c>
      <c r="BN264" s="50">
        <f t="shared" si="50"/>
        <v>2</v>
      </c>
    </row>
    <row r="265" spans="2:66">
      <c r="B265" s="53" t="s">
        <v>156</v>
      </c>
      <c r="C265" s="107" t="s">
        <v>971</v>
      </c>
      <c r="D265" s="53" t="s">
        <v>193</v>
      </c>
      <c r="E265" s="55" t="s">
        <v>228</v>
      </c>
      <c r="F265" s="56" t="s">
        <v>195</v>
      </c>
      <c r="H265" s="57">
        <v>43810</v>
      </c>
      <c r="I265" s="58" t="s">
        <v>972</v>
      </c>
      <c r="J265" s="58">
        <v>100</v>
      </c>
      <c r="K265" s="59">
        <v>4.157</v>
      </c>
      <c r="L265" s="60">
        <v>44.1</v>
      </c>
      <c r="M265" s="60">
        <v>48</v>
      </c>
      <c r="N265" s="60">
        <v>51.3</v>
      </c>
      <c r="O265" s="59" t="s">
        <v>198</v>
      </c>
      <c r="P265" s="59" t="s">
        <v>198</v>
      </c>
      <c r="Q265" s="61" t="s">
        <v>381</v>
      </c>
      <c r="R265" s="62">
        <v>33.8658415193453</v>
      </c>
      <c r="S265" s="63">
        <v>0.0408</v>
      </c>
      <c r="T265" s="63">
        <v>37.9313745130308</v>
      </c>
      <c r="U265" s="60">
        <v>39.2465391785868</v>
      </c>
      <c r="V265" s="60">
        <v>4.78960503659347</v>
      </c>
      <c r="W265" s="60">
        <v>33.2951961061732</v>
      </c>
      <c r="X265" s="60">
        <v>1.16173803582016</v>
      </c>
      <c r="Y265" s="60">
        <v>12.2038914432657</v>
      </c>
      <c r="Z265" s="60">
        <v>84.8360054237325</v>
      </c>
      <c r="AA265" s="60">
        <v>2.96010313300188</v>
      </c>
      <c r="AB265" s="60">
        <v>1.315164665556</v>
      </c>
      <c r="AC265" s="60">
        <v>0</v>
      </c>
      <c r="AD265" s="120">
        <v>2</v>
      </c>
      <c r="AE265" s="120">
        <v>2</v>
      </c>
      <c r="AF265" s="120">
        <v>2</v>
      </c>
      <c r="AG265" s="60">
        <v>930.480659875536</v>
      </c>
      <c r="AH265" s="60">
        <v>128.0587</v>
      </c>
      <c r="AI265" s="60">
        <v>118.962661459777</v>
      </c>
      <c r="AJ265" s="60">
        <v>131.8661</v>
      </c>
      <c r="AK265" s="55">
        <v>307.344945</v>
      </c>
      <c r="AL265" s="60">
        <v>10.7</v>
      </c>
      <c r="AM265" s="60">
        <v>15.6</v>
      </c>
      <c r="AN265" s="60">
        <v>4.3</v>
      </c>
      <c r="AO265" s="60">
        <v>0.899999999999999</v>
      </c>
      <c r="AP265" s="60">
        <v>0</v>
      </c>
      <c r="AQ265" s="60">
        <v>0</v>
      </c>
      <c r="AR265" s="60">
        <v>0</v>
      </c>
      <c r="AS265" s="60">
        <v>12.6</v>
      </c>
      <c r="AT265" s="60">
        <v>33.4</v>
      </c>
      <c r="AU265" s="60">
        <v>75.7369614512472</v>
      </c>
      <c r="AV265" s="97">
        <v>0</v>
      </c>
      <c r="AW265" s="53" t="s">
        <v>973</v>
      </c>
      <c r="AX265" s="53" t="s">
        <v>974</v>
      </c>
      <c r="AY265" s="53" t="s">
        <v>202</v>
      </c>
      <c r="AZ265" s="53" t="s">
        <v>202</v>
      </c>
      <c r="BA265" s="53" t="s">
        <v>204</v>
      </c>
      <c r="BC265" s="56">
        <v>4</v>
      </c>
      <c r="BD265" s="56">
        <v>4.93827160493827</v>
      </c>
      <c r="BE265" s="59">
        <f>U265/((VLOOKUP(B265,'Cell-Characteristics'!$B$4:$E$34,3,FALSE)*VLOOKUP(B265,'Cell-Characteristics'!$B$4:$E$34,4,FALSE)*3600)/1000)</f>
        <v>1.15509816046793</v>
      </c>
      <c r="BF265" s="90">
        <f t="shared" si="48"/>
        <v>2394.80251829674</v>
      </c>
      <c r="BG265" s="90">
        <f t="shared" si="46"/>
        <v>16647.5980530866</v>
      </c>
      <c r="BH265" s="90">
        <f t="shared" si="47"/>
        <v>580.86901791008</v>
      </c>
      <c r="BI265" s="90">
        <f t="shared" si="49"/>
        <v>19623.2695892934</v>
      </c>
      <c r="BJ265" s="90">
        <f>BF265/((VLOOKUP(B265,'Cell-Characteristics'!$B$4:$Q$34,13,FALSE)))</f>
        <v>65.1859795932477</v>
      </c>
      <c r="BK265" s="90">
        <f>BG265/((VLOOKUP(B265,'Cell-Characteristics'!$B$4:$Q$34,14,FALSE)))</f>
        <v>6545.41088821522</v>
      </c>
      <c r="BL265" s="90">
        <f>BH265/((VLOOKUP(B265,'Cell-Characteristics'!$B$4:$Q$34,15,FALSE)))</f>
        <v>228.382880360966</v>
      </c>
      <c r="BM265" s="90">
        <f>BI265/((VLOOKUP(B265,'Cell-Characteristics'!$B$4:$Q$34,16,FALSE)))</f>
        <v>469.177846380459</v>
      </c>
      <c r="BN265" s="50">
        <f t="shared" si="50"/>
        <v>2</v>
      </c>
    </row>
    <row r="266" spans="2:66">
      <c r="B266" s="53" t="s">
        <v>156</v>
      </c>
      <c r="C266" s="107" t="s">
        <v>975</v>
      </c>
      <c r="D266" s="53" t="s">
        <v>193</v>
      </c>
      <c r="E266" s="55" t="s">
        <v>228</v>
      </c>
      <c r="F266" s="56" t="s">
        <v>195</v>
      </c>
      <c r="H266" s="57">
        <v>43810</v>
      </c>
      <c r="I266" s="58" t="s">
        <v>976</v>
      </c>
      <c r="J266" s="58">
        <v>100</v>
      </c>
      <c r="K266" s="59">
        <v>4.158</v>
      </c>
      <c r="L266" s="60">
        <v>44.1216</v>
      </c>
      <c r="M266" s="60">
        <v>52.6</v>
      </c>
      <c r="N266" s="60">
        <v>50.2</v>
      </c>
      <c r="O266" s="59" t="s">
        <v>198</v>
      </c>
      <c r="P266" s="59" t="s">
        <v>198</v>
      </c>
      <c r="Q266" s="61" t="s">
        <v>381</v>
      </c>
      <c r="R266" s="62">
        <v>43.602512126384</v>
      </c>
      <c r="S266" s="63">
        <v>0.0414</v>
      </c>
      <c r="T266" s="63">
        <v>47.9891217604265</v>
      </c>
      <c r="U266" s="60">
        <v>50.1293070408923</v>
      </c>
      <c r="V266" s="60">
        <v>8.06413228615038</v>
      </c>
      <c r="W266" s="60">
        <v>40.8868380233133</v>
      </c>
      <c r="X266" s="60">
        <v>1.17833673142863</v>
      </c>
      <c r="Y266" s="60">
        <v>16.0866621985661</v>
      </c>
      <c r="Z266" s="60">
        <v>81.562743306945</v>
      </c>
      <c r="AA266" s="60">
        <v>2.35059449448886</v>
      </c>
      <c r="AB266" s="60">
        <v>2.14018528046582</v>
      </c>
      <c r="AC266" s="60">
        <v>0</v>
      </c>
      <c r="AD266" s="120">
        <v>2</v>
      </c>
      <c r="AE266" s="120">
        <v>2</v>
      </c>
      <c r="AF266" s="120">
        <v>2</v>
      </c>
      <c r="AG266" s="60">
        <v>947.977174335854</v>
      </c>
      <c r="AH266" s="60">
        <v>129.8004</v>
      </c>
      <c r="AI266" s="60">
        <v>122.794955144141</v>
      </c>
      <c r="AJ266" s="60">
        <v>132.2018</v>
      </c>
      <c r="AK266" s="55">
        <v>291.56814</v>
      </c>
      <c r="AL266" s="60">
        <v>10.6</v>
      </c>
      <c r="AM266" s="60">
        <v>13.1</v>
      </c>
      <c r="AN266" s="60">
        <v>8</v>
      </c>
      <c r="AO266" s="60">
        <v>0.5</v>
      </c>
      <c r="AP266" s="60">
        <v>0</v>
      </c>
      <c r="AQ266" s="60">
        <v>0</v>
      </c>
      <c r="AR266" s="60">
        <v>0</v>
      </c>
      <c r="AS266" s="60">
        <v>11.9216</v>
      </c>
      <c r="AT266" s="60">
        <v>33.5216</v>
      </c>
      <c r="AU266" s="60">
        <v>75.975485929794</v>
      </c>
      <c r="AV266" s="97">
        <v>0</v>
      </c>
      <c r="AW266" s="53" t="s">
        <v>977</v>
      </c>
      <c r="AX266" s="53" t="s">
        <v>978</v>
      </c>
      <c r="AY266" s="53" t="s">
        <v>202</v>
      </c>
      <c r="AZ266" s="53" t="s">
        <v>202</v>
      </c>
      <c r="BA266" s="53" t="s">
        <v>204</v>
      </c>
      <c r="BC266" s="56">
        <v>5</v>
      </c>
      <c r="BD266" s="56">
        <v>6.17283950617284</v>
      </c>
      <c r="BE266" s="59">
        <f>U266/((VLOOKUP(B266,'Cell-Characteristics'!$B$4:$E$34,3,FALSE)*VLOOKUP(B266,'Cell-Characteristics'!$B$4:$E$34,4,FALSE)*3600)/1000)</f>
        <v>1.47539812580621</v>
      </c>
      <c r="BF266" s="90">
        <f t="shared" si="48"/>
        <v>4032.06614307519</v>
      </c>
      <c r="BG266" s="90">
        <f t="shared" si="46"/>
        <v>20443.4190116566</v>
      </c>
      <c r="BH266" s="90">
        <f t="shared" si="47"/>
        <v>589.168365714315</v>
      </c>
      <c r="BI266" s="90">
        <f t="shared" si="49"/>
        <v>25064.6535204462</v>
      </c>
      <c r="BJ266" s="90">
        <f>BF266/((VLOOKUP(B266,'Cell-Characteristics'!$B$4:$Q$34,13,FALSE)))</f>
        <v>109.751922888431</v>
      </c>
      <c r="BK266" s="90">
        <f>BG266/((VLOOKUP(B266,'Cell-Characteristics'!$B$4:$Q$34,14,FALSE)))</f>
        <v>8037.83086091714</v>
      </c>
      <c r="BL266" s="90">
        <f>BH266/((VLOOKUP(B266,'Cell-Characteristics'!$B$4:$Q$34,15,FALSE)))</f>
        <v>231.645972208192</v>
      </c>
      <c r="BM266" s="90">
        <f>BI266/((VLOOKUP(B266,'Cell-Characteristics'!$B$4:$Q$34,16,FALSE)))</f>
        <v>599.277307254216</v>
      </c>
      <c r="BN266" s="50">
        <f t="shared" ref="BN266:BN330" si="59">AVERAGE(AD266:AF266)</f>
        <v>2</v>
      </c>
    </row>
    <row r="267" spans="2:66">
      <c r="B267" s="53" t="s">
        <v>156</v>
      </c>
      <c r="C267" s="107" t="s">
        <v>979</v>
      </c>
      <c r="D267" s="53" t="s">
        <v>193</v>
      </c>
      <c r="E267" s="55" t="s">
        <v>228</v>
      </c>
      <c r="F267" s="56" t="s">
        <v>195</v>
      </c>
      <c r="H267" s="57">
        <v>43810</v>
      </c>
      <c r="I267" s="58" t="s">
        <v>980</v>
      </c>
      <c r="J267" s="58">
        <v>100</v>
      </c>
      <c r="K267" s="59">
        <v>4.15</v>
      </c>
      <c r="L267" s="60">
        <v>44.112</v>
      </c>
      <c r="M267" s="60">
        <v>49.69</v>
      </c>
      <c r="N267" s="60">
        <v>51.3</v>
      </c>
      <c r="O267" s="59" t="s">
        <v>198</v>
      </c>
      <c r="P267" s="59" t="s">
        <v>198</v>
      </c>
      <c r="Q267" s="61" t="s">
        <v>381</v>
      </c>
      <c r="R267" s="62">
        <v>30.8041542149717</v>
      </c>
      <c r="S267" s="63">
        <v>0.0402</v>
      </c>
      <c r="T267" s="63">
        <v>35.3444008434943</v>
      </c>
      <c r="U267" s="60">
        <v>36.4149610535746</v>
      </c>
      <c r="V267" s="60">
        <v>11.5839272753754</v>
      </c>
      <c r="W267" s="60">
        <v>23.622259211873</v>
      </c>
      <c r="X267" s="60">
        <v>1.20877456632626</v>
      </c>
      <c r="Y267" s="60">
        <v>31.8109011796904</v>
      </c>
      <c r="Z267" s="60">
        <v>64.8696539236149</v>
      </c>
      <c r="AA267" s="60">
        <v>3.31944489669475</v>
      </c>
      <c r="AB267" s="60">
        <v>1.07056021008024</v>
      </c>
      <c r="AC267" s="60">
        <v>0</v>
      </c>
      <c r="AD267" s="120">
        <v>2</v>
      </c>
      <c r="AE267" s="120">
        <v>2</v>
      </c>
      <c r="AF267" s="120">
        <v>2</v>
      </c>
      <c r="AG267" s="60">
        <v>942.691091192143</v>
      </c>
      <c r="AH267" s="60">
        <v>134.0207</v>
      </c>
      <c r="AI267" s="60">
        <v>126.134828926055</v>
      </c>
      <c r="AJ267" s="60">
        <v>137.0263</v>
      </c>
      <c r="AK267" s="55">
        <v>297.6186</v>
      </c>
      <c r="AL267" s="60">
        <v>27.3</v>
      </c>
      <c r="AM267" s="60">
        <v>1.3</v>
      </c>
      <c r="AN267" s="60">
        <v>4</v>
      </c>
      <c r="AO267" s="60">
        <v>0.710000000000001</v>
      </c>
      <c r="AP267" s="60">
        <v>0</v>
      </c>
      <c r="AQ267" s="60">
        <v>0</v>
      </c>
      <c r="AR267" s="60">
        <v>0</v>
      </c>
      <c r="AS267" s="60">
        <v>10.802</v>
      </c>
      <c r="AT267" s="60">
        <v>16.812</v>
      </c>
      <c r="AU267" s="60">
        <v>38.1120783460283</v>
      </c>
      <c r="AV267" s="97">
        <v>0</v>
      </c>
      <c r="AW267" s="53" t="s">
        <v>981</v>
      </c>
      <c r="AX267" s="53" t="s">
        <v>982</v>
      </c>
      <c r="AY267" s="53" t="s">
        <v>202</v>
      </c>
      <c r="AZ267" s="53" t="s">
        <v>202</v>
      </c>
      <c r="BA267" s="53" t="s">
        <v>204</v>
      </c>
      <c r="BC267" s="56">
        <v>6</v>
      </c>
      <c r="BD267" s="56">
        <v>7.40740740740741</v>
      </c>
      <c r="BE267" s="59">
        <f>U267/((VLOOKUP(B267,'Cell-Characteristics'!$B$4:$E$34,3,FALSE)*VLOOKUP(B267,'Cell-Characteristics'!$B$4:$E$34,4,FALSE)*3600)/1000)</f>
        <v>1.07175958458638</v>
      </c>
      <c r="BF267" s="90">
        <f t="shared" si="48"/>
        <v>5791.9636376877</v>
      </c>
      <c r="BG267" s="90">
        <f t="shared" ref="BG267:BG331" si="60">(1000*W267)/AE267</f>
        <v>11811.1296059365</v>
      </c>
      <c r="BH267" s="90">
        <f t="shared" ref="BH267:BH331" si="61">(1000*X267)/AF267</f>
        <v>604.38728316313</v>
      </c>
      <c r="BI267" s="90">
        <f t="shared" si="49"/>
        <v>18207.4805267873</v>
      </c>
      <c r="BJ267" s="90">
        <f>BF267/((VLOOKUP(B267,'Cell-Characteristics'!$B$4:$Q$34,13,FALSE)))</f>
        <v>157.655932214266</v>
      </c>
      <c r="BK267" s="90">
        <f>BG267/((VLOOKUP(B267,'Cell-Characteristics'!$B$4:$Q$34,14,FALSE)))</f>
        <v>4643.83486904793</v>
      </c>
      <c r="BL267" s="90">
        <f>BH267/((VLOOKUP(B267,'Cell-Characteristics'!$B$4:$Q$34,15,FALSE)))</f>
        <v>237.629662327251</v>
      </c>
      <c r="BM267" s="90">
        <f>BI267/((VLOOKUP(B267,'Cell-Characteristics'!$B$4:$Q$34,16,FALSE)))</f>
        <v>435.327378177237</v>
      </c>
      <c r="BN267" s="50">
        <f t="shared" si="59"/>
        <v>2</v>
      </c>
    </row>
    <row r="268" spans="2:66">
      <c r="B268" s="53" t="s">
        <v>156</v>
      </c>
      <c r="C268" s="107" t="s">
        <v>983</v>
      </c>
      <c r="D268" s="53" t="s">
        <v>193</v>
      </c>
      <c r="E268" s="55" t="s">
        <v>228</v>
      </c>
      <c r="F268" s="56" t="s">
        <v>195</v>
      </c>
      <c r="H268" s="57">
        <v>43811</v>
      </c>
      <c r="I268" s="58" t="s">
        <v>984</v>
      </c>
      <c r="J268" s="58">
        <v>100</v>
      </c>
      <c r="K268" s="59">
        <v>4.138</v>
      </c>
      <c r="L268" s="60">
        <v>44.0689</v>
      </c>
      <c r="M268" s="60">
        <v>48.1</v>
      </c>
      <c r="N268" s="60">
        <v>48.2</v>
      </c>
      <c r="O268" s="59" t="s">
        <v>197</v>
      </c>
      <c r="P268" s="59" t="s">
        <v>198</v>
      </c>
      <c r="Q268" s="61" t="s">
        <v>381</v>
      </c>
      <c r="R268" s="62">
        <v>38.1993516667685</v>
      </c>
      <c r="S268" s="63">
        <v>0.0436</v>
      </c>
      <c r="T268" s="63">
        <v>42.1714260546787</v>
      </c>
      <c r="U268" s="60">
        <v>43.3609151111851</v>
      </c>
      <c r="V268" s="60">
        <v>15.5884131615625</v>
      </c>
      <c r="W268" s="60">
        <v>26.8762756261056</v>
      </c>
      <c r="X268" s="60">
        <v>0.896226323517009</v>
      </c>
      <c r="Y268" s="60">
        <v>35.950378633825</v>
      </c>
      <c r="Z268" s="60">
        <v>61.9827223599642</v>
      </c>
      <c r="AA268" s="60">
        <v>2.06689900621084</v>
      </c>
      <c r="AB268" s="60">
        <v>1.18948905650644</v>
      </c>
      <c r="AC268" s="60">
        <v>0</v>
      </c>
      <c r="AD268" s="120">
        <v>2</v>
      </c>
      <c r="AE268" s="120">
        <v>2</v>
      </c>
      <c r="AF268" s="120">
        <v>2</v>
      </c>
      <c r="AG268" s="60">
        <v>934.830640939932</v>
      </c>
      <c r="AH268" s="60">
        <v>121.1136</v>
      </c>
      <c r="AI268" s="60">
        <v>113.008646289682</v>
      </c>
      <c r="AJ268" s="60">
        <v>133.6289</v>
      </c>
      <c r="AK268" s="55">
        <v>288.38287</v>
      </c>
      <c r="AL268" s="60">
        <v>26.7</v>
      </c>
      <c r="AM268" s="60">
        <v>0.399999999999999</v>
      </c>
      <c r="AN268" s="60">
        <v>4.9</v>
      </c>
      <c r="AO268" s="60">
        <v>1.1</v>
      </c>
      <c r="AP268" s="60">
        <v>0</v>
      </c>
      <c r="AQ268" s="60">
        <v>0</v>
      </c>
      <c r="AR268" s="60">
        <v>0</v>
      </c>
      <c r="AS268" s="60">
        <v>10.9689</v>
      </c>
      <c r="AT268" s="60">
        <v>17.3689</v>
      </c>
      <c r="AU268" s="60">
        <v>39.4130554654189</v>
      </c>
      <c r="AV268" s="97">
        <v>0</v>
      </c>
      <c r="AW268" s="53" t="s">
        <v>985</v>
      </c>
      <c r="AX268" s="53" t="s">
        <v>986</v>
      </c>
      <c r="AY268" s="53" t="s">
        <v>202</v>
      </c>
      <c r="AZ268" s="53" t="s">
        <v>202</v>
      </c>
      <c r="BA268" s="53" t="s">
        <v>204</v>
      </c>
      <c r="BC268" s="56">
        <v>3</v>
      </c>
      <c r="BD268" s="56">
        <v>3.7037037037037</v>
      </c>
      <c r="BE268" s="59">
        <f>U268/((VLOOKUP(B268,'Cell-Characteristics'!$B$4:$E$34,3,FALSE)*VLOOKUP(B268,'Cell-Characteristics'!$B$4:$E$34,4,FALSE)*3600)/1000)</f>
        <v>1.2761918459415</v>
      </c>
      <c r="BF268" s="90">
        <f t="shared" ref="BF268:BF332" si="62">(1000*V268)/AD268</f>
        <v>7794.20658078125</v>
      </c>
      <c r="BG268" s="90">
        <f t="shared" si="60"/>
        <v>13438.1378130528</v>
      </c>
      <c r="BH268" s="90">
        <f t="shared" si="61"/>
        <v>448.113161758505</v>
      </c>
      <c r="BI268" s="90">
        <f t="shared" ref="BI268:BI332" si="63">(1000*U268)/AVERAGE(AD268:AF268)</f>
        <v>21680.4575555926</v>
      </c>
      <c r="BJ268" s="90">
        <f>BF268/((VLOOKUP(B268,'Cell-Characteristics'!$B$4:$Q$34,13,FALSE)))</f>
        <v>212.156529500279</v>
      </c>
      <c r="BK268" s="90">
        <f>BG268/((VLOOKUP(B268,'Cell-Characteristics'!$B$4:$Q$34,14,FALSE)))</f>
        <v>5283.53299247181</v>
      </c>
      <c r="BL268" s="90">
        <f>BH268/((VLOOKUP(B268,'Cell-Characteristics'!$B$4:$Q$34,15,FALSE)))</f>
        <v>176.18666421267</v>
      </c>
      <c r="BM268" s="90">
        <f>BI268/((VLOOKUP(B268,'Cell-Characteristics'!$B$4:$Q$34,16,FALSE)))</f>
        <v>518.363687467544</v>
      </c>
      <c r="BN268" s="50">
        <f t="shared" si="59"/>
        <v>2</v>
      </c>
    </row>
    <row r="269" spans="2:66">
      <c r="B269" s="53" t="s">
        <v>156</v>
      </c>
      <c r="C269" s="107" t="s">
        <v>987</v>
      </c>
      <c r="D269" s="53" t="s">
        <v>193</v>
      </c>
      <c r="E269" s="55" t="s">
        <v>228</v>
      </c>
      <c r="F269" s="56" t="s">
        <v>195</v>
      </c>
      <c r="H269" s="57">
        <v>43813</v>
      </c>
      <c r="I269" s="58" t="s">
        <v>988</v>
      </c>
      <c r="J269" s="58">
        <v>100</v>
      </c>
      <c r="K269" s="59">
        <v>4.14</v>
      </c>
      <c r="L269" s="60">
        <v>44.1376</v>
      </c>
      <c r="M269" s="60">
        <v>51.6</v>
      </c>
      <c r="N269" s="60">
        <v>54.3</v>
      </c>
      <c r="O269" s="59" t="s">
        <v>198</v>
      </c>
      <c r="P269" s="59" t="s">
        <v>198</v>
      </c>
      <c r="Q269" s="61" t="s">
        <v>381</v>
      </c>
      <c r="R269" s="62">
        <v>34.8290643916202</v>
      </c>
      <c r="S269" s="63">
        <v>0.0439</v>
      </c>
      <c r="T269" s="63">
        <v>40.0421003085212</v>
      </c>
      <c r="U269" s="60">
        <v>41.3691294384355</v>
      </c>
      <c r="V269" s="60">
        <v>7.22101037586663</v>
      </c>
      <c r="W269" s="60">
        <v>32.6816607171082</v>
      </c>
      <c r="X269" s="60">
        <v>1.46645834546065</v>
      </c>
      <c r="Y269" s="60">
        <v>17.4550696954181</v>
      </c>
      <c r="Z269" s="60">
        <v>79.0001171422866</v>
      </c>
      <c r="AA269" s="60">
        <v>3.54481316229532</v>
      </c>
      <c r="AB269" s="60">
        <v>1.32702912991426</v>
      </c>
      <c r="AC269" s="60">
        <v>0</v>
      </c>
      <c r="AD269" s="120">
        <v>2</v>
      </c>
      <c r="AE269" s="120">
        <v>2</v>
      </c>
      <c r="AF269" s="120">
        <v>2</v>
      </c>
      <c r="AG269" s="60">
        <v>950.887739353823</v>
      </c>
      <c r="AH269" s="60">
        <v>132.6087</v>
      </c>
      <c r="AI269" s="60">
        <v>119.413390779235</v>
      </c>
      <c r="AJ269" s="60">
        <v>140.6273</v>
      </c>
      <c r="AK269" s="55">
        <v>291.308245</v>
      </c>
      <c r="AL269" s="60">
        <v>10.2</v>
      </c>
      <c r="AM269" s="60">
        <v>17.3</v>
      </c>
      <c r="AN269" s="60">
        <v>3.8</v>
      </c>
      <c r="AO269" s="60">
        <v>0.600000000000001</v>
      </c>
      <c r="AP269" s="60">
        <v>0</v>
      </c>
      <c r="AQ269" s="60">
        <v>0</v>
      </c>
      <c r="AR269" s="60">
        <v>0</v>
      </c>
      <c r="AS269" s="60">
        <v>12.2376</v>
      </c>
      <c r="AT269" s="60">
        <v>33.9376</v>
      </c>
      <c r="AU269" s="60">
        <v>76.8904516783876</v>
      </c>
      <c r="AV269" s="97">
        <v>0</v>
      </c>
      <c r="AW269" s="53" t="s">
        <v>989</v>
      </c>
      <c r="AX269" s="53" t="s">
        <v>990</v>
      </c>
      <c r="AY269" s="53" t="s">
        <v>202</v>
      </c>
      <c r="AZ269" s="53" t="s">
        <v>202</v>
      </c>
      <c r="BA269" s="53" t="s">
        <v>204</v>
      </c>
      <c r="BC269" s="56">
        <v>3</v>
      </c>
      <c r="BD269" s="56">
        <v>3.7037037037037</v>
      </c>
      <c r="BE269" s="59">
        <f>U269/((VLOOKUP(B269,'Cell-Characteristics'!$B$4:$E$34,3,FALSE)*VLOOKUP(B269,'Cell-Characteristics'!$B$4:$E$34,4,FALSE)*3600)/1000)</f>
        <v>1.21756991354205</v>
      </c>
      <c r="BF269" s="90">
        <f t="shared" si="62"/>
        <v>3610.50518793332</v>
      </c>
      <c r="BG269" s="90">
        <f t="shared" si="60"/>
        <v>16340.8303585541</v>
      </c>
      <c r="BH269" s="90">
        <f t="shared" si="61"/>
        <v>733.229172730325</v>
      </c>
      <c r="BI269" s="90">
        <f t="shared" si="63"/>
        <v>20684.5647192177</v>
      </c>
      <c r="BJ269" s="90">
        <f>BF269/((VLOOKUP(B269,'Cell-Characteristics'!$B$4:$Q$34,13,FALSE)))</f>
        <v>98.2771296187412</v>
      </c>
      <c r="BK269" s="90">
        <f>BG269/((VLOOKUP(B269,'Cell-Characteristics'!$B$4:$Q$34,14,FALSE)))</f>
        <v>6424.79765611154</v>
      </c>
      <c r="BL269" s="90">
        <f>BH269/((VLOOKUP(B269,'Cell-Characteristics'!$B$4:$Q$34,15,FALSE)))</f>
        <v>288.287006656572</v>
      </c>
      <c r="BM269" s="90">
        <f>BI269/((VLOOKUP(B269,'Cell-Characteristics'!$B$4:$Q$34,16,FALSE)))</f>
        <v>494.552627130739</v>
      </c>
      <c r="BN269" s="50">
        <f t="shared" si="59"/>
        <v>2</v>
      </c>
    </row>
    <row r="270" spans="2:66">
      <c r="B270" s="53" t="s">
        <v>157</v>
      </c>
      <c r="C270" s="107" t="s">
        <v>991</v>
      </c>
      <c r="D270" s="53" t="s">
        <v>391</v>
      </c>
      <c r="E270" s="55" t="s">
        <v>228</v>
      </c>
      <c r="F270" s="56" t="s">
        <v>392</v>
      </c>
      <c r="H270" s="57">
        <v>43141</v>
      </c>
      <c r="I270" s="58" t="s">
        <v>134</v>
      </c>
      <c r="J270" s="58">
        <v>100</v>
      </c>
      <c r="K270" s="59" t="s">
        <v>134</v>
      </c>
      <c r="L270" s="60">
        <v>48</v>
      </c>
      <c r="M270" s="60">
        <v>37</v>
      </c>
      <c r="N270" s="60">
        <v>37</v>
      </c>
      <c r="O270" s="59" t="s">
        <v>197</v>
      </c>
      <c r="P270" s="59" t="s">
        <v>197</v>
      </c>
      <c r="Q270" s="61" t="s">
        <v>381</v>
      </c>
      <c r="R270" s="62">
        <v>65.9225397405582</v>
      </c>
      <c r="S270" s="63">
        <v>0.057</v>
      </c>
      <c r="T270" s="63">
        <v>67.2857175421673</v>
      </c>
      <c r="U270" s="60">
        <v>81.4352678397833</v>
      </c>
      <c r="V270" s="60">
        <v>9.24894118519251</v>
      </c>
      <c r="W270" s="60">
        <v>70.7941395162973</v>
      </c>
      <c r="X270" s="60">
        <v>1.39218713829351</v>
      </c>
      <c r="Y270" s="60">
        <v>11.3574148284119</v>
      </c>
      <c r="Z270" s="60">
        <v>86.9330222571116</v>
      </c>
      <c r="AA270" s="60">
        <v>1.70956291447646</v>
      </c>
      <c r="AB270" s="60">
        <v>14.149550297616</v>
      </c>
      <c r="AC270" s="60">
        <v>0</v>
      </c>
      <c r="AD270" s="124">
        <v>3.203199863</v>
      </c>
      <c r="AE270" s="124">
        <v>1.602900028</v>
      </c>
      <c r="AF270" s="124">
        <v>0</v>
      </c>
      <c r="AG270" s="60">
        <v>904.16185180378</v>
      </c>
      <c r="AH270" s="60">
        <v>102.400199890137</v>
      </c>
      <c r="AI270" s="60">
        <v>92.670007159329</v>
      </c>
      <c r="AK270" s="55">
        <v>306.90413</v>
      </c>
      <c r="AL270" s="60">
        <v>11.9</v>
      </c>
      <c r="AM270" s="60">
        <v>12.1</v>
      </c>
      <c r="AN270" s="60">
        <v>0.8</v>
      </c>
      <c r="AO270" s="60">
        <v>0</v>
      </c>
      <c r="AP270" s="60">
        <v>0</v>
      </c>
      <c r="AQ270" s="60">
        <v>0</v>
      </c>
      <c r="AR270" s="60">
        <v>0</v>
      </c>
      <c r="AS270" s="60">
        <v>23.2</v>
      </c>
      <c r="AT270" s="60">
        <f>L270-AL270</f>
        <v>36.1</v>
      </c>
      <c r="AU270" s="60">
        <f>100*(AT270/L270)</f>
        <v>75.2083333333333</v>
      </c>
      <c r="AV270" s="97">
        <v>0</v>
      </c>
      <c r="AW270" s="53" t="s">
        <v>992</v>
      </c>
      <c r="AX270" s="53" t="s">
        <v>395</v>
      </c>
      <c r="AY270" s="53" t="s">
        <v>993</v>
      </c>
      <c r="AZ270" s="53" t="s">
        <v>203</v>
      </c>
      <c r="BA270" s="53" t="s">
        <v>204</v>
      </c>
      <c r="BB270" s="53" t="s">
        <v>460</v>
      </c>
      <c r="BC270" s="56">
        <v>3</v>
      </c>
      <c r="BD270" s="56">
        <v>6</v>
      </c>
      <c r="BE270" s="59">
        <f>U270/((VLOOKUP(B270,'Cell-Characteristics'!$B$4:$E$34,3,FALSE)*VLOOKUP(B270,'Cell-Characteristics'!$B$4:$E$34,4,FALSE)*3600)/1000)</f>
        <v>2.09452849382159</v>
      </c>
      <c r="BF270" s="90">
        <f t="shared" si="62"/>
        <v>2887.40683715261</v>
      </c>
      <c r="BG270" s="90">
        <f t="shared" si="60"/>
        <v>44166.2850331532</v>
      </c>
      <c r="BH270" s="90" t="e">
        <f t="shared" si="61"/>
        <v>#DIV/0!</v>
      </c>
      <c r="BI270" s="90">
        <f t="shared" si="63"/>
        <v>50832.4439899474</v>
      </c>
      <c r="BJ270" s="90">
        <f>BF270/((VLOOKUP(B270,'Cell-Characteristics'!$B$4:$Q$34,13,FALSE)))</f>
        <v>78.5945570567971</v>
      </c>
      <c r="BK270" s="90">
        <f>BG270/((VLOOKUP(B270,'Cell-Characteristics'!$B$4:$Q$34,14,FALSE)))</f>
        <v>17365.0566301617</v>
      </c>
      <c r="BL270" s="90" t="e">
        <f>BH270/((VLOOKUP(B270,'Cell-Characteristics'!$B$4:$Q$34,15,FALSE)))</f>
        <v>#DIV/0!</v>
      </c>
      <c r="BM270" s="90">
        <f>BI270/((VLOOKUP(B270,'Cell-Characteristics'!$B$4:$Q$34,16,FALSE)))</f>
        <v>1215.36609834231</v>
      </c>
      <c r="BN270" s="50">
        <f t="shared" si="59"/>
        <v>1.602033297</v>
      </c>
    </row>
    <row r="271" spans="2:66">
      <c r="B271" s="53" t="s">
        <v>157</v>
      </c>
      <c r="C271" s="107" t="s">
        <v>994</v>
      </c>
      <c r="D271" s="53" t="s">
        <v>391</v>
      </c>
      <c r="E271" s="55" t="s">
        <v>228</v>
      </c>
      <c r="F271" s="56" t="s">
        <v>392</v>
      </c>
      <c r="H271" s="57">
        <v>43141</v>
      </c>
      <c r="I271" s="58" t="s">
        <v>134</v>
      </c>
      <c r="J271" s="58">
        <v>100</v>
      </c>
      <c r="K271" s="59" t="s">
        <v>134</v>
      </c>
      <c r="L271" s="60">
        <v>48</v>
      </c>
      <c r="M271" s="60">
        <v>37</v>
      </c>
      <c r="N271" s="60">
        <v>37</v>
      </c>
      <c r="O271" s="59" t="s">
        <v>197</v>
      </c>
      <c r="P271" s="59" t="s">
        <v>197</v>
      </c>
      <c r="Q271" s="61" t="s">
        <v>407</v>
      </c>
      <c r="R271" s="62">
        <v>59.2034522331181</v>
      </c>
      <c r="S271" s="63">
        <v>0.029</v>
      </c>
      <c r="T271" s="63">
        <v>60.3179174567623</v>
      </c>
      <c r="U271" s="60">
        <v>67.2588035454703</v>
      </c>
      <c r="V271" s="60">
        <v>8.64523595898286</v>
      </c>
      <c r="W271" s="60">
        <v>53.3228823872912</v>
      </c>
      <c r="X271" s="60">
        <v>5.29068519919623</v>
      </c>
      <c r="Y271" s="60">
        <v>12.8536868086543</v>
      </c>
      <c r="Z271" s="60">
        <v>79.280153045307</v>
      </c>
      <c r="AA271" s="60">
        <v>7.86616014603868</v>
      </c>
      <c r="AB271" s="60">
        <v>6.627601901232</v>
      </c>
      <c r="AC271" s="60">
        <v>0.313284187476</v>
      </c>
      <c r="AD271" s="124">
        <v>8.413599968</v>
      </c>
      <c r="AE271" s="124">
        <v>1.505599976</v>
      </c>
      <c r="AF271" s="124">
        <v>1.704999924</v>
      </c>
      <c r="AG271" s="60">
        <v>903.626223092124</v>
      </c>
      <c r="AH271" s="60">
        <v>96.0395998954773</v>
      </c>
      <c r="AI271" s="60">
        <v>86.9151077008324</v>
      </c>
      <c r="AK271" s="55">
        <v>289.53518</v>
      </c>
      <c r="AL271" s="60">
        <v>8.9</v>
      </c>
      <c r="AM271" s="60">
        <v>14.3</v>
      </c>
      <c r="AN271" s="60">
        <v>7.5</v>
      </c>
      <c r="AO271" s="60">
        <v>0.1</v>
      </c>
      <c r="AP271" s="60">
        <v>0.2</v>
      </c>
      <c r="AQ271" s="60">
        <v>0.9</v>
      </c>
      <c r="AR271" s="60">
        <v>0.5</v>
      </c>
      <c r="AS271" s="60">
        <v>15.6</v>
      </c>
      <c r="AT271" s="60">
        <f>L271-AL271</f>
        <v>39.1</v>
      </c>
      <c r="AU271" s="60">
        <f>100*(AT271/L271)</f>
        <v>81.4583333333333</v>
      </c>
      <c r="AV271" s="97">
        <v>0</v>
      </c>
      <c r="AW271" s="53" t="s">
        <v>995</v>
      </c>
      <c r="AX271" s="53" t="s">
        <v>395</v>
      </c>
      <c r="AY271" s="53" t="s">
        <v>996</v>
      </c>
      <c r="AZ271" s="53" t="s">
        <v>212</v>
      </c>
      <c r="BA271" s="53" t="s">
        <v>204</v>
      </c>
      <c r="BB271" s="53" t="s">
        <v>403</v>
      </c>
      <c r="BC271" s="56">
        <v>4</v>
      </c>
      <c r="BD271" s="56">
        <v>8</v>
      </c>
      <c r="BE271" s="59">
        <f>U271/((VLOOKUP(B271,'Cell-Characteristics'!$B$4:$E$34,3,FALSE)*VLOOKUP(B271,'Cell-Characteristics'!$B$4:$E$34,4,FALSE)*3600)/1000)</f>
        <v>1.72990749859749</v>
      </c>
      <c r="BF271" s="90">
        <f t="shared" si="62"/>
        <v>1027.53113909193</v>
      </c>
      <c r="BG271" s="90">
        <f t="shared" si="60"/>
        <v>35416.3677187062</v>
      </c>
      <c r="BH271" s="90">
        <f t="shared" si="61"/>
        <v>3103.0413108665</v>
      </c>
      <c r="BI271" s="90">
        <f t="shared" si="63"/>
        <v>17358.3053395251</v>
      </c>
      <c r="BJ271" s="90">
        <f>BF271/((VLOOKUP(B271,'Cell-Characteristics'!$B$4:$Q$34,13,FALSE)))</f>
        <v>27.9691637838731</v>
      </c>
      <c r="BK271" s="90">
        <f>BG271/((VLOOKUP(B271,'Cell-Characteristics'!$B$4:$Q$34,14,FALSE)))</f>
        <v>13924.8123451703</v>
      </c>
      <c r="BL271" s="90">
        <f>BH271/((VLOOKUP(B271,'Cell-Characteristics'!$B$4:$Q$34,15,FALSE)))</f>
        <v>1220.03668745242</v>
      </c>
      <c r="BM271" s="90">
        <f>BI271/((VLOOKUP(B271,'Cell-Characteristics'!$B$4:$Q$34,16,FALSE)))</f>
        <v>415.024228197746</v>
      </c>
      <c r="BN271" s="50">
        <f t="shared" si="59"/>
        <v>3.87473328933333</v>
      </c>
    </row>
    <row r="272" spans="2:66">
      <c r="B272" s="53" t="s">
        <v>157</v>
      </c>
      <c r="C272" s="107" t="s">
        <v>997</v>
      </c>
      <c r="D272" s="53" t="s">
        <v>227</v>
      </c>
      <c r="E272" s="55" t="s">
        <v>228</v>
      </c>
      <c r="F272" s="56" t="s">
        <v>229</v>
      </c>
      <c r="H272" s="57">
        <v>43401</v>
      </c>
      <c r="I272" s="58">
        <v>136</v>
      </c>
      <c r="J272" s="58">
        <v>100</v>
      </c>
      <c r="K272" s="59">
        <v>4.148</v>
      </c>
      <c r="L272" s="60">
        <v>45.4366</v>
      </c>
      <c r="M272" s="60">
        <v>47.9</v>
      </c>
      <c r="N272" s="60">
        <v>45.9</v>
      </c>
      <c r="O272" s="59" t="s">
        <v>198</v>
      </c>
      <c r="P272" s="59" t="s">
        <v>198</v>
      </c>
      <c r="Q272" s="61" t="s">
        <v>381</v>
      </c>
      <c r="R272" s="62">
        <v>53.7655909469641</v>
      </c>
      <c r="S272" s="63">
        <v>0.033</v>
      </c>
      <c r="T272" s="63">
        <v>56.9433794505475</v>
      </c>
      <c r="U272" s="60">
        <v>59.5666504752601</v>
      </c>
      <c r="V272" s="60">
        <v>4.74249207696571</v>
      </c>
      <c r="W272" s="60">
        <v>54.0773887018508</v>
      </c>
      <c r="X272" s="60">
        <v>0.746769696443558</v>
      </c>
      <c r="Y272" s="60">
        <v>7.9616564623445</v>
      </c>
      <c r="Z272" s="60">
        <v>90.7846727495797</v>
      </c>
      <c r="AA272" s="60">
        <v>1.25367078807581</v>
      </c>
      <c r="AB272" s="60">
        <v>2.62327102471263</v>
      </c>
      <c r="AC272" s="60">
        <v>0</v>
      </c>
      <c r="AD272" s="124">
        <v>1.7069</v>
      </c>
      <c r="AE272" s="124">
        <v>1.7069</v>
      </c>
      <c r="AF272" s="124">
        <v>0</v>
      </c>
      <c r="AG272" s="60">
        <v>960.410177209754</v>
      </c>
      <c r="AH272" s="60">
        <v>97.9811</v>
      </c>
      <c r="AI272" s="60">
        <v>94.1657315823985</v>
      </c>
      <c r="AK272" s="55">
        <v>215.27785</v>
      </c>
      <c r="AL272" s="60">
        <v>15</v>
      </c>
      <c r="AM272" s="60">
        <v>9.65</v>
      </c>
      <c r="AN272" s="60">
        <v>11.42</v>
      </c>
      <c r="AO272" s="60">
        <v>1.81</v>
      </c>
      <c r="AP272" s="60">
        <v>0.2</v>
      </c>
      <c r="AQ272" s="60">
        <v>0</v>
      </c>
      <c r="AR272" s="60">
        <v>0</v>
      </c>
      <c r="AS272" s="60">
        <v>7.35659999999999</v>
      </c>
      <c r="AT272" s="60">
        <f>L272-AL272</f>
        <v>30.4366</v>
      </c>
      <c r="AU272" s="60">
        <f>100*(AT272/L272)</f>
        <v>66.9869664543562</v>
      </c>
      <c r="AV272" s="97">
        <v>0</v>
      </c>
      <c r="AW272" s="53" t="s">
        <v>998</v>
      </c>
      <c r="AX272" s="53" t="s">
        <v>134</v>
      </c>
      <c r="AY272" s="53" t="s">
        <v>134</v>
      </c>
      <c r="AZ272" s="53" t="s">
        <v>212</v>
      </c>
      <c r="BA272" s="53" t="s">
        <v>204</v>
      </c>
      <c r="BB272" s="53" t="s">
        <v>999</v>
      </c>
      <c r="BC272" s="56">
        <v>9</v>
      </c>
      <c r="BD272" s="56">
        <v>18</v>
      </c>
      <c r="BE272" s="59">
        <f>U272/((VLOOKUP(B272,'Cell-Characteristics'!$B$4:$E$34,3,FALSE)*VLOOKUP(B272,'Cell-Characteristics'!$B$4:$E$34,4,FALSE)*3600)/1000)</f>
        <v>1.53206405543364</v>
      </c>
      <c r="BF272" s="90">
        <f t="shared" si="62"/>
        <v>2778.42408867872</v>
      </c>
      <c r="BG272" s="90">
        <f t="shared" si="60"/>
        <v>31681.6384684814</v>
      </c>
      <c r="BH272" s="90" t="e">
        <f t="shared" si="61"/>
        <v>#DIV/0!</v>
      </c>
      <c r="BI272" s="90">
        <f t="shared" si="63"/>
        <v>52346.3446674616</v>
      </c>
      <c r="BJ272" s="90">
        <f>BF272/((VLOOKUP(B272,'Cell-Characteristics'!$B$4:$Q$34,13,FALSE)))</f>
        <v>75.6280714431575</v>
      </c>
      <c r="BK272" s="90">
        <f>BG272/((VLOOKUP(B272,'Cell-Characteristics'!$B$4:$Q$34,14,FALSE)))</f>
        <v>12456.4120737915</v>
      </c>
      <c r="BL272" s="90" t="e">
        <f>BH272/((VLOOKUP(B272,'Cell-Characteristics'!$B$4:$Q$34,15,FALSE)))</f>
        <v>#DIV/0!</v>
      </c>
      <c r="BM272" s="90">
        <f>BI272/((VLOOKUP(B272,'Cell-Characteristics'!$B$4:$Q$34,16,FALSE)))</f>
        <v>1251.56234261638</v>
      </c>
      <c r="BN272" s="50">
        <f t="shared" si="59"/>
        <v>1.13793333333333</v>
      </c>
    </row>
    <row r="273" spans="2:66">
      <c r="B273" s="53" t="s">
        <v>157</v>
      </c>
      <c r="C273" s="107" t="s">
        <v>1000</v>
      </c>
      <c r="D273" s="53" t="s">
        <v>227</v>
      </c>
      <c r="E273" s="55" t="s">
        <v>228</v>
      </c>
      <c r="F273" s="56" t="s">
        <v>229</v>
      </c>
      <c r="H273" s="57">
        <v>43401</v>
      </c>
      <c r="I273" s="58">
        <v>137</v>
      </c>
      <c r="J273" s="58">
        <v>100</v>
      </c>
      <c r="K273" s="59">
        <v>4.148</v>
      </c>
      <c r="L273" s="60">
        <v>45.4336</v>
      </c>
      <c r="M273" s="60">
        <v>50.1</v>
      </c>
      <c r="N273" s="60">
        <v>47.5</v>
      </c>
      <c r="O273" s="59" t="s">
        <v>198</v>
      </c>
      <c r="P273" s="59" t="s">
        <v>198</v>
      </c>
      <c r="Q273" s="61" t="s">
        <v>381</v>
      </c>
      <c r="R273" s="62">
        <v>65.0697895641005</v>
      </c>
      <c r="S273" s="63">
        <v>0.037</v>
      </c>
      <c r="T273" s="63">
        <v>65.8209091262803</v>
      </c>
      <c r="U273" s="60">
        <v>72.2286602897877</v>
      </c>
      <c r="V273" s="60">
        <v>4.44634236813761</v>
      </c>
      <c r="W273" s="60">
        <v>67.4327961733096</v>
      </c>
      <c r="X273" s="60">
        <v>0.349521748340464</v>
      </c>
      <c r="Y273" s="60">
        <v>6.1559252937802</v>
      </c>
      <c r="Z273" s="60">
        <v>93.3601646531492</v>
      </c>
      <c r="AA273" s="60">
        <v>0.483910053070557</v>
      </c>
      <c r="AB273" s="60">
        <v>6.40775116350734</v>
      </c>
      <c r="AC273" s="60">
        <v>0</v>
      </c>
      <c r="AD273" s="124">
        <v>1.006</v>
      </c>
      <c r="AE273" s="124">
        <v>1.006</v>
      </c>
      <c r="AF273" s="124">
        <v>0</v>
      </c>
      <c r="AG273" s="60">
        <v>957.267916018216</v>
      </c>
      <c r="AH273" s="60">
        <v>98.6198</v>
      </c>
      <c r="AI273" s="60">
        <v>94.4244097484139</v>
      </c>
      <c r="AK273" s="55">
        <v>247.8527</v>
      </c>
      <c r="AL273" s="60">
        <v>7.8347</v>
      </c>
      <c r="AM273" s="60">
        <v>7.867</v>
      </c>
      <c r="AN273" s="60">
        <v>11.2039</v>
      </c>
      <c r="AO273" s="60">
        <v>2.8632</v>
      </c>
      <c r="AP273" s="60">
        <v>0</v>
      </c>
      <c r="AQ273" s="60">
        <v>0</v>
      </c>
      <c r="AR273" s="60">
        <v>0</v>
      </c>
      <c r="AS273" s="60">
        <v>15.6648</v>
      </c>
      <c r="AT273" s="60">
        <f>L273-AL273</f>
        <v>37.5989</v>
      </c>
      <c r="AU273" s="60">
        <f>100*(AT273/L273)</f>
        <v>82.7557138329342</v>
      </c>
      <c r="AV273" s="97">
        <v>0</v>
      </c>
      <c r="AW273" s="53" t="s">
        <v>1001</v>
      </c>
      <c r="AX273" s="53" t="s">
        <v>134</v>
      </c>
      <c r="AY273" s="53" t="s">
        <v>134</v>
      </c>
      <c r="AZ273" s="53" t="s">
        <v>212</v>
      </c>
      <c r="BA273" s="90" t="s">
        <v>204</v>
      </c>
      <c r="BB273" s="53" t="s">
        <v>1002</v>
      </c>
      <c r="BC273" s="56">
        <v>10</v>
      </c>
      <c r="BD273" s="56">
        <v>20</v>
      </c>
      <c r="BE273" s="59">
        <f>U273/((VLOOKUP(B273,'Cell-Characteristics'!$B$4:$E$34,3,FALSE)*VLOOKUP(B273,'Cell-Characteristics'!$B$4:$E$34,4,FALSE)*3600)/1000)</f>
        <v>1.85773303214474</v>
      </c>
      <c r="BF273" s="90">
        <f t="shared" si="62"/>
        <v>4419.82342757218</v>
      </c>
      <c r="BG273" s="90">
        <f t="shared" si="60"/>
        <v>67030.6124983197</v>
      </c>
      <c r="BH273" s="90" t="e">
        <f t="shared" si="61"/>
        <v>#DIV/0!</v>
      </c>
      <c r="BI273" s="90">
        <f t="shared" si="63"/>
        <v>107696.809577218</v>
      </c>
      <c r="BJ273" s="90">
        <f>BF273/((VLOOKUP(B273,'Cell-Characteristics'!$B$4:$Q$34,13,FALSE)))</f>
        <v>120.30658793544</v>
      </c>
      <c r="BK273" s="90">
        <f>BG273/((VLOOKUP(B273,'Cell-Characteristics'!$B$4:$Q$34,14,FALSE)))</f>
        <v>26354.7269396555</v>
      </c>
      <c r="BL273" s="90" t="e">
        <f>BH273/((VLOOKUP(B273,'Cell-Characteristics'!$B$4:$Q$34,15,FALSE)))</f>
        <v>#DIV/0!</v>
      </c>
      <c r="BM273" s="90">
        <f>BI273/((VLOOKUP(B273,'Cell-Characteristics'!$B$4:$Q$34,16,FALSE)))</f>
        <v>2574.95097590947</v>
      </c>
      <c r="BN273" s="50">
        <f t="shared" si="59"/>
        <v>0.670666666666667</v>
      </c>
    </row>
    <row r="274" spans="2:66">
      <c r="B274" s="53" t="s">
        <v>157</v>
      </c>
      <c r="C274" s="107" t="s">
        <v>1003</v>
      </c>
      <c r="D274" s="53" t="s">
        <v>227</v>
      </c>
      <c r="E274" s="55" t="s">
        <v>228</v>
      </c>
      <c r="F274" s="56" t="s">
        <v>229</v>
      </c>
      <c r="H274" s="57">
        <v>43401</v>
      </c>
      <c r="I274" s="58">
        <v>138</v>
      </c>
      <c r="J274" s="58">
        <v>100</v>
      </c>
      <c r="K274" s="59">
        <v>4.15</v>
      </c>
      <c r="L274" s="60">
        <v>45.4292</v>
      </c>
      <c r="M274" s="60">
        <v>45.5</v>
      </c>
      <c r="N274" s="60">
        <v>45.5</v>
      </c>
      <c r="O274" s="59" t="s">
        <v>197</v>
      </c>
      <c r="P274" s="59" t="s">
        <v>198</v>
      </c>
      <c r="Q274" s="61" t="s">
        <v>381</v>
      </c>
      <c r="R274" s="62">
        <v>59.5777332557407</v>
      </c>
      <c r="S274" s="63">
        <v>0.034</v>
      </c>
      <c r="T274" s="63">
        <v>60.3285348557407</v>
      </c>
      <c r="U274" s="60">
        <v>65.9600247440079</v>
      </c>
      <c r="V274" s="60">
        <v>6.29834244233121</v>
      </c>
      <c r="W274" s="60">
        <v>58.172050892239</v>
      </c>
      <c r="X274" s="60">
        <v>1.4896314094377</v>
      </c>
      <c r="Y274" s="60">
        <v>9.54872662157906</v>
      </c>
      <c r="Z274" s="60">
        <v>88.1928882198056</v>
      </c>
      <c r="AA274" s="60">
        <v>2.25838515861537</v>
      </c>
      <c r="AB274" s="60">
        <v>5.6314898882672</v>
      </c>
      <c r="AC274" s="60">
        <v>0</v>
      </c>
      <c r="AD274" s="124">
        <v>1.3017</v>
      </c>
      <c r="AE274" s="124">
        <v>1.3017</v>
      </c>
      <c r="AF274" s="124">
        <v>0</v>
      </c>
      <c r="AG274" s="60">
        <v>961.913864670126</v>
      </c>
      <c r="AH274" s="60">
        <v>101.3267</v>
      </c>
      <c r="AI274" s="60">
        <v>97.6730394870902</v>
      </c>
      <c r="AK274" s="55">
        <v>289.58047</v>
      </c>
      <c r="AL274" s="60">
        <v>6.9823</v>
      </c>
      <c r="AM274" s="60">
        <v>10.4135</v>
      </c>
      <c r="AN274" s="60">
        <v>8.975</v>
      </c>
      <c r="AO274" s="60">
        <v>2.2795</v>
      </c>
      <c r="AP274" s="60">
        <v>0</v>
      </c>
      <c r="AQ274" s="60">
        <v>0</v>
      </c>
      <c r="AR274" s="60">
        <v>0</v>
      </c>
      <c r="AS274" s="60">
        <v>16.7789</v>
      </c>
      <c r="AT274" s="60">
        <f>L274-AL274</f>
        <v>38.4469</v>
      </c>
      <c r="AU274" s="60">
        <f>100*(AT274/L274)</f>
        <v>84.630369894253</v>
      </c>
      <c r="AV274" s="97">
        <v>0</v>
      </c>
      <c r="AW274" s="53" t="s">
        <v>1004</v>
      </c>
      <c r="AX274" s="53" t="s">
        <v>134</v>
      </c>
      <c r="AY274" s="53" t="s">
        <v>134</v>
      </c>
      <c r="AZ274" s="53" t="s">
        <v>203</v>
      </c>
      <c r="BA274" s="53" t="s">
        <v>204</v>
      </c>
      <c r="BB274" s="53" t="s">
        <v>1005</v>
      </c>
      <c r="BC274" s="56">
        <v>9</v>
      </c>
      <c r="BD274" s="56">
        <v>18</v>
      </c>
      <c r="BE274" s="59">
        <f>U274/((VLOOKUP(B274,'Cell-Characteristics'!$B$4:$E$34,3,FALSE)*VLOOKUP(B274,'Cell-Characteristics'!$B$4:$E$34,4,FALSE)*3600)/1000)</f>
        <v>1.69650269403312</v>
      </c>
      <c r="BF274" s="90">
        <f t="shared" si="62"/>
        <v>4838.55146526174</v>
      </c>
      <c r="BG274" s="90">
        <f t="shared" si="60"/>
        <v>44689.2916126903</v>
      </c>
      <c r="BH274" s="90" t="e">
        <f t="shared" si="61"/>
        <v>#DIV/0!</v>
      </c>
      <c r="BI274" s="90">
        <f t="shared" si="63"/>
        <v>76008.3253560819</v>
      </c>
      <c r="BJ274" s="90">
        <f>BF274/((VLOOKUP(B274,'Cell-Characteristics'!$B$4:$Q$34,13,FALSE)))</f>
        <v>131.704269836729</v>
      </c>
      <c r="BK274" s="90">
        <f>BG274/((VLOOKUP(B274,'Cell-Characteristics'!$B$4:$Q$34,14,FALSE)))</f>
        <v>17570.6894757766</v>
      </c>
      <c r="BL274" s="90" t="e">
        <f>BH274/((VLOOKUP(B274,'Cell-Characteristics'!$B$4:$Q$34,15,FALSE)))</f>
        <v>#DIV/0!</v>
      </c>
      <c r="BM274" s="90">
        <f>BI274/((VLOOKUP(B274,'Cell-Characteristics'!$B$4:$Q$34,16,FALSE)))</f>
        <v>1817.30278103139</v>
      </c>
      <c r="BN274" s="50">
        <f t="shared" si="59"/>
        <v>0.8678</v>
      </c>
    </row>
    <row r="275" spans="2:66">
      <c r="B275" s="53" t="s">
        <v>157</v>
      </c>
      <c r="C275" s="108" t="s">
        <v>1006</v>
      </c>
      <c r="D275" s="53" t="s">
        <v>405</v>
      </c>
      <c r="E275" s="55" t="s">
        <v>228</v>
      </c>
      <c r="F275" s="56" t="s">
        <v>195</v>
      </c>
      <c r="H275" s="57">
        <v>44300</v>
      </c>
      <c r="I275" s="58" t="s">
        <v>1007</v>
      </c>
      <c r="J275" s="58">
        <v>100</v>
      </c>
      <c r="K275" s="59">
        <v>4.1551</v>
      </c>
      <c r="L275" s="60">
        <v>45.22</v>
      </c>
      <c r="M275" s="60">
        <v>51</v>
      </c>
      <c r="N275" s="60">
        <v>52.3</v>
      </c>
      <c r="O275" s="59" t="s">
        <v>198</v>
      </c>
      <c r="P275" s="59" t="s">
        <v>198</v>
      </c>
      <c r="Q275" s="61" t="s">
        <v>381</v>
      </c>
      <c r="R275" s="62">
        <v>58.1039048065766</v>
      </c>
      <c r="S275" s="63">
        <v>0.037</v>
      </c>
      <c r="T275" s="63">
        <v>59.8052384096567</v>
      </c>
      <c r="U275" s="60">
        <v>62.7604118654315</v>
      </c>
      <c r="V275" s="60">
        <v>6.18806868744164</v>
      </c>
      <c r="W275" s="60">
        <v>55.2047954605371</v>
      </c>
      <c r="X275" s="60">
        <v>1.36754771745279</v>
      </c>
      <c r="Y275" s="60">
        <v>9.85982804050085</v>
      </c>
      <c r="Z275" s="60">
        <v>87.9611745998498</v>
      </c>
      <c r="AA275" s="60">
        <v>2.17899735964932</v>
      </c>
      <c r="AB275" s="60">
        <v>2.9551734557748</v>
      </c>
      <c r="AC275" s="60">
        <v>0</v>
      </c>
      <c r="AD275" s="120">
        <v>2</v>
      </c>
      <c r="AE275" s="120">
        <v>2</v>
      </c>
      <c r="AF275" s="120">
        <v>2</v>
      </c>
      <c r="AG275" s="60">
        <v>965.584125008447</v>
      </c>
      <c r="AH275" s="60">
        <v>108.4698</v>
      </c>
      <c r="AI275" s="60">
        <v>104.445027548175</v>
      </c>
      <c r="AJ275" s="60">
        <v>124.0246</v>
      </c>
      <c r="AK275" s="55">
        <v>196.07205</v>
      </c>
      <c r="AL275" s="60">
        <v>7.69</v>
      </c>
      <c r="AM275" s="60">
        <v>13.77</v>
      </c>
      <c r="AN275" s="60">
        <v>6.9</v>
      </c>
      <c r="AO275" s="60">
        <v>0.6</v>
      </c>
      <c r="AP275" s="60">
        <v>0</v>
      </c>
      <c r="AQ275" s="60">
        <v>0</v>
      </c>
      <c r="AR275" s="60">
        <v>0</v>
      </c>
      <c r="AS275" s="60">
        <v>16.26</v>
      </c>
      <c r="AT275" s="60">
        <v>37.53</v>
      </c>
      <c r="AU275" s="60">
        <v>82.9942503317116</v>
      </c>
      <c r="AV275" s="60">
        <v>0</v>
      </c>
      <c r="AZ275" s="53" t="s">
        <v>212</v>
      </c>
      <c r="BC275" s="56">
        <v>6</v>
      </c>
      <c r="BD275" s="56">
        <v>7.40740740740741</v>
      </c>
      <c r="BE275" s="59">
        <f>U275/((VLOOKUP(B275,'Cell-Characteristics'!$B$4:$E$34,3,FALSE)*VLOOKUP(B275,'Cell-Characteristics'!$B$4:$E$34,4,FALSE)*3600)/1000)</f>
        <v>1.61420812411089</v>
      </c>
      <c r="BF275" s="90">
        <f t="shared" si="62"/>
        <v>3094.03434372082</v>
      </c>
      <c r="BG275" s="90">
        <f t="shared" si="60"/>
        <v>27602.3977302685</v>
      </c>
      <c r="BH275" s="90">
        <f t="shared" si="61"/>
        <v>683.773858726395</v>
      </c>
      <c r="BI275" s="90">
        <f t="shared" si="63"/>
        <v>31380.2059327158</v>
      </c>
      <c r="BJ275" s="90">
        <f>BF275/((VLOOKUP(B275,'Cell-Characteristics'!$B$4:$Q$34,13,FALSE)))</f>
        <v>84.2189107659867</v>
      </c>
      <c r="BK275" s="90">
        <f>BG275/((VLOOKUP(B275,'Cell-Characteristics'!$B$4:$Q$34,14,FALSE)))</f>
        <v>10852.5586735349</v>
      </c>
      <c r="BL275" s="90">
        <f>BH275/((VLOOKUP(B275,'Cell-Characteristics'!$B$4:$Q$34,15,FALSE)))</f>
        <v>268.842438753792</v>
      </c>
      <c r="BM275" s="90">
        <f>BI275/((VLOOKUP(B275,'Cell-Characteristics'!$B$4:$Q$34,16,FALSE)))</f>
        <v>750.277489257946</v>
      </c>
      <c r="BN275" s="50">
        <f t="shared" si="59"/>
        <v>2</v>
      </c>
    </row>
    <row r="276" spans="2:66">
      <c r="B276" s="53" t="s">
        <v>157</v>
      </c>
      <c r="C276" s="108" t="s">
        <v>1008</v>
      </c>
      <c r="D276" s="53" t="s">
        <v>405</v>
      </c>
      <c r="E276" s="55" t="s">
        <v>228</v>
      </c>
      <c r="F276" s="56" t="s">
        <v>195</v>
      </c>
      <c r="H276" s="57">
        <v>44300</v>
      </c>
      <c r="I276" s="58" t="s">
        <v>1007</v>
      </c>
      <c r="J276" s="58">
        <v>100</v>
      </c>
      <c r="K276" s="59">
        <v>4.1561</v>
      </c>
      <c r="L276" s="60">
        <v>45.28</v>
      </c>
      <c r="M276" s="60">
        <v>49.4</v>
      </c>
      <c r="N276" s="60">
        <v>52.3</v>
      </c>
      <c r="O276" s="59" t="s">
        <v>198</v>
      </c>
      <c r="P276" s="59" t="s">
        <v>198</v>
      </c>
      <c r="Q276" s="61" t="s">
        <v>381</v>
      </c>
      <c r="R276" s="62">
        <v>61.5583484855428</v>
      </c>
      <c r="S276" s="63">
        <v>0.041</v>
      </c>
      <c r="T276" s="63">
        <v>63.3202955365003</v>
      </c>
      <c r="U276" s="60">
        <v>65.9309487261295</v>
      </c>
      <c r="V276" s="60">
        <v>7.76748866144312</v>
      </c>
      <c r="W276" s="60">
        <v>56.9613248726344</v>
      </c>
      <c r="X276" s="60">
        <v>1.20213519205195</v>
      </c>
      <c r="Y276" s="60">
        <v>11.7812481262912</v>
      </c>
      <c r="Z276" s="60">
        <v>86.3954272965888</v>
      </c>
      <c r="AA276" s="60">
        <v>1.82332457712006</v>
      </c>
      <c r="AB276" s="60">
        <v>2.6106531896292</v>
      </c>
      <c r="AC276" s="60">
        <v>0</v>
      </c>
      <c r="AD276" s="120">
        <v>2</v>
      </c>
      <c r="AE276" s="120">
        <v>2</v>
      </c>
      <c r="AF276" s="120">
        <v>2</v>
      </c>
      <c r="AG276" s="60">
        <v>966.273819173355</v>
      </c>
      <c r="AH276" s="60">
        <v>103.601</v>
      </c>
      <c r="AI276" s="60">
        <v>99.9420703492741</v>
      </c>
      <c r="AJ276" s="60">
        <v>109.8177</v>
      </c>
      <c r="AK276" s="55">
        <v>226.44472</v>
      </c>
      <c r="AL276" s="60">
        <v>9.91</v>
      </c>
      <c r="AM276" s="60">
        <v>9.49</v>
      </c>
      <c r="AN276" s="60">
        <v>11.17</v>
      </c>
      <c r="AO276" s="60">
        <v>0.48</v>
      </c>
      <c r="AP276" s="60">
        <v>0</v>
      </c>
      <c r="AQ276" s="60">
        <v>0</v>
      </c>
      <c r="AR276" s="60">
        <v>0</v>
      </c>
      <c r="AS276" s="60">
        <v>14.23</v>
      </c>
      <c r="AT276" s="60">
        <v>35.37</v>
      </c>
      <c r="AU276" s="60">
        <v>78.1139575971732</v>
      </c>
      <c r="AV276" s="60">
        <v>0</v>
      </c>
      <c r="AZ276" s="53" t="s">
        <v>212</v>
      </c>
      <c r="BC276" s="56">
        <v>2</v>
      </c>
      <c r="BD276" s="56">
        <v>2.46913580246914</v>
      </c>
      <c r="BE276" s="59">
        <f>U276/((VLOOKUP(B276,'Cell-Characteristics'!$B$4:$E$34,3,FALSE)*VLOOKUP(B276,'Cell-Characteristics'!$B$4:$E$34,4,FALSE)*3600)/1000)</f>
        <v>1.69575485406712</v>
      </c>
      <c r="BF276" s="90">
        <f t="shared" si="62"/>
        <v>3883.74433072156</v>
      </c>
      <c r="BG276" s="90">
        <f t="shared" si="60"/>
        <v>28480.6624363172</v>
      </c>
      <c r="BH276" s="90">
        <f t="shared" si="61"/>
        <v>601.067596025975</v>
      </c>
      <c r="BI276" s="90">
        <f t="shared" si="63"/>
        <v>32965.4743630647</v>
      </c>
      <c r="BJ276" s="90">
        <f>BF276/((VLOOKUP(B276,'Cell-Characteristics'!$B$4:$Q$34,13,FALSE)))</f>
        <v>105.714636907876</v>
      </c>
      <c r="BK276" s="90">
        <f>BG276/((VLOOKUP(B276,'Cell-Characteristics'!$B$4:$Q$34,14,FALSE)))</f>
        <v>11197.8699521574</v>
      </c>
      <c r="BL276" s="90">
        <f>BH276/((VLOOKUP(B276,'Cell-Characteristics'!$B$4:$Q$34,15,FALSE)))</f>
        <v>236.324446027355</v>
      </c>
      <c r="BM276" s="90">
        <f>BI276/((VLOOKUP(B276,'Cell-Characteristics'!$B$4:$Q$34,16,FALSE)))</f>
        <v>788.180083660047</v>
      </c>
      <c r="BN276" s="50">
        <f t="shared" si="59"/>
        <v>2</v>
      </c>
    </row>
    <row r="277" spans="2:66">
      <c r="B277" s="53" t="s">
        <v>157</v>
      </c>
      <c r="C277" s="108" t="s">
        <v>1009</v>
      </c>
      <c r="D277" s="53" t="s">
        <v>405</v>
      </c>
      <c r="E277" s="55" t="s">
        <v>228</v>
      </c>
      <c r="F277" s="56" t="s">
        <v>195</v>
      </c>
      <c r="H277" s="57">
        <v>44300</v>
      </c>
      <c r="I277" s="58" t="s">
        <v>1007</v>
      </c>
      <c r="J277" s="58">
        <v>100</v>
      </c>
      <c r="K277" s="59">
        <v>4.1549</v>
      </c>
      <c r="L277" s="60">
        <v>45.3</v>
      </c>
      <c r="M277" s="60">
        <v>50</v>
      </c>
      <c r="N277" s="60">
        <v>52.3</v>
      </c>
      <c r="O277" s="59" t="s">
        <v>198</v>
      </c>
      <c r="P277" s="59" t="s">
        <v>198</v>
      </c>
      <c r="Q277" s="61" t="s">
        <v>381</v>
      </c>
      <c r="R277" s="62">
        <v>64.1488350595649</v>
      </c>
      <c r="S277" s="63">
        <v>0.045</v>
      </c>
      <c r="T277" s="63">
        <v>65.7478279429718</v>
      </c>
      <c r="U277" s="60">
        <v>69.6216306844453</v>
      </c>
      <c r="V277" s="60">
        <v>8.12069181711836</v>
      </c>
      <c r="W277" s="60">
        <v>59.4327605234307</v>
      </c>
      <c r="X277" s="60">
        <v>2.06817834389633</v>
      </c>
      <c r="Y277" s="60">
        <v>11.6640356413437</v>
      </c>
      <c r="Z277" s="60">
        <v>85.3653669687874</v>
      </c>
      <c r="AA277" s="60">
        <v>2.97059738986894</v>
      </c>
      <c r="AB277" s="60">
        <v>3.8738027414736</v>
      </c>
      <c r="AC277" s="60">
        <v>0</v>
      </c>
      <c r="AD277" s="120">
        <v>2</v>
      </c>
      <c r="AE277" s="120">
        <v>2</v>
      </c>
      <c r="AF277" s="120">
        <v>2</v>
      </c>
      <c r="AG277" s="60">
        <v>965.700759677197</v>
      </c>
      <c r="AH277" s="60">
        <v>100.5063</v>
      </c>
      <c r="AI277" s="60">
        <v>96.8983435887323</v>
      </c>
      <c r="AJ277" s="60">
        <v>114.9444</v>
      </c>
      <c r="AK277" s="55">
        <v>227.73078</v>
      </c>
      <c r="AL277" s="60">
        <v>9.35</v>
      </c>
      <c r="AM277" s="60">
        <v>5.7</v>
      </c>
      <c r="AN277" s="60">
        <v>14.12</v>
      </c>
      <c r="AO277" s="60">
        <v>1.05</v>
      </c>
      <c r="AP277" s="60">
        <v>0</v>
      </c>
      <c r="AQ277" s="60">
        <v>0</v>
      </c>
      <c r="AR277" s="60">
        <v>0</v>
      </c>
      <c r="AS277" s="60">
        <v>15.08</v>
      </c>
      <c r="AT277" s="60">
        <v>35.95</v>
      </c>
      <c r="AU277" s="60">
        <v>79.3598233995585</v>
      </c>
      <c r="AV277" s="60">
        <v>0</v>
      </c>
      <c r="AZ277" s="53" t="s">
        <v>212</v>
      </c>
      <c r="BC277" s="56">
        <v>3</v>
      </c>
      <c r="BD277" s="56">
        <v>3.7037037037037</v>
      </c>
      <c r="BE277" s="59">
        <f>U277/((VLOOKUP(B277,'Cell-Characteristics'!$B$4:$E$34,3,FALSE)*VLOOKUP(B277,'Cell-Characteristics'!$B$4:$E$34,4,FALSE)*3600)/1000)</f>
        <v>1.79067980155466</v>
      </c>
      <c r="BF277" s="90">
        <f t="shared" si="62"/>
        <v>4060.34590855918</v>
      </c>
      <c r="BG277" s="90">
        <f t="shared" si="60"/>
        <v>29716.3802617154</v>
      </c>
      <c r="BH277" s="90">
        <f t="shared" si="61"/>
        <v>1034.08917194817</v>
      </c>
      <c r="BI277" s="90">
        <f t="shared" si="63"/>
        <v>34810.8153422226</v>
      </c>
      <c r="BJ277" s="90">
        <f>BF277/((VLOOKUP(B277,'Cell-Characteristics'!$B$4:$Q$34,13,FALSE)))</f>
        <v>110.521691669639</v>
      </c>
      <c r="BK277" s="90">
        <f>BG277/((VLOOKUP(B277,'Cell-Characteristics'!$B$4:$Q$34,14,FALSE)))</f>
        <v>11683.7226789791</v>
      </c>
      <c r="BL277" s="90">
        <f>BH277/((VLOOKUP(B277,'Cell-Characteristics'!$B$4:$Q$34,15,FALSE)))</f>
        <v>406.577483662878</v>
      </c>
      <c r="BM277" s="90">
        <f>BI277/((VLOOKUP(B277,'Cell-Characteristics'!$B$4:$Q$34,16,FALSE)))</f>
        <v>832.300820140745</v>
      </c>
      <c r="BN277" s="50">
        <f t="shared" si="59"/>
        <v>2</v>
      </c>
    </row>
    <row r="278" spans="2:66">
      <c r="B278" s="53" t="s">
        <v>157</v>
      </c>
      <c r="C278" s="108" t="s">
        <v>1010</v>
      </c>
      <c r="D278" s="53" t="s">
        <v>405</v>
      </c>
      <c r="E278" s="55" t="s">
        <v>228</v>
      </c>
      <c r="F278" s="56" t="s">
        <v>195</v>
      </c>
      <c r="H278" s="57">
        <v>44300</v>
      </c>
      <c r="I278" s="58" t="s">
        <v>1007</v>
      </c>
      <c r="J278" s="58">
        <v>100</v>
      </c>
      <c r="K278" s="59">
        <v>4.1549</v>
      </c>
      <c r="L278" s="60">
        <v>45.26</v>
      </c>
      <c r="M278" s="60">
        <v>51.1</v>
      </c>
      <c r="N278" s="60">
        <v>52.3</v>
      </c>
      <c r="O278" s="59" t="s">
        <v>198</v>
      </c>
      <c r="P278" s="59" t="s">
        <v>198</v>
      </c>
      <c r="Q278" s="61" t="s">
        <v>381</v>
      </c>
      <c r="R278" s="62">
        <v>59.327827407731</v>
      </c>
      <c r="S278" s="63">
        <v>0.042</v>
      </c>
      <c r="T278" s="63">
        <v>60.8330144447012</v>
      </c>
      <c r="U278" s="60">
        <v>64.3266706827116</v>
      </c>
      <c r="V278" s="60">
        <v>4.93201841567696</v>
      </c>
      <c r="W278" s="60">
        <v>58.4507264823682</v>
      </c>
      <c r="X278" s="60">
        <v>0.943925784666477</v>
      </c>
      <c r="Y278" s="60">
        <v>7.66714391298737</v>
      </c>
      <c r="Z278" s="60">
        <v>90.8654619647172</v>
      </c>
      <c r="AA278" s="60">
        <v>1.46739412229548</v>
      </c>
      <c r="AB278" s="60">
        <v>3.4936562380104</v>
      </c>
      <c r="AC278" s="60">
        <v>0</v>
      </c>
      <c r="AD278" s="120">
        <v>2</v>
      </c>
      <c r="AE278" s="120">
        <v>2</v>
      </c>
      <c r="AF278" s="120">
        <v>2</v>
      </c>
      <c r="AG278" s="60">
        <v>966.387330856976</v>
      </c>
      <c r="AH278" s="60">
        <v>103.8973</v>
      </c>
      <c r="AI278" s="60">
        <v>100.253579567417</v>
      </c>
      <c r="AJ278" s="60">
        <v>112.3264</v>
      </c>
      <c r="AK278" s="55">
        <v>235.610965</v>
      </c>
      <c r="AL278" s="60">
        <v>7.39</v>
      </c>
      <c r="AM278" s="60">
        <v>9.73</v>
      </c>
      <c r="AN278" s="60">
        <v>11.51</v>
      </c>
      <c r="AO278" s="60">
        <v>0.99</v>
      </c>
      <c r="AP278" s="60">
        <v>0</v>
      </c>
      <c r="AQ278" s="60">
        <v>0</v>
      </c>
      <c r="AR278" s="60">
        <v>0</v>
      </c>
      <c r="AS278" s="60">
        <v>15.64</v>
      </c>
      <c r="AT278" s="60">
        <v>37.87</v>
      </c>
      <c r="AU278" s="60">
        <v>83.6721166593018</v>
      </c>
      <c r="AV278" s="60">
        <v>0</v>
      </c>
      <c r="AZ278" s="53" t="s">
        <v>212</v>
      </c>
      <c r="BC278" s="56">
        <v>2</v>
      </c>
      <c r="BD278" s="56">
        <v>2.46913580246914</v>
      </c>
      <c r="BE278" s="59">
        <f>U278/((VLOOKUP(B278,'Cell-Characteristics'!$B$4:$E$34,3,FALSE)*VLOOKUP(B278,'Cell-Characteristics'!$B$4:$E$34,4,FALSE)*3600)/1000)</f>
        <v>1.65449255871172</v>
      </c>
      <c r="BF278" s="90">
        <f t="shared" si="62"/>
        <v>2466.00920783848</v>
      </c>
      <c r="BG278" s="90">
        <f t="shared" si="60"/>
        <v>29225.3632411841</v>
      </c>
      <c r="BH278" s="90">
        <f t="shared" si="61"/>
        <v>471.962892333239</v>
      </c>
      <c r="BI278" s="90">
        <f t="shared" si="63"/>
        <v>32163.3353413558</v>
      </c>
      <c r="BJ278" s="90">
        <f>BF278/((VLOOKUP(B278,'Cell-Characteristics'!$B$4:$Q$34,13,FALSE)))</f>
        <v>67.1242094789722</v>
      </c>
      <c r="BK278" s="90">
        <f>BG278/((VLOOKUP(B278,'Cell-Characteristics'!$B$4:$Q$34,14,FALSE)))</f>
        <v>11490.6673119384</v>
      </c>
      <c r="BL278" s="90">
        <f>BH278/((VLOOKUP(B278,'Cell-Characteristics'!$B$4:$Q$34,15,FALSE)))</f>
        <v>185.563769888039</v>
      </c>
      <c r="BM278" s="90">
        <f>BI278/((VLOOKUP(B278,'Cell-Characteristics'!$B$4:$Q$34,16,FALSE)))</f>
        <v>769.001533572325</v>
      </c>
      <c r="BN278" s="50">
        <f t="shared" si="59"/>
        <v>2</v>
      </c>
    </row>
    <row r="279" spans="2:66">
      <c r="B279" s="53" t="s">
        <v>157</v>
      </c>
      <c r="C279" s="108" t="s">
        <v>1011</v>
      </c>
      <c r="D279" s="53" t="s">
        <v>405</v>
      </c>
      <c r="E279" s="55" t="s">
        <v>228</v>
      </c>
      <c r="F279" s="56" t="s">
        <v>195</v>
      </c>
      <c r="H279" s="57">
        <v>44300</v>
      </c>
      <c r="I279" s="58" t="s">
        <v>1007</v>
      </c>
      <c r="J279" s="58">
        <v>100</v>
      </c>
      <c r="K279" s="59">
        <v>4.152</v>
      </c>
      <c r="L279" s="60">
        <v>45.21</v>
      </c>
      <c r="M279" s="60">
        <v>48.5</v>
      </c>
      <c r="N279" s="60">
        <v>52.3</v>
      </c>
      <c r="O279" s="59" t="s">
        <v>198</v>
      </c>
      <c r="P279" s="59" t="s">
        <v>198</v>
      </c>
      <c r="Q279" s="61" t="s">
        <v>381</v>
      </c>
      <c r="R279" s="62">
        <v>59.4827435903198</v>
      </c>
      <c r="S279" s="63">
        <v>0.043</v>
      </c>
      <c r="T279" s="63">
        <v>61.0425220733386</v>
      </c>
      <c r="U279" s="60">
        <v>64.5775868417134</v>
      </c>
      <c r="V279" s="60">
        <v>5.95235204651154</v>
      </c>
      <c r="W279" s="60">
        <v>57.566556259885</v>
      </c>
      <c r="X279" s="60">
        <v>1.05867853531684</v>
      </c>
      <c r="Y279" s="60">
        <v>9.21736524639949</v>
      </c>
      <c r="Z279" s="60">
        <v>89.1432447003429</v>
      </c>
      <c r="AA279" s="60">
        <v>1.63939005325761</v>
      </c>
      <c r="AB279" s="60">
        <v>3.5350647683748</v>
      </c>
      <c r="AC279" s="60">
        <v>0</v>
      </c>
      <c r="AD279" s="120">
        <v>2</v>
      </c>
      <c r="AE279" s="120">
        <v>2</v>
      </c>
      <c r="AF279" s="120">
        <v>2</v>
      </c>
      <c r="AG279" s="60">
        <v>965.00485879945</v>
      </c>
      <c r="AH279" s="60">
        <v>104.9252</v>
      </c>
      <c r="AI279" s="60">
        <v>101.10098321107</v>
      </c>
      <c r="AJ279" s="60">
        <v>114.3583</v>
      </c>
      <c r="AK279" s="55">
        <v>226.82863</v>
      </c>
      <c r="AL279" s="60">
        <v>7.2</v>
      </c>
      <c r="AM279" s="60">
        <v>10.87</v>
      </c>
      <c r="AN279" s="60">
        <v>9.19</v>
      </c>
      <c r="AO279" s="60">
        <v>0.98</v>
      </c>
      <c r="AP279" s="60">
        <v>0</v>
      </c>
      <c r="AQ279" s="60">
        <v>0</v>
      </c>
      <c r="AR279" s="60">
        <v>0</v>
      </c>
      <c r="AS279" s="60">
        <v>16.97</v>
      </c>
      <c r="AT279" s="60">
        <v>38.01</v>
      </c>
      <c r="AU279" s="60">
        <v>84.0743198407432</v>
      </c>
      <c r="AV279" s="60">
        <v>0</v>
      </c>
      <c r="AZ279" s="53" t="s">
        <v>212</v>
      </c>
      <c r="BC279" s="56">
        <v>3</v>
      </c>
      <c r="BD279" s="56">
        <v>3.7037037037037</v>
      </c>
      <c r="BE279" s="59">
        <f>U279/((VLOOKUP(B279,'Cell-Characteristics'!$B$4:$E$34,3,FALSE)*VLOOKUP(B279,'Cell-Characteristics'!$B$4:$E$34,4,FALSE)*3600)/1000)</f>
        <v>1.66094616362432</v>
      </c>
      <c r="BF279" s="90">
        <f t="shared" si="62"/>
        <v>2976.17602325577</v>
      </c>
      <c r="BG279" s="90">
        <f t="shared" si="60"/>
        <v>28783.2781299425</v>
      </c>
      <c r="BH279" s="90">
        <f t="shared" si="61"/>
        <v>529.33926765842</v>
      </c>
      <c r="BI279" s="90">
        <f t="shared" si="63"/>
        <v>32288.7934208567</v>
      </c>
      <c r="BJ279" s="90">
        <f>BF279/((VLOOKUP(B279,'Cell-Characteristics'!$B$4:$Q$34,13,FALSE)))</f>
        <v>81.010834102449</v>
      </c>
      <c r="BK279" s="90">
        <f>BG279/((VLOOKUP(B279,'Cell-Characteristics'!$B$4:$Q$34,14,FALSE)))</f>
        <v>11316.8507234185</v>
      </c>
      <c r="BL279" s="90">
        <f>BH279/((VLOOKUP(B279,'Cell-Characteristics'!$B$4:$Q$34,15,FALSE)))</f>
        <v>208.122697042707</v>
      </c>
      <c r="BM279" s="90">
        <f>BI279/((VLOOKUP(B279,'Cell-Characteristics'!$B$4:$Q$34,16,FALSE)))</f>
        <v>772.001143361276</v>
      </c>
      <c r="BN279" s="50">
        <f t="shared" si="59"/>
        <v>2</v>
      </c>
    </row>
    <row r="280" spans="2:66">
      <c r="B280" s="53" t="s">
        <v>158</v>
      </c>
      <c r="C280" s="53" t="s">
        <v>1012</v>
      </c>
      <c r="D280" s="53" t="s">
        <v>405</v>
      </c>
      <c r="E280" s="55" t="s">
        <v>228</v>
      </c>
      <c r="F280" s="56" t="s">
        <v>195</v>
      </c>
      <c r="H280" s="57">
        <v>44273</v>
      </c>
      <c r="I280" s="58" t="s">
        <v>1013</v>
      </c>
      <c r="J280" s="58">
        <v>100</v>
      </c>
      <c r="K280" s="59">
        <v>4.17</v>
      </c>
      <c r="L280" s="60">
        <v>41.43</v>
      </c>
      <c r="M280" s="60">
        <v>50.1</v>
      </c>
      <c r="N280" s="60">
        <v>51.4</v>
      </c>
      <c r="O280" s="59" t="s">
        <v>198</v>
      </c>
      <c r="P280" s="59" t="s">
        <v>198</v>
      </c>
      <c r="Q280" s="61" t="s">
        <v>381</v>
      </c>
      <c r="R280" s="62">
        <v>26.3097038684973</v>
      </c>
      <c r="S280" s="63">
        <v>0.032</v>
      </c>
      <c r="T280" s="63">
        <v>27.908858683058</v>
      </c>
      <c r="U280" s="60">
        <v>29.152048512884</v>
      </c>
      <c r="V280" s="60">
        <v>10.4142792627875</v>
      </c>
      <c r="W280" s="60">
        <v>18.1686745273316</v>
      </c>
      <c r="X280" s="60">
        <v>0.569094722764866</v>
      </c>
      <c r="Y280" s="60">
        <v>35.7240049809358</v>
      </c>
      <c r="Z280" s="60">
        <v>62.3238347017083</v>
      </c>
      <c r="AA280" s="60">
        <v>1.95216031735592</v>
      </c>
      <c r="AB280" s="60">
        <v>1.243189829826</v>
      </c>
      <c r="AC280" s="60">
        <v>0</v>
      </c>
      <c r="AD280" s="120">
        <v>2</v>
      </c>
      <c r="AE280" s="120">
        <v>2</v>
      </c>
      <c r="AF280" s="120">
        <v>2</v>
      </c>
      <c r="AG280" s="60">
        <v>915.426645704244</v>
      </c>
      <c r="AH280" s="60">
        <v>119.6542</v>
      </c>
      <c r="AI280" s="60">
        <v>0</v>
      </c>
      <c r="AJ280" s="60">
        <v>124.9685</v>
      </c>
      <c r="AK280" s="55">
        <v>289.04096</v>
      </c>
      <c r="AL280" s="60">
        <v>23.97</v>
      </c>
      <c r="AM280" s="60">
        <v>1.73</v>
      </c>
      <c r="AN280" s="60">
        <v>4.23</v>
      </c>
      <c r="AO280" s="60">
        <v>1.48</v>
      </c>
      <c r="AP280" s="60">
        <v>0</v>
      </c>
      <c r="AQ280" s="60">
        <v>0</v>
      </c>
      <c r="AR280" s="60">
        <v>0</v>
      </c>
      <c r="AS280" s="60">
        <v>10.02</v>
      </c>
      <c r="AT280" s="53">
        <v>17.46</v>
      </c>
      <c r="AU280" s="53">
        <v>42.1433743664012</v>
      </c>
      <c r="AV280" s="53">
        <v>0</v>
      </c>
      <c r="AW280" s="53" t="s">
        <v>1014</v>
      </c>
      <c r="AX280" s="53" t="s">
        <v>768</v>
      </c>
      <c r="AY280" s="53" t="s">
        <v>768</v>
      </c>
      <c r="AZ280" s="53" t="s">
        <v>768</v>
      </c>
      <c r="BA280" s="53" t="s">
        <v>768</v>
      </c>
      <c r="BB280" s="53" t="s">
        <v>1015</v>
      </c>
      <c r="BC280" s="56">
        <v>3</v>
      </c>
      <c r="BD280" s="56">
        <v>3.7037037037037</v>
      </c>
      <c r="BE280" s="59">
        <f>U280/((VLOOKUP(B280,'Cell-Characteristics'!$B$4:$E$34,3,FALSE)*VLOOKUP(B280,'Cell-Characteristics'!$B$4:$E$34,4,FALSE)*3600)/1000)</f>
        <v>1.04622626015231</v>
      </c>
      <c r="BF280" s="90">
        <f t="shared" si="62"/>
        <v>5207.13963139375</v>
      </c>
      <c r="BG280" s="90">
        <f t="shared" si="60"/>
        <v>9084.3372636658</v>
      </c>
      <c r="BH280" s="90">
        <f t="shared" si="61"/>
        <v>284.547361382433</v>
      </c>
      <c r="BI280" s="90">
        <f t="shared" si="63"/>
        <v>14576.024256442</v>
      </c>
      <c r="BJ280" s="90">
        <f>BF280/((VLOOKUP(B280,'Cell-Characteristics'!$B$4:$Q$34,13,FALSE)))</f>
        <v>141.737155843915</v>
      </c>
      <c r="BK280" s="90">
        <f>BG280/((VLOOKUP(B280,'Cell-Characteristics'!$B$4:$Q$34,14,FALSE)))</f>
        <v>3571.72967825187</v>
      </c>
      <c r="BL280" s="90">
        <f>BH280/((VLOOKUP(B280,'Cell-Characteristics'!$B$4:$Q$34,15,FALSE)))</f>
        <v>111.876763931129</v>
      </c>
      <c r="BM280" s="90">
        <f>BI280/((VLOOKUP(B280,'Cell-Characteristics'!$B$4:$Q$34,16,FALSE)))</f>
        <v>348.501947563216</v>
      </c>
      <c r="BN280" s="50">
        <f t="shared" si="59"/>
        <v>2</v>
      </c>
    </row>
    <row r="281" spans="2:66">
      <c r="B281" s="53" t="s">
        <v>158</v>
      </c>
      <c r="C281" s="53" t="s">
        <v>1016</v>
      </c>
      <c r="D281" s="53" t="s">
        <v>405</v>
      </c>
      <c r="E281" s="55" t="s">
        <v>228</v>
      </c>
      <c r="F281" s="56" t="s">
        <v>195</v>
      </c>
      <c r="H281" s="57">
        <v>44273</v>
      </c>
      <c r="I281" s="58" t="s">
        <v>1013</v>
      </c>
      <c r="J281" s="58">
        <v>100</v>
      </c>
      <c r="K281" s="59">
        <v>4.17</v>
      </c>
      <c r="L281" s="60">
        <v>41.58</v>
      </c>
      <c r="M281" s="60">
        <v>48.2</v>
      </c>
      <c r="N281" s="60">
        <v>51.4</v>
      </c>
      <c r="O281" s="59" t="s">
        <v>198</v>
      </c>
      <c r="P281" s="59" t="s">
        <v>198</v>
      </c>
      <c r="Q281" s="61" t="s">
        <v>381</v>
      </c>
      <c r="R281" s="62">
        <v>27.2364074987961</v>
      </c>
      <c r="S281" s="63">
        <v>0.024</v>
      </c>
      <c r="T281" s="63">
        <v>28.647049833066</v>
      </c>
      <c r="U281" s="60">
        <v>29.4057842354508</v>
      </c>
      <c r="V281" s="60">
        <v>13.9877240656896</v>
      </c>
      <c r="W281" s="60">
        <v>14.9780937748373</v>
      </c>
      <c r="X281" s="60">
        <v>0.439966394923907</v>
      </c>
      <c r="Y281" s="60">
        <v>47.5679340965387</v>
      </c>
      <c r="Z281" s="60">
        <v>50.9358759314438</v>
      </c>
      <c r="AA281" s="60">
        <v>1.49618997201746</v>
      </c>
      <c r="AB281" s="60">
        <v>0.7587344023848</v>
      </c>
      <c r="AC281" s="60">
        <v>0</v>
      </c>
      <c r="AD281" s="120">
        <v>2</v>
      </c>
      <c r="AE281" s="120">
        <v>2</v>
      </c>
      <c r="AF281" s="120">
        <v>2</v>
      </c>
      <c r="AG281" s="60">
        <v>947.692262214548</v>
      </c>
      <c r="AH281" s="60">
        <v>74.4716</v>
      </c>
      <c r="AI281" s="60">
        <v>70.2844713092757</v>
      </c>
      <c r="AJ281" s="60">
        <v>90.9274</v>
      </c>
      <c r="AK281" s="55">
        <v>175.01911</v>
      </c>
      <c r="AL281" s="60">
        <v>25</v>
      </c>
      <c r="AM281" s="60">
        <v>1.54</v>
      </c>
      <c r="AN281" s="60">
        <v>4.87</v>
      </c>
      <c r="AO281" s="60">
        <v>1.43</v>
      </c>
      <c r="AP281" s="60">
        <v>0</v>
      </c>
      <c r="AQ281" s="60">
        <v>0</v>
      </c>
      <c r="AR281" s="60">
        <v>0</v>
      </c>
      <c r="AS281" s="60">
        <v>8.74</v>
      </c>
      <c r="AT281" s="53">
        <v>16.58</v>
      </c>
      <c r="AU281" s="53">
        <v>39.8749398749399</v>
      </c>
      <c r="AV281" s="53">
        <v>0</v>
      </c>
      <c r="AX281" s="53" t="s">
        <v>768</v>
      </c>
      <c r="AY281" s="53" t="s">
        <v>768</v>
      </c>
      <c r="AZ281" s="53" t="s">
        <v>768</v>
      </c>
      <c r="BA281" s="53" t="s">
        <v>768</v>
      </c>
      <c r="BC281" s="56">
        <v>3</v>
      </c>
      <c r="BD281" s="56">
        <v>3.7037037037037</v>
      </c>
      <c r="BE281" s="59">
        <f>U281/((VLOOKUP(B281,'Cell-Characteristics'!$B$4:$E$34,3,FALSE)*VLOOKUP(B281,'Cell-Characteristics'!$B$4:$E$34,4,FALSE)*3600)/1000)</f>
        <v>1.05533248045689</v>
      </c>
      <c r="BF281" s="90">
        <f t="shared" si="62"/>
        <v>6993.8620328448</v>
      </c>
      <c r="BG281" s="90">
        <f t="shared" si="60"/>
        <v>7489.04688741865</v>
      </c>
      <c r="BH281" s="90">
        <f t="shared" si="61"/>
        <v>219.983197461953</v>
      </c>
      <c r="BI281" s="90">
        <f t="shared" si="63"/>
        <v>14702.8921177254</v>
      </c>
      <c r="BJ281" s="90">
        <f>BF281/((VLOOKUP(B281,'Cell-Characteristics'!$B$4:$Q$34,13,FALSE)))</f>
        <v>190.371333029691</v>
      </c>
      <c r="BK281" s="90">
        <f>BG281/((VLOOKUP(B281,'Cell-Characteristics'!$B$4:$Q$34,14,FALSE)))</f>
        <v>2944.50219683048</v>
      </c>
      <c r="BL281" s="90">
        <f>BH281/((VLOOKUP(B281,'Cell-Characteristics'!$B$4:$Q$34,15,FALSE)))</f>
        <v>86.4917816552463</v>
      </c>
      <c r="BM281" s="90">
        <f>BI281/((VLOOKUP(B281,'Cell-Characteristics'!$B$4:$Q$34,16,FALSE)))</f>
        <v>351.535264190753</v>
      </c>
      <c r="BN281" s="50">
        <f t="shared" si="59"/>
        <v>2</v>
      </c>
    </row>
    <row r="282" spans="2:66">
      <c r="B282" s="53" t="s">
        <v>158</v>
      </c>
      <c r="C282" s="53" t="s">
        <v>1017</v>
      </c>
      <c r="D282" s="53" t="s">
        <v>405</v>
      </c>
      <c r="E282" s="55" t="s">
        <v>228</v>
      </c>
      <c r="F282" s="56" t="s">
        <v>195</v>
      </c>
      <c r="H282" s="57">
        <v>44273</v>
      </c>
      <c r="I282" s="58" t="s">
        <v>1013</v>
      </c>
      <c r="J282" s="58">
        <v>100</v>
      </c>
      <c r="K282" s="59">
        <v>4.16</v>
      </c>
      <c r="L282" s="60">
        <v>41.43</v>
      </c>
      <c r="M282" s="60">
        <v>50.2</v>
      </c>
      <c r="N282" s="60">
        <v>47.7</v>
      </c>
      <c r="O282" s="59" t="s">
        <v>198</v>
      </c>
      <c r="P282" s="59" t="s">
        <v>198</v>
      </c>
      <c r="Q282" s="61" t="s">
        <v>381</v>
      </c>
      <c r="R282" s="62">
        <v>26.1750602153767</v>
      </c>
      <c r="S282" s="63">
        <v>0.029</v>
      </c>
      <c r="T282" s="63">
        <v>28.3599238725156</v>
      </c>
      <c r="U282" s="60">
        <v>29.6673923121204</v>
      </c>
      <c r="V282" s="60">
        <v>8.26400658415895</v>
      </c>
      <c r="W282" s="60">
        <v>20.4058372494168</v>
      </c>
      <c r="X282" s="60">
        <v>0.997548478544652</v>
      </c>
      <c r="Y282" s="60">
        <v>27.8555206241795</v>
      </c>
      <c r="Z282" s="60">
        <v>68.7820386595965</v>
      </c>
      <c r="AA282" s="60">
        <v>3.36244071622402</v>
      </c>
      <c r="AB282" s="60">
        <v>1.3074684396048</v>
      </c>
      <c r="AC282" s="60">
        <v>0</v>
      </c>
      <c r="AD282" s="120">
        <v>2</v>
      </c>
      <c r="AE282" s="120">
        <v>2</v>
      </c>
      <c r="AF282" s="120">
        <v>2</v>
      </c>
      <c r="AG282" s="60">
        <v>950.469570446683</v>
      </c>
      <c r="AH282" s="60">
        <v>137.8592</v>
      </c>
      <c r="AI282" s="60">
        <v>130.84061743293</v>
      </c>
      <c r="AJ282" s="60">
        <v>147.7813</v>
      </c>
      <c r="AK282" s="55">
        <v>314.109705</v>
      </c>
      <c r="AL282" s="60">
        <v>24.25</v>
      </c>
      <c r="AM282" s="60">
        <v>0.38</v>
      </c>
      <c r="AN282" s="60">
        <v>4.69</v>
      </c>
      <c r="AO282" s="60">
        <v>1.49</v>
      </c>
      <c r="AP282" s="60">
        <v>0</v>
      </c>
      <c r="AQ282" s="60">
        <v>0</v>
      </c>
      <c r="AR282" s="60">
        <v>0</v>
      </c>
      <c r="AS282" s="60">
        <v>10.62</v>
      </c>
      <c r="AT282" s="53">
        <v>17.18</v>
      </c>
      <c r="AU282" s="53">
        <v>41.4675356022206</v>
      </c>
      <c r="AV282" s="53">
        <v>0</v>
      </c>
      <c r="AX282" s="53" t="s">
        <v>768</v>
      </c>
      <c r="AY282" s="53" t="s">
        <v>768</v>
      </c>
      <c r="AZ282" s="53" t="s">
        <v>768</v>
      </c>
      <c r="BA282" s="53" t="s">
        <v>768</v>
      </c>
      <c r="BC282" s="56">
        <v>6</v>
      </c>
      <c r="BD282" s="56">
        <v>7.40740740740741</v>
      </c>
      <c r="BE282" s="59">
        <f>U282/((VLOOKUP(B282,'Cell-Characteristics'!$B$4:$E$34,3,FALSE)*VLOOKUP(B282,'Cell-Characteristics'!$B$4:$E$34,4,FALSE)*3600)/1000)</f>
        <v>1.06472122854294</v>
      </c>
      <c r="BF282" s="90">
        <f t="shared" si="62"/>
        <v>4132.00329207948</v>
      </c>
      <c r="BG282" s="90">
        <f t="shared" si="60"/>
        <v>10202.9186247084</v>
      </c>
      <c r="BH282" s="90">
        <f t="shared" si="61"/>
        <v>498.774239272326</v>
      </c>
      <c r="BI282" s="90">
        <f t="shared" si="63"/>
        <v>14833.6961560602</v>
      </c>
      <c r="BJ282" s="90">
        <f>BF282/((VLOOKUP(B282,'Cell-Characteristics'!$B$4:$Q$34,13,FALSE)))</f>
        <v>112.4721893429</v>
      </c>
      <c r="BK282" s="90">
        <f>BG282/((VLOOKUP(B282,'Cell-Characteristics'!$B$4:$Q$34,14,FALSE)))</f>
        <v>4011.52733534183</v>
      </c>
      <c r="BL282" s="90">
        <f>BH282/((VLOOKUP(B282,'Cell-Characteristics'!$B$4:$Q$34,15,FALSE)))</f>
        <v>196.105307569523</v>
      </c>
      <c r="BM282" s="90">
        <f>BI282/((VLOOKUP(B282,'Cell-Characteristics'!$B$4:$Q$34,16,FALSE)))</f>
        <v>354.662691897157</v>
      </c>
      <c r="BN282" s="50">
        <f t="shared" si="59"/>
        <v>2</v>
      </c>
    </row>
    <row r="283" spans="2:66">
      <c r="B283" s="53" t="s">
        <v>158</v>
      </c>
      <c r="C283" s="53" t="s">
        <v>1018</v>
      </c>
      <c r="D283" s="53" t="s">
        <v>405</v>
      </c>
      <c r="E283" s="55" t="s">
        <v>228</v>
      </c>
      <c r="F283" s="56" t="s">
        <v>195</v>
      </c>
      <c r="H283" s="57">
        <v>44273</v>
      </c>
      <c r="I283" s="58" t="s">
        <v>1013</v>
      </c>
      <c r="J283" s="58">
        <v>100</v>
      </c>
      <c r="K283" s="59">
        <v>4.17</v>
      </c>
      <c r="L283" s="60">
        <v>41.55</v>
      </c>
      <c r="M283" s="60">
        <v>49</v>
      </c>
      <c r="N283" s="60">
        <v>51.4</v>
      </c>
      <c r="O283" s="59" t="s">
        <v>198</v>
      </c>
      <c r="P283" s="59" t="s">
        <v>198</v>
      </c>
      <c r="Q283" s="61" t="s">
        <v>381</v>
      </c>
      <c r="R283" s="62">
        <v>23.8089547610967</v>
      </c>
      <c r="S283" s="63">
        <v>0.034</v>
      </c>
      <c r="T283" s="63">
        <v>25.1472561746257</v>
      </c>
      <c r="U283" s="60">
        <v>25.8583401744337</v>
      </c>
      <c r="V283" s="60">
        <v>10.6114853822222</v>
      </c>
      <c r="W283" s="60">
        <v>14.6829558104994</v>
      </c>
      <c r="X283" s="60">
        <v>0.563898981712118</v>
      </c>
      <c r="Y283" s="60">
        <v>41.0369935217801</v>
      </c>
      <c r="Z283" s="60">
        <v>56.7822826656774</v>
      </c>
      <c r="AA283" s="60">
        <v>2.18072381254249</v>
      </c>
      <c r="AB283" s="60">
        <v>0.711083999808</v>
      </c>
      <c r="AC283" s="60">
        <v>0</v>
      </c>
      <c r="AD283" s="120">
        <v>2</v>
      </c>
      <c r="AE283" s="120">
        <v>2</v>
      </c>
      <c r="AF283" s="120">
        <v>2</v>
      </c>
      <c r="AG283" s="60">
        <v>966.712282023476</v>
      </c>
      <c r="AH283" s="60">
        <v>114.7567</v>
      </c>
      <c r="AI283" s="60">
        <v>110.760419439072</v>
      </c>
      <c r="AJ283" s="60">
        <v>125.7859</v>
      </c>
      <c r="AK283" s="55">
        <v>285.76167</v>
      </c>
      <c r="AL283" s="60">
        <v>25.97</v>
      </c>
      <c r="AM283" s="60">
        <v>0.81</v>
      </c>
      <c r="AN283" s="60">
        <v>4.67</v>
      </c>
      <c r="AO283" s="60">
        <v>1.7</v>
      </c>
      <c r="AP283" s="60">
        <v>0</v>
      </c>
      <c r="AQ283" s="60">
        <v>0</v>
      </c>
      <c r="AR283" s="60">
        <v>0</v>
      </c>
      <c r="AS283" s="60">
        <v>8.4</v>
      </c>
      <c r="AT283" s="53">
        <v>15.58</v>
      </c>
      <c r="AU283" s="53">
        <v>37.496991576414</v>
      </c>
      <c r="AV283" s="53">
        <v>0.0001</v>
      </c>
      <c r="AX283" s="53" t="s">
        <v>768</v>
      </c>
      <c r="AY283" s="53" t="s">
        <v>768</v>
      </c>
      <c r="AZ283" s="53" t="s">
        <v>768</v>
      </c>
      <c r="BA283" s="53" t="s">
        <v>768</v>
      </c>
      <c r="BC283" s="56">
        <v>5</v>
      </c>
      <c r="BD283" s="56">
        <v>6.17283950617284</v>
      </c>
      <c r="BE283" s="59">
        <f>U283/((VLOOKUP(B283,'Cell-Characteristics'!$B$4:$E$34,3,FALSE)*VLOOKUP(B283,'Cell-Characteristics'!$B$4:$E$34,4,FALSE)*3600)/1000)</f>
        <v>0.928019673213957</v>
      </c>
      <c r="BF283" s="90">
        <f t="shared" si="62"/>
        <v>5305.7426911111</v>
      </c>
      <c r="BG283" s="90">
        <f t="shared" si="60"/>
        <v>7341.4779052497</v>
      </c>
      <c r="BH283" s="90">
        <f t="shared" si="61"/>
        <v>281.949490856059</v>
      </c>
      <c r="BI283" s="90">
        <f t="shared" si="63"/>
        <v>12929.1700872168</v>
      </c>
      <c r="BJ283" s="90">
        <f>BF283/((VLOOKUP(B283,'Cell-Characteristics'!$B$4:$Q$34,13,FALSE)))</f>
        <v>144.421108691576</v>
      </c>
      <c r="BK283" s="90">
        <f>BG283/((VLOOKUP(B283,'Cell-Characteristics'!$B$4:$Q$34,14,FALSE)))</f>
        <v>2886.48183740257</v>
      </c>
      <c r="BL283" s="90">
        <f>BH283/((VLOOKUP(B283,'Cell-Characteristics'!$B$4:$Q$34,15,FALSE)))</f>
        <v>110.855347509656</v>
      </c>
      <c r="BM283" s="90">
        <f>BI283/((VLOOKUP(B283,'Cell-Characteristics'!$B$4:$Q$34,16,FALSE)))</f>
        <v>309.126883744019</v>
      </c>
      <c r="BN283" s="50">
        <f t="shared" si="59"/>
        <v>2</v>
      </c>
    </row>
    <row r="284" spans="2:66">
      <c r="B284" s="53" t="s">
        <v>158</v>
      </c>
      <c r="C284" s="53" t="s">
        <v>1019</v>
      </c>
      <c r="D284" s="53" t="s">
        <v>405</v>
      </c>
      <c r="E284" s="55" t="s">
        <v>228</v>
      </c>
      <c r="F284" s="56" t="s">
        <v>195</v>
      </c>
      <c r="H284" s="57">
        <v>44274</v>
      </c>
      <c r="I284" s="58" t="s">
        <v>1013</v>
      </c>
      <c r="J284" s="58">
        <v>100</v>
      </c>
      <c r="K284" s="59">
        <v>4.17</v>
      </c>
      <c r="L284" s="60">
        <v>41.49</v>
      </c>
      <c r="M284" s="60">
        <v>49</v>
      </c>
      <c r="N284" s="60">
        <v>47.7</v>
      </c>
      <c r="O284" s="59" t="s">
        <v>198</v>
      </c>
      <c r="P284" s="59" t="s">
        <v>198</v>
      </c>
      <c r="Q284" s="61" t="s">
        <v>381</v>
      </c>
      <c r="R284" s="62">
        <v>26.3788684467229</v>
      </c>
      <c r="S284" s="63">
        <v>0.027</v>
      </c>
      <c r="T284" s="63">
        <v>29.0132489562118</v>
      </c>
      <c r="U284" s="60">
        <v>29.4531033751318</v>
      </c>
      <c r="V284" s="60">
        <v>15.3593174529412</v>
      </c>
      <c r="W284" s="60">
        <v>13.5215243507111</v>
      </c>
      <c r="X284" s="60">
        <v>0.57226157147955</v>
      </c>
      <c r="Y284" s="60">
        <v>52.148384016842</v>
      </c>
      <c r="Z284" s="60">
        <v>45.9086574969472</v>
      </c>
      <c r="AA284" s="60">
        <v>1.94295848621076</v>
      </c>
      <c r="AB284" s="60">
        <v>0.43985441892</v>
      </c>
      <c r="AC284" s="60">
        <v>0</v>
      </c>
      <c r="AD284" s="120">
        <v>2</v>
      </c>
      <c r="AE284" s="120">
        <v>2</v>
      </c>
      <c r="AF284" s="120">
        <v>2</v>
      </c>
      <c r="AG284" s="60">
        <v>942.248960731208</v>
      </c>
      <c r="AH284" s="60">
        <v>94.18</v>
      </c>
      <c r="AI284" s="60">
        <v>88.5941448366756</v>
      </c>
      <c r="AJ284" s="60">
        <v>104.4857</v>
      </c>
      <c r="AK284" s="55">
        <v>221.155555</v>
      </c>
      <c r="AL284" s="60">
        <v>28.18</v>
      </c>
      <c r="AM284" s="60">
        <v>1.46</v>
      </c>
      <c r="AN284" s="60">
        <v>4.15</v>
      </c>
      <c r="AO284" s="60">
        <v>0.3</v>
      </c>
      <c r="AP284" s="60">
        <v>0.45</v>
      </c>
      <c r="AQ284" s="60">
        <v>0</v>
      </c>
      <c r="AR284" s="60">
        <v>0</v>
      </c>
      <c r="AS284" s="60">
        <v>6.95</v>
      </c>
      <c r="AT284" s="53">
        <v>13.31</v>
      </c>
      <c r="AU284" s="53">
        <v>32.0800192817546</v>
      </c>
      <c r="AV284" s="53">
        <v>0</v>
      </c>
      <c r="AW284" s="53" t="s">
        <v>1020</v>
      </c>
      <c r="AX284" s="53" t="s">
        <v>768</v>
      </c>
      <c r="AY284" s="53" t="s">
        <v>768</v>
      </c>
      <c r="AZ284" s="53" t="s">
        <v>768</v>
      </c>
      <c r="BA284" s="53" t="s">
        <v>768</v>
      </c>
      <c r="BC284" s="56">
        <v>7</v>
      </c>
      <c r="BD284" s="56">
        <v>8.64197530864197</v>
      </c>
      <c r="BE284" s="59">
        <f>U284/((VLOOKUP(B284,'Cell-Characteristics'!$B$4:$E$34,3,FALSE)*VLOOKUP(B284,'Cell-Characteristics'!$B$4:$E$34,4,FALSE)*3600)/1000)</f>
        <v>1.05703069821748</v>
      </c>
      <c r="BF284" s="90">
        <f t="shared" si="62"/>
        <v>7679.6587264706</v>
      </c>
      <c r="BG284" s="90">
        <f t="shared" si="60"/>
        <v>6760.76217535555</v>
      </c>
      <c r="BH284" s="90">
        <f t="shared" si="61"/>
        <v>286.130785739775</v>
      </c>
      <c r="BI284" s="90">
        <f t="shared" si="63"/>
        <v>14726.5516875659</v>
      </c>
      <c r="BJ284" s="90">
        <f>BF284/((VLOOKUP(B284,'Cell-Characteristics'!$B$4:$Q$34,13,FALSE)))</f>
        <v>209.038562972143</v>
      </c>
      <c r="BK284" s="90">
        <f>BG284/((VLOOKUP(B284,'Cell-Characteristics'!$B$4:$Q$34,14,FALSE)))</f>
        <v>2658.15922597922</v>
      </c>
      <c r="BL284" s="90">
        <f>BH284/((VLOOKUP(B284,'Cell-Characteristics'!$B$4:$Q$34,15,FALSE)))</f>
        <v>112.499325996609</v>
      </c>
      <c r="BM284" s="90">
        <f>BI284/((VLOOKUP(B284,'Cell-Characteristics'!$B$4:$Q$34,16,FALSE)))</f>
        <v>352.100946987574</v>
      </c>
      <c r="BN284" s="50">
        <f t="shared" si="59"/>
        <v>2</v>
      </c>
    </row>
    <row r="285" spans="2:66">
      <c r="B285" s="53" t="s">
        <v>158</v>
      </c>
      <c r="C285" s="53" t="s">
        <v>1021</v>
      </c>
      <c r="D285" s="53" t="s">
        <v>405</v>
      </c>
      <c r="E285" s="55" t="s">
        <v>228</v>
      </c>
      <c r="F285" s="56" t="s">
        <v>195</v>
      </c>
      <c r="H285" s="57">
        <v>44274</v>
      </c>
      <c r="I285" s="58" t="s">
        <v>1013</v>
      </c>
      <c r="J285" s="58">
        <v>100</v>
      </c>
      <c r="K285" s="59">
        <v>4.17</v>
      </c>
      <c r="L285" s="60">
        <v>41.5</v>
      </c>
      <c r="M285" s="60">
        <v>49</v>
      </c>
      <c r="N285" s="60">
        <v>51.4</v>
      </c>
      <c r="O285" s="59" t="s">
        <v>198</v>
      </c>
      <c r="P285" s="59" t="s">
        <v>198</v>
      </c>
      <c r="Q285" s="61" t="s">
        <v>381</v>
      </c>
      <c r="R285" s="62">
        <v>25.0202464528297</v>
      </c>
      <c r="S285" s="63">
        <v>0.032</v>
      </c>
      <c r="T285" s="63">
        <v>27.3088273110429</v>
      </c>
      <c r="U285" s="60">
        <v>28.0564858454853</v>
      </c>
      <c r="V285" s="60">
        <v>10.9020796555556</v>
      </c>
      <c r="W285" s="60">
        <v>15.9578860011005</v>
      </c>
      <c r="X285" s="60">
        <v>1.19652018882928</v>
      </c>
      <c r="Y285" s="60">
        <v>38.8576093085794</v>
      </c>
      <c r="Z285" s="60">
        <v>56.8777076679699</v>
      </c>
      <c r="AA285" s="60">
        <v>4.26468302345077</v>
      </c>
      <c r="AB285" s="60">
        <v>0.7476585344424</v>
      </c>
      <c r="AC285" s="60">
        <v>0</v>
      </c>
      <c r="AD285" s="120">
        <v>2</v>
      </c>
      <c r="AE285" s="120">
        <v>2</v>
      </c>
      <c r="AF285" s="120">
        <v>2</v>
      </c>
      <c r="AG285" s="60">
        <v>964.247281732334</v>
      </c>
      <c r="AH285" s="60">
        <v>122.4296</v>
      </c>
      <c r="AI285" s="60">
        <v>117.860413946216</v>
      </c>
      <c r="AJ285" s="60">
        <v>135.8816</v>
      </c>
      <c r="AK285" s="55">
        <v>294.82756</v>
      </c>
      <c r="AL285" s="60">
        <v>25.81</v>
      </c>
      <c r="AM285" s="60">
        <v>0.94</v>
      </c>
      <c r="AN285" s="60">
        <v>5.12</v>
      </c>
      <c r="AO285" s="60">
        <v>0.81</v>
      </c>
      <c r="AP285" s="60">
        <v>0</v>
      </c>
      <c r="AQ285" s="60">
        <v>0</v>
      </c>
      <c r="AR285" s="60">
        <v>0</v>
      </c>
      <c r="AS285" s="60">
        <v>8.82</v>
      </c>
      <c r="AT285" s="53">
        <v>15.69</v>
      </c>
      <c r="AU285" s="53">
        <v>37.8072289156627</v>
      </c>
      <c r="AV285" s="53">
        <v>0</v>
      </c>
      <c r="AW285" s="53" t="s">
        <v>1022</v>
      </c>
      <c r="AX285" s="53" t="s">
        <v>768</v>
      </c>
      <c r="AY285" s="53" t="s">
        <v>768</v>
      </c>
      <c r="AZ285" s="53" t="s">
        <v>768</v>
      </c>
      <c r="BA285" s="53" t="s">
        <v>768</v>
      </c>
      <c r="BC285" s="56">
        <v>4</v>
      </c>
      <c r="BD285" s="56">
        <v>4.93827160493827</v>
      </c>
      <c r="BE285" s="59">
        <f>U285/((VLOOKUP(B285,'Cell-Characteristics'!$B$4:$E$34,3,FALSE)*VLOOKUP(B285,'Cell-Characteristics'!$B$4:$E$34,4,FALSE)*3600)/1000)</f>
        <v>1.00690804785692</v>
      </c>
      <c r="BF285" s="90">
        <f t="shared" si="62"/>
        <v>5451.0398277778</v>
      </c>
      <c r="BG285" s="90">
        <f t="shared" si="60"/>
        <v>7978.94300055025</v>
      </c>
      <c r="BH285" s="90">
        <f t="shared" si="61"/>
        <v>598.26009441464</v>
      </c>
      <c r="BI285" s="90">
        <f t="shared" si="63"/>
        <v>14028.2429227427</v>
      </c>
      <c r="BJ285" s="90">
        <f>BF285/((VLOOKUP(B285,'Cell-Characteristics'!$B$4:$Q$34,13,FALSE)))</f>
        <v>148.376063688219</v>
      </c>
      <c r="BK285" s="90">
        <f>BG285/((VLOOKUP(B285,'Cell-Characteristics'!$B$4:$Q$34,14,FALSE)))</f>
        <v>3137.11685167502</v>
      </c>
      <c r="BL285" s="90">
        <f>BH285/((VLOOKUP(B285,'Cell-Characteristics'!$B$4:$Q$34,15,FALSE)))</f>
        <v>235.220608010789</v>
      </c>
      <c r="BM285" s="90">
        <f>BI285/((VLOOKUP(B285,'Cell-Characteristics'!$B$4:$Q$34,16,FALSE)))</f>
        <v>335.404901463788</v>
      </c>
      <c r="BN285" s="50">
        <f t="shared" si="59"/>
        <v>2</v>
      </c>
    </row>
    <row r="286" spans="2:66">
      <c r="B286" s="53" t="s">
        <v>158</v>
      </c>
      <c r="C286" s="53" t="s">
        <v>1023</v>
      </c>
      <c r="D286" s="53" t="s">
        <v>405</v>
      </c>
      <c r="E286" s="55" t="s">
        <v>228</v>
      </c>
      <c r="F286" s="56" t="s">
        <v>195</v>
      </c>
      <c r="H286" s="57">
        <v>44274</v>
      </c>
      <c r="I286" s="58" t="s">
        <v>1013</v>
      </c>
      <c r="J286" s="58">
        <v>100</v>
      </c>
      <c r="K286" s="59">
        <v>4.16</v>
      </c>
      <c r="L286" s="60">
        <v>41.55</v>
      </c>
      <c r="M286" s="60">
        <v>50.4</v>
      </c>
      <c r="N286" s="60">
        <v>47.7</v>
      </c>
      <c r="O286" s="59" t="s">
        <v>198</v>
      </c>
      <c r="P286" s="59" t="s">
        <v>198</v>
      </c>
      <c r="Q286" s="61" t="s">
        <v>381</v>
      </c>
      <c r="R286" s="62">
        <v>35.0734637524132</v>
      </c>
      <c r="S286" s="63">
        <v>0.031</v>
      </c>
      <c r="T286" s="63">
        <v>38.6106538991413</v>
      </c>
      <c r="U286" s="60">
        <v>39.7167336353569</v>
      </c>
      <c r="V286" s="60">
        <v>15.0906212530191</v>
      </c>
      <c r="W286" s="60">
        <v>23.4768245372522</v>
      </c>
      <c r="X286" s="60">
        <v>1.14928784508569</v>
      </c>
      <c r="Y286" s="60">
        <v>37.9956251981029</v>
      </c>
      <c r="Z286" s="60">
        <v>59.11066290797</v>
      </c>
      <c r="AA286" s="60">
        <v>2.89371189392716</v>
      </c>
      <c r="AB286" s="60">
        <v>1.1060797362156</v>
      </c>
      <c r="AC286" s="60">
        <v>0</v>
      </c>
      <c r="AD286" s="120">
        <v>2</v>
      </c>
      <c r="AE286" s="120">
        <v>2</v>
      </c>
      <c r="AF286" s="120">
        <v>2</v>
      </c>
      <c r="AG286" s="60">
        <v>948.207334940805</v>
      </c>
      <c r="AH286" s="60">
        <v>130.7296</v>
      </c>
      <c r="AI286" s="60">
        <v>0</v>
      </c>
      <c r="AJ286" s="60">
        <v>167.1795</v>
      </c>
      <c r="AK286" s="55">
        <v>296.43926</v>
      </c>
      <c r="AL286" s="60">
        <v>23.66</v>
      </c>
      <c r="AM286" s="60">
        <v>0.76</v>
      </c>
      <c r="AN286" s="60">
        <v>5.28</v>
      </c>
      <c r="AO286" s="60">
        <v>1.67</v>
      </c>
      <c r="AP286" s="60">
        <v>0</v>
      </c>
      <c r="AQ286" s="60">
        <v>0</v>
      </c>
      <c r="AR286" s="60">
        <v>0</v>
      </c>
      <c r="AS286" s="60">
        <v>10.18</v>
      </c>
      <c r="AT286" s="53">
        <v>17.89</v>
      </c>
      <c r="AU286" s="53">
        <v>43.0565583634176</v>
      </c>
      <c r="AV286" s="53">
        <v>0</v>
      </c>
      <c r="AW286" s="53" t="s">
        <v>1024</v>
      </c>
      <c r="AX286" s="53" t="s">
        <v>768</v>
      </c>
      <c r="AY286" s="53" t="s">
        <v>768</v>
      </c>
      <c r="AZ286" s="53" t="s">
        <v>768</v>
      </c>
      <c r="BA286" s="53" t="s">
        <v>768</v>
      </c>
      <c r="BB286" s="53" t="s">
        <v>1025</v>
      </c>
      <c r="BC286" s="56">
        <v>4</v>
      </c>
      <c r="BD286" s="56">
        <v>4.93827160493827</v>
      </c>
      <c r="BE286" s="59">
        <f>U286/((VLOOKUP(B286,'Cell-Characteristics'!$B$4:$E$34,3,FALSE)*VLOOKUP(B286,'Cell-Characteristics'!$B$4:$E$34,4,FALSE)*3600)/1000)</f>
        <v>1.42537803744462</v>
      </c>
      <c r="BF286" s="90">
        <f t="shared" si="62"/>
        <v>7545.31062650955</v>
      </c>
      <c r="BG286" s="90">
        <f t="shared" si="60"/>
        <v>11738.4122686261</v>
      </c>
      <c r="BH286" s="90">
        <f t="shared" si="61"/>
        <v>574.643922542845</v>
      </c>
      <c r="BI286" s="90">
        <f t="shared" si="63"/>
        <v>19858.3668176785</v>
      </c>
      <c r="BJ286" s="90">
        <f>BF286/((VLOOKUP(B286,'Cell-Characteristics'!$B$4:$Q$34,13,FALSE)))</f>
        <v>205.381638263094</v>
      </c>
      <c r="BK286" s="90">
        <f>BG286/((VLOOKUP(B286,'Cell-Characteristics'!$B$4:$Q$34,14,FALSE)))</f>
        <v>4615.24426697574</v>
      </c>
      <c r="BL286" s="90">
        <f>BH286/((VLOOKUP(B286,'Cell-Characteristics'!$B$4:$Q$34,15,FALSE)))</f>
        <v>225.935331659529</v>
      </c>
      <c r="BM286" s="90">
        <f>BI286/((VLOOKUP(B286,'Cell-Characteristics'!$B$4:$Q$34,16,FALSE)))</f>
        <v>474.798847039997</v>
      </c>
      <c r="BN286" s="50">
        <f t="shared" si="59"/>
        <v>2</v>
      </c>
    </row>
    <row r="287" spans="2:66">
      <c r="B287" s="53" t="s">
        <v>158</v>
      </c>
      <c r="C287" s="53" t="s">
        <v>1026</v>
      </c>
      <c r="D287" s="53" t="s">
        <v>405</v>
      </c>
      <c r="E287" s="55" t="s">
        <v>228</v>
      </c>
      <c r="F287" s="56" t="s">
        <v>195</v>
      </c>
      <c r="H287" s="57">
        <v>44274</v>
      </c>
      <c r="I287" s="58" t="s">
        <v>1013</v>
      </c>
      <c r="J287" s="58">
        <v>100</v>
      </c>
      <c r="K287" s="59">
        <v>4.16</v>
      </c>
      <c r="L287" s="60">
        <v>41.54</v>
      </c>
      <c r="M287" s="60">
        <v>51.2</v>
      </c>
      <c r="N287" s="60">
        <v>51.4</v>
      </c>
      <c r="O287" s="59" t="s">
        <v>198</v>
      </c>
      <c r="P287" s="59" t="s">
        <v>198</v>
      </c>
      <c r="Q287" s="61" t="s">
        <v>381</v>
      </c>
      <c r="R287" s="62">
        <v>25.7399032180637</v>
      </c>
      <c r="S287" s="63">
        <v>0.025</v>
      </c>
      <c r="T287" s="63">
        <v>27.1458528988191</v>
      </c>
      <c r="U287" s="60">
        <v>27.5791528848831</v>
      </c>
      <c r="V287" s="60">
        <v>14.1652056898792</v>
      </c>
      <c r="W287" s="60">
        <v>12.864594550234</v>
      </c>
      <c r="X287" s="60">
        <v>0.549352644769913</v>
      </c>
      <c r="Y287" s="60">
        <v>51.3620042972514</v>
      </c>
      <c r="Z287" s="60">
        <v>46.6460830176023</v>
      </c>
      <c r="AA287" s="60">
        <v>1.99191268514643</v>
      </c>
      <c r="AB287" s="60">
        <v>0.433299986064</v>
      </c>
      <c r="AC287" s="60">
        <v>0</v>
      </c>
      <c r="AD287" s="120">
        <v>2</v>
      </c>
      <c r="AE287" s="120">
        <v>2</v>
      </c>
      <c r="AF287" s="120">
        <v>2</v>
      </c>
      <c r="AG287" s="60">
        <v>962.768038847823</v>
      </c>
      <c r="AH287" s="60">
        <v>84.2664</v>
      </c>
      <c r="AI287" s="60">
        <v>80.9401445614863</v>
      </c>
      <c r="AJ287" s="60">
        <v>102.909</v>
      </c>
      <c r="AK287" s="55">
        <v>216.42669</v>
      </c>
      <c r="AL287" s="60">
        <v>26.3</v>
      </c>
      <c r="AM287" s="60">
        <v>1.86</v>
      </c>
      <c r="AN287" s="60">
        <v>5.37</v>
      </c>
      <c r="AO287" s="60">
        <v>0.81</v>
      </c>
      <c r="AP287" s="60">
        <v>0</v>
      </c>
      <c r="AQ287" s="60">
        <v>0</v>
      </c>
      <c r="AR287" s="60">
        <v>0</v>
      </c>
      <c r="AS287" s="60">
        <v>7.2</v>
      </c>
      <c r="AT287" s="53">
        <v>15.24</v>
      </c>
      <c r="AU287" s="53">
        <v>36.6875300914781</v>
      </c>
      <c r="AV287" s="53">
        <v>0</v>
      </c>
      <c r="AX287" s="53" t="s">
        <v>768</v>
      </c>
      <c r="AY287" s="53" t="s">
        <v>768</v>
      </c>
      <c r="AZ287" s="53" t="s">
        <v>768</v>
      </c>
      <c r="BA287" s="53" t="s">
        <v>768</v>
      </c>
      <c r="BC287" s="56">
        <v>2</v>
      </c>
      <c r="BD287" s="56">
        <v>2.46913580246914</v>
      </c>
      <c r="BE287" s="59">
        <f>U287/((VLOOKUP(B287,'Cell-Characteristics'!$B$4:$E$34,3,FALSE)*VLOOKUP(B287,'Cell-Characteristics'!$B$4:$E$34,4,FALSE)*3600)/1000)</f>
        <v>0.989777235317366</v>
      </c>
      <c r="BF287" s="90">
        <f t="shared" si="62"/>
        <v>7082.6028449396</v>
      </c>
      <c r="BG287" s="90">
        <f t="shared" si="60"/>
        <v>6432.297275117</v>
      </c>
      <c r="BH287" s="90">
        <f t="shared" si="61"/>
        <v>274.676322384957</v>
      </c>
      <c r="BI287" s="90">
        <f t="shared" si="63"/>
        <v>13789.5764424416</v>
      </c>
      <c r="BJ287" s="90">
        <f>BF287/((VLOOKUP(B287,'Cell-Characteristics'!$B$4:$Q$34,13,FALSE)))</f>
        <v>192.786837741292</v>
      </c>
      <c r="BK287" s="90">
        <f>BG287/((VLOOKUP(B287,'Cell-Characteristics'!$B$4:$Q$34,14,FALSE)))</f>
        <v>2529.01520606943</v>
      </c>
      <c r="BL287" s="90">
        <f>BH287/((VLOOKUP(B287,'Cell-Characteristics'!$B$4:$Q$34,15,FALSE)))</f>
        <v>107.995723199244</v>
      </c>
      <c r="BM287" s="90">
        <f>BI287/((VLOOKUP(B287,'Cell-Characteristics'!$B$4:$Q$34,16,FALSE)))</f>
        <v>329.69856263369</v>
      </c>
      <c r="BN287" s="50">
        <f t="shared" si="59"/>
        <v>2</v>
      </c>
    </row>
    <row r="288" spans="2:66">
      <c r="B288" s="53" t="s">
        <v>158</v>
      </c>
      <c r="C288" s="53" t="s">
        <v>1027</v>
      </c>
      <c r="D288" s="53" t="s">
        <v>405</v>
      </c>
      <c r="E288" s="55" t="s">
        <v>228</v>
      </c>
      <c r="F288" s="56" t="s">
        <v>195</v>
      </c>
      <c r="H288" s="57">
        <v>44274</v>
      </c>
      <c r="I288" s="58" t="s">
        <v>1013</v>
      </c>
      <c r="J288" s="58">
        <v>100</v>
      </c>
      <c r="K288" s="59">
        <v>4.17</v>
      </c>
      <c r="L288" s="60">
        <v>41.56</v>
      </c>
      <c r="M288" s="60">
        <v>49.2</v>
      </c>
      <c r="N288" s="60">
        <v>51.4</v>
      </c>
      <c r="O288" s="59" t="s">
        <v>198</v>
      </c>
      <c r="P288" s="59" t="s">
        <v>198</v>
      </c>
      <c r="Q288" s="61" t="s">
        <v>381</v>
      </c>
      <c r="R288" s="62">
        <v>25.1233832164836</v>
      </c>
      <c r="S288" s="63">
        <v>0.034</v>
      </c>
      <c r="T288" s="63">
        <v>28.0923338070524</v>
      </c>
      <c r="U288" s="60">
        <v>28.6323932053616</v>
      </c>
      <c r="V288" s="60">
        <v>12.9676698954664</v>
      </c>
      <c r="W288" s="60">
        <v>14.4843339536118</v>
      </c>
      <c r="X288" s="60">
        <v>1.18038935628344</v>
      </c>
      <c r="Y288" s="60">
        <v>45.2902061048746</v>
      </c>
      <c r="Z288" s="60">
        <v>50.5872277239455</v>
      </c>
      <c r="AA288" s="60">
        <v>4.12256617117988</v>
      </c>
      <c r="AB288" s="60">
        <v>0.5400593983092</v>
      </c>
      <c r="AC288" s="60">
        <v>0</v>
      </c>
      <c r="AD288" s="120">
        <v>2</v>
      </c>
      <c r="AE288" s="120">
        <v>2</v>
      </c>
      <c r="AF288" s="120">
        <v>2</v>
      </c>
      <c r="AG288" s="60">
        <v>967.013882437569</v>
      </c>
      <c r="AH288" s="60">
        <v>129.8387</v>
      </c>
      <c r="AI288" s="60">
        <v>125.373478353558</v>
      </c>
      <c r="AJ288" s="60">
        <v>139.3644</v>
      </c>
      <c r="AK288" s="55">
        <v>311.668405</v>
      </c>
      <c r="AL288" s="60">
        <v>27.34</v>
      </c>
      <c r="AM288" s="60">
        <v>0.96</v>
      </c>
      <c r="AN288" s="60">
        <v>4.1</v>
      </c>
      <c r="AO288" s="60">
        <v>0.93</v>
      </c>
      <c r="AP288" s="60">
        <v>0</v>
      </c>
      <c r="AQ288" s="60">
        <v>0</v>
      </c>
      <c r="AR288" s="60">
        <v>0</v>
      </c>
      <c r="AS288" s="60">
        <v>8.23</v>
      </c>
      <c r="AT288" s="53">
        <v>14.22</v>
      </c>
      <c r="AU288" s="53">
        <v>34.2155919153032</v>
      </c>
      <c r="AV288" s="53">
        <v>0</v>
      </c>
      <c r="AX288" s="53" t="s">
        <v>768</v>
      </c>
      <c r="AY288" s="53" t="s">
        <v>768</v>
      </c>
      <c r="AZ288" s="53" t="s">
        <v>768</v>
      </c>
      <c r="BA288" s="53" t="s">
        <v>768</v>
      </c>
      <c r="BC288" s="56">
        <v>5</v>
      </c>
      <c r="BD288" s="56">
        <v>6.17283950617284</v>
      </c>
      <c r="BE288" s="59">
        <f>U288/((VLOOKUP(B288,'Cell-Characteristics'!$B$4:$E$34,3,FALSE)*VLOOKUP(B288,'Cell-Characteristics'!$B$4:$E$34,4,FALSE)*3600)/1000)</f>
        <v>1.02757655775774</v>
      </c>
      <c r="BF288" s="90">
        <f t="shared" si="62"/>
        <v>6483.8349477332</v>
      </c>
      <c r="BG288" s="90">
        <f t="shared" si="60"/>
        <v>7242.1669768059</v>
      </c>
      <c r="BH288" s="90">
        <f t="shared" si="61"/>
        <v>590.19467814172</v>
      </c>
      <c r="BI288" s="90">
        <f t="shared" si="63"/>
        <v>14316.1966026808</v>
      </c>
      <c r="BJ288" s="90">
        <f>BF288/((VLOOKUP(B288,'Cell-Characteristics'!$B$4:$Q$34,13,FALSE)))</f>
        <v>176.488511833339</v>
      </c>
      <c r="BK288" s="90">
        <f>BG288/((VLOOKUP(B288,'Cell-Characteristics'!$B$4:$Q$34,14,FALSE)))</f>
        <v>2847.43531367693</v>
      </c>
      <c r="BL288" s="90">
        <f>BH288/((VLOOKUP(B288,'Cell-Characteristics'!$B$4:$Q$34,15,FALSE)))</f>
        <v>232.049492074279</v>
      </c>
      <c r="BM288" s="90">
        <f>BI288/((VLOOKUP(B288,'Cell-Characteristics'!$B$4:$Q$34,16,FALSE)))</f>
        <v>342.289660743884</v>
      </c>
      <c r="BN288" s="50">
        <f t="shared" si="59"/>
        <v>2</v>
      </c>
    </row>
    <row r="289" spans="2:66">
      <c r="B289" s="53" t="s">
        <v>158</v>
      </c>
      <c r="C289" s="53" t="s">
        <v>1028</v>
      </c>
      <c r="D289" s="53" t="s">
        <v>405</v>
      </c>
      <c r="E289" s="55" t="s">
        <v>228</v>
      </c>
      <c r="F289" s="56" t="s">
        <v>195</v>
      </c>
      <c r="H289" s="57">
        <v>44274</v>
      </c>
      <c r="I289" s="58" t="s">
        <v>1013</v>
      </c>
      <c r="J289" s="58">
        <v>100</v>
      </c>
      <c r="K289" s="59">
        <v>4.16</v>
      </c>
      <c r="L289" s="60">
        <v>41.64</v>
      </c>
      <c r="M289" s="60">
        <v>49.4</v>
      </c>
      <c r="N289" s="60">
        <v>51.4</v>
      </c>
      <c r="O289" s="59" t="s">
        <v>198</v>
      </c>
      <c r="P289" s="59" t="s">
        <v>198</v>
      </c>
      <c r="Q289" s="61" t="s">
        <v>381</v>
      </c>
      <c r="R289" s="62">
        <v>27.226203929015</v>
      </c>
      <c r="S289" s="63">
        <v>0.027</v>
      </c>
      <c r="T289" s="63">
        <v>29.2437320480105</v>
      </c>
      <c r="U289" s="60">
        <v>29.9111229283199</v>
      </c>
      <c r="V289" s="60">
        <v>12.456410926299</v>
      </c>
      <c r="W289" s="60">
        <v>16.5904019258804</v>
      </c>
      <c r="X289" s="60">
        <v>0.864310076140437</v>
      </c>
      <c r="Y289" s="60">
        <v>41.6447451877686</v>
      </c>
      <c r="Z289" s="60">
        <v>55.4656606027071</v>
      </c>
      <c r="AA289" s="60">
        <v>2.88959420952434</v>
      </c>
      <c r="AB289" s="60">
        <v>0.6673908803094</v>
      </c>
      <c r="AC289" s="60">
        <v>0</v>
      </c>
      <c r="AD289" s="120">
        <v>2</v>
      </c>
      <c r="AE289" s="120">
        <v>2</v>
      </c>
      <c r="AF289" s="120">
        <v>2</v>
      </c>
      <c r="AG289" s="60">
        <v>962.891966542949</v>
      </c>
      <c r="AH289" s="60">
        <v>92.3219</v>
      </c>
      <c r="AI289" s="60">
        <v>88.7135144001634</v>
      </c>
      <c r="AJ289" s="60">
        <v>100.2576</v>
      </c>
      <c r="AK289" s="55">
        <v>222.437665</v>
      </c>
      <c r="AL289" s="60">
        <v>24.62</v>
      </c>
      <c r="AM289" s="60">
        <v>1.22</v>
      </c>
      <c r="AN289" s="60">
        <v>4.88</v>
      </c>
      <c r="AO289" s="60">
        <v>1.65</v>
      </c>
      <c r="AP289" s="60">
        <v>0</v>
      </c>
      <c r="AQ289" s="60">
        <v>0</v>
      </c>
      <c r="AR289" s="60">
        <v>0</v>
      </c>
      <c r="AS289" s="60">
        <v>9.27</v>
      </c>
      <c r="AT289" s="53">
        <v>17.02</v>
      </c>
      <c r="AU289" s="53">
        <v>40.8741594620557</v>
      </c>
      <c r="AV289" s="53">
        <v>0</v>
      </c>
      <c r="AX289" s="53" t="s">
        <v>768</v>
      </c>
      <c r="AY289" s="53" t="s">
        <v>768</v>
      </c>
      <c r="AZ289" s="53" t="s">
        <v>768</v>
      </c>
      <c r="BA289" s="53" t="s">
        <v>768</v>
      </c>
      <c r="BC289" s="56">
        <v>5</v>
      </c>
      <c r="BD289" s="56">
        <v>6.17283950617284</v>
      </c>
      <c r="BE289" s="59">
        <f>U289/((VLOOKUP(B289,'Cell-Characteristics'!$B$4:$E$34,3,FALSE)*VLOOKUP(B289,'Cell-Characteristics'!$B$4:$E$34,4,FALSE)*3600)/1000)</f>
        <v>1.07346837956933</v>
      </c>
      <c r="BF289" s="90">
        <f t="shared" si="62"/>
        <v>6228.2054631495</v>
      </c>
      <c r="BG289" s="90">
        <f t="shared" si="60"/>
        <v>8295.2009629402</v>
      </c>
      <c r="BH289" s="90">
        <f t="shared" si="61"/>
        <v>432.155038070218</v>
      </c>
      <c r="BI289" s="90">
        <f t="shared" si="63"/>
        <v>14955.56146416</v>
      </c>
      <c r="BJ289" s="90">
        <f>BF289/((VLOOKUP(B289,'Cell-Characteristics'!$B$4:$Q$34,13,FALSE)))</f>
        <v>169.530335433325</v>
      </c>
      <c r="BK289" s="90">
        <f>BG289/((VLOOKUP(B289,'Cell-Characteristics'!$B$4:$Q$34,14,FALSE)))</f>
        <v>3261.46141501148</v>
      </c>
      <c r="BL289" s="90">
        <f>BH289/((VLOOKUP(B289,'Cell-Characteristics'!$B$4:$Q$34,15,FALSE)))</f>
        <v>169.912337056782</v>
      </c>
      <c r="BM289" s="90">
        <f>BI289/((VLOOKUP(B289,'Cell-Characteristics'!$B$4:$Q$34,16,FALSE)))</f>
        <v>357.576401182073</v>
      </c>
      <c r="BN289" s="50">
        <f t="shared" si="59"/>
        <v>2</v>
      </c>
    </row>
    <row r="290" spans="2:66">
      <c r="B290" s="53" t="s">
        <v>158</v>
      </c>
      <c r="C290" s="53" t="s">
        <v>1029</v>
      </c>
      <c r="D290" s="53" t="s">
        <v>405</v>
      </c>
      <c r="E290" s="55" t="s">
        <v>228</v>
      </c>
      <c r="F290" s="56" t="s">
        <v>195</v>
      </c>
      <c r="H290" s="57">
        <v>44298</v>
      </c>
      <c r="I290" s="58" t="s">
        <v>1013</v>
      </c>
      <c r="J290" s="58">
        <v>100</v>
      </c>
      <c r="K290" s="59">
        <v>4.17</v>
      </c>
      <c r="L290" s="60">
        <v>41.5</v>
      </c>
      <c r="M290" s="60">
        <v>49.8</v>
      </c>
      <c r="N290" s="60">
        <v>48.2</v>
      </c>
      <c r="O290" s="59" t="s">
        <v>198</v>
      </c>
      <c r="P290" s="59" t="s">
        <v>198</v>
      </c>
      <c r="Q290" s="61" t="s">
        <v>381</v>
      </c>
      <c r="R290" s="62">
        <v>22.1798203014008</v>
      </c>
      <c r="S290" s="63">
        <v>0.03</v>
      </c>
      <c r="T290" s="63">
        <v>23.421868560536</v>
      </c>
      <c r="U290" s="60">
        <v>24.0837801024848</v>
      </c>
      <c r="V290" s="60">
        <v>8.7664229400491</v>
      </c>
      <c r="W290" s="60">
        <v>14.7607948273949</v>
      </c>
      <c r="X290" s="60">
        <v>0.556562335040791</v>
      </c>
      <c r="Y290" s="60">
        <v>36.3996968197888</v>
      </c>
      <c r="Z290" s="60">
        <v>61.2893605762162</v>
      </c>
      <c r="AA290" s="60">
        <v>2.31094260399499</v>
      </c>
      <c r="AB290" s="60">
        <v>0.6619115419488</v>
      </c>
      <c r="AC290" s="60">
        <v>0</v>
      </c>
      <c r="AD290" s="120">
        <v>2</v>
      </c>
      <c r="AE290" s="120">
        <v>2</v>
      </c>
      <c r="AF290" s="120">
        <v>2</v>
      </c>
      <c r="AG290" s="60">
        <v>945.739349518063</v>
      </c>
      <c r="AH290" s="60">
        <v>96.1896</v>
      </c>
      <c r="AI290" s="60">
        <v>90.7560258353987</v>
      </c>
      <c r="AJ290" s="60">
        <v>101.0115</v>
      </c>
      <c r="AK290" s="55">
        <v>234.78621</v>
      </c>
      <c r="AL290" s="60">
        <v>25.03</v>
      </c>
      <c r="AM290" s="60">
        <v>1.67</v>
      </c>
      <c r="AN290" s="60">
        <v>5.23</v>
      </c>
      <c r="AO290" s="60">
        <v>0.99</v>
      </c>
      <c r="AP290" s="60">
        <v>0</v>
      </c>
      <c r="AQ290" s="60">
        <v>0</v>
      </c>
      <c r="AR290" s="60">
        <v>0</v>
      </c>
      <c r="AS290" s="60">
        <v>8.58</v>
      </c>
      <c r="AT290" s="53">
        <v>16.47</v>
      </c>
      <c r="AU290" s="53">
        <v>39.6867469879518</v>
      </c>
      <c r="AV290" s="53">
        <v>0</v>
      </c>
      <c r="AW290" s="53" t="s">
        <v>1030</v>
      </c>
      <c r="AZ290" s="53" t="s">
        <v>212</v>
      </c>
      <c r="BC290" s="56">
        <v>2</v>
      </c>
      <c r="BD290" s="56">
        <v>2.46913580246914</v>
      </c>
      <c r="BE290" s="59">
        <f>U290/((VLOOKUP(B290,'Cell-Characteristics'!$B$4:$E$34,3,FALSE)*VLOOKUP(B290,'Cell-Characteristics'!$B$4:$E$34,4,FALSE)*3600)/1000)</f>
        <v>0.864333193456962</v>
      </c>
      <c r="BF290" s="90">
        <f t="shared" si="62"/>
        <v>4383.21147002455</v>
      </c>
      <c r="BG290" s="90">
        <f t="shared" si="60"/>
        <v>7380.39741369745</v>
      </c>
      <c r="BH290" s="90">
        <f t="shared" si="61"/>
        <v>278.281167520396</v>
      </c>
      <c r="BI290" s="90">
        <f t="shared" si="63"/>
        <v>12041.8900512424</v>
      </c>
      <c r="BJ290" s="90">
        <f>BF290/((VLOOKUP(B290,'Cell-Characteristics'!$B$4:$Q$34,13,FALSE)))</f>
        <v>119.310018782311</v>
      </c>
      <c r="BK290" s="90">
        <f>BG290/((VLOOKUP(B290,'Cell-Characteristics'!$B$4:$Q$34,14,FALSE)))</f>
        <v>2901.78399532022</v>
      </c>
      <c r="BL290" s="90">
        <f>BH290/((VLOOKUP(B290,'Cell-Characteristics'!$B$4:$Q$34,15,FALSE)))</f>
        <v>109.413056349924</v>
      </c>
      <c r="BM290" s="90">
        <f>BI290/((VLOOKUP(B290,'Cell-Characteristics'!$B$4:$Q$34,16,FALSE)))</f>
        <v>287.912675045485</v>
      </c>
      <c r="BN290" s="50">
        <f t="shared" si="59"/>
        <v>2</v>
      </c>
    </row>
    <row r="291" spans="2:66">
      <c r="B291" s="53" t="s">
        <v>158</v>
      </c>
      <c r="C291" s="53" t="s">
        <v>1031</v>
      </c>
      <c r="D291" s="53" t="s">
        <v>405</v>
      </c>
      <c r="E291" s="55" t="s">
        <v>228</v>
      </c>
      <c r="F291" s="56" t="s">
        <v>195</v>
      </c>
      <c r="H291" s="57">
        <v>44298</v>
      </c>
      <c r="I291" s="58" t="s">
        <v>1013</v>
      </c>
      <c r="J291" s="58">
        <v>100</v>
      </c>
      <c r="K291" s="59">
        <v>4.17</v>
      </c>
      <c r="L291" s="60">
        <v>41.54</v>
      </c>
      <c r="M291" s="60">
        <v>49.2</v>
      </c>
      <c r="N291" s="60">
        <v>49.4</v>
      </c>
      <c r="O291" s="59" t="s">
        <v>198</v>
      </c>
      <c r="P291" s="59" t="s">
        <v>198</v>
      </c>
      <c r="Q291" s="61" t="s">
        <v>381</v>
      </c>
      <c r="R291" s="62">
        <v>27.0137664695189</v>
      </c>
      <c r="S291" s="63">
        <v>0.026</v>
      </c>
      <c r="T291" s="63">
        <v>29.4474389777682</v>
      </c>
      <c r="U291" s="60">
        <v>30.0929877471906</v>
      </c>
      <c r="V291" s="60">
        <v>11.8181789564125</v>
      </c>
      <c r="W291" s="60">
        <v>17.4756505482896</v>
      </c>
      <c r="X291" s="60">
        <v>0.799158242488495</v>
      </c>
      <c r="Y291" s="60">
        <v>39.272202068124</v>
      </c>
      <c r="Z291" s="60">
        <v>58.0721684902194</v>
      </c>
      <c r="AA291" s="60">
        <v>2.65562944165656</v>
      </c>
      <c r="AB291" s="60">
        <v>0.6455487694224</v>
      </c>
      <c r="AC291" s="60">
        <v>0</v>
      </c>
      <c r="AD291" s="120">
        <v>2</v>
      </c>
      <c r="AE291" s="120">
        <v>2</v>
      </c>
      <c r="AF291" s="120">
        <v>2</v>
      </c>
      <c r="AG291" s="60">
        <v>946.277898710272</v>
      </c>
      <c r="AH291" s="60">
        <v>88.3244</v>
      </c>
      <c r="AI291" s="60">
        <v>83.4158462930006</v>
      </c>
      <c r="AJ291" s="60">
        <v>103.4769</v>
      </c>
      <c r="AK291" s="55">
        <v>198.362135</v>
      </c>
      <c r="AL291" s="60">
        <v>25.38</v>
      </c>
      <c r="AM291" s="60">
        <v>1.38</v>
      </c>
      <c r="AN291" s="60">
        <v>5.7</v>
      </c>
      <c r="AO291" s="60">
        <v>0.84</v>
      </c>
      <c r="AP291" s="60">
        <v>0</v>
      </c>
      <c r="AQ291" s="60">
        <v>0</v>
      </c>
      <c r="AR291" s="60">
        <v>0</v>
      </c>
      <c r="AS291" s="60">
        <v>8.24</v>
      </c>
      <c r="AT291" s="53">
        <v>16.16</v>
      </c>
      <c r="AU291" s="53">
        <v>38.9022628791526</v>
      </c>
      <c r="AV291" s="53">
        <v>0</v>
      </c>
      <c r="AZ291" s="53" t="s">
        <v>212</v>
      </c>
      <c r="BC291" s="56">
        <v>0</v>
      </c>
      <c r="BD291" s="56">
        <v>0</v>
      </c>
      <c r="BE291" s="59">
        <f>U291/((VLOOKUP(B291,'Cell-Characteristics'!$B$4:$E$34,3,FALSE)*VLOOKUP(B291,'Cell-Characteristics'!$B$4:$E$34,4,FALSE)*3600)/1000)</f>
        <v>1.07999525363159</v>
      </c>
      <c r="BF291" s="90">
        <f t="shared" si="62"/>
        <v>5909.08947820625</v>
      </c>
      <c r="BG291" s="90">
        <f t="shared" si="60"/>
        <v>8737.8252741448</v>
      </c>
      <c r="BH291" s="90">
        <f t="shared" si="61"/>
        <v>399.579121244248</v>
      </c>
      <c r="BI291" s="90">
        <f t="shared" si="63"/>
        <v>15046.4938735953</v>
      </c>
      <c r="BJ291" s="90">
        <f>BF291/((VLOOKUP(B291,'Cell-Characteristics'!$B$4:$Q$34,13,FALSE)))</f>
        <v>160.844070940341</v>
      </c>
      <c r="BK291" s="90">
        <f>BG291/((VLOOKUP(B291,'Cell-Characteristics'!$B$4:$Q$34,14,FALSE)))</f>
        <v>3435.49000320233</v>
      </c>
      <c r="BL291" s="90">
        <f>BH291/((VLOOKUP(B291,'Cell-Characteristics'!$B$4:$Q$34,15,FALSE)))</f>
        <v>157.104317545116</v>
      </c>
      <c r="BM291" s="90">
        <f>BI291/((VLOOKUP(B291,'Cell-Characteristics'!$B$4:$Q$34,16,FALSE)))</f>
        <v>359.75052776332</v>
      </c>
      <c r="BN291" s="50">
        <f t="shared" si="59"/>
        <v>2</v>
      </c>
    </row>
    <row r="292" spans="2:66">
      <c r="B292" s="53" t="s">
        <v>162</v>
      </c>
      <c r="C292" s="125" t="s">
        <v>1032</v>
      </c>
      <c r="D292" s="53" t="s">
        <v>391</v>
      </c>
      <c r="E292" s="55" t="s">
        <v>228</v>
      </c>
      <c r="F292" s="56" t="s">
        <v>392</v>
      </c>
      <c r="H292" s="57">
        <v>43141</v>
      </c>
      <c r="I292" s="58" t="s">
        <v>134</v>
      </c>
      <c r="J292" s="58">
        <v>100</v>
      </c>
      <c r="K292" s="59" t="s">
        <v>134</v>
      </c>
      <c r="L292" s="60">
        <v>48</v>
      </c>
      <c r="M292" s="60">
        <v>37</v>
      </c>
      <c r="N292" s="60">
        <v>37</v>
      </c>
      <c r="O292" s="59" t="s">
        <v>197</v>
      </c>
      <c r="P292" s="59" t="s">
        <v>197</v>
      </c>
      <c r="Q292" s="61" t="s">
        <v>199</v>
      </c>
      <c r="R292" s="62">
        <v>66.3848455953478</v>
      </c>
      <c r="S292" s="63">
        <v>0.049</v>
      </c>
      <c r="T292" s="63">
        <v>67.486600476816</v>
      </c>
      <c r="U292" s="60">
        <v>75.777294702516</v>
      </c>
      <c r="V292" s="60">
        <v>20.7013916814247</v>
      </c>
      <c r="W292" s="60">
        <v>37.0371942170135</v>
      </c>
      <c r="X292" s="60">
        <v>24.3318108268509</v>
      </c>
      <c r="Y292" s="60">
        <v>27.3187262262311</v>
      </c>
      <c r="Z292" s="60">
        <v>48.8763743314048</v>
      </c>
      <c r="AA292" s="60">
        <v>32.109632472856</v>
      </c>
      <c r="AB292" s="60">
        <v>7.215303933675</v>
      </c>
      <c r="AC292" s="60">
        <v>1.075390292025</v>
      </c>
      <c r="AD292" s="120">
        <v>0.601399898529053</v>
      </c>
      <c r="AE292" s="120">
        <v>2.00299978256226</v>
      </c>
      <c r="AF292" s="120">
        <v>2.70279979705811</v>
      </c>
      <c r="AG292" s="60">
        <v>809.53435102424</v>
      </c>
      <c r="AH292" s="60">
        <v>98.1260004043579</v>
      </c>
      <c r="AI292" s="60">
        <v>88.8367577284035</v>
      </c>
      <c r="AJ292" s="60" t="s">
        <v>134</v>
      </c>
      <c r="AK292" s="55">
        <v>295.23456</v>
      </c>
      <c r="AL292" s="60">
        <v>18</v>
      </c>
      <c r="AM292" s="60">
        <v>0</v>
      </c>
      <c r="AN292" s="60">
        <v>2.9</v>
      </c>
      <c r="AO292" s="60">
        <v>1</v>
      </c>
      <c r="AP292" s="60">
        <v>0</v>
      </c>
      <c r="AQ292" s="60">
        <v>3</v>
      </c>
      <c r="AR292" s="60">
        <v>0.6</v>
      </c>
      <c r="AS292" s="60">
        <v>22.5</v>
      </c>
      <c r="AT292" s="60">
        <f t="shared" ref="AT292" si="64">L292-AL292</f>
        <v>30</v>
      </c>
      <c r="AU292" s="60">
        <f t="shared" ref="AU292" si="65">100*(AT292/L292)</f>
        <v>62.5</v>
      </c>
      <c r="AV292" s="53">
        <v>0</v>
      </c>
      <c r="AW292" s="53" t="s">
        <v>1033</v>
      </c>
      <c r="AX292" s="53" t="s">
        <v>395</v>
      </c>
      <c r="AY292" s="53" t="s">
        <v>1034</v>
      </c>
      <c r="AZ292" s="53" t="s">
        <v>296</v>
      </c>
      <c r="BA292" s="53" t="s">
        <v>204</v>
      </c>
      <c r="BB292" s="53" t="s">
        <v>460</v>
      </c>
      <c r="BC292" s="56">
        <v>5</v>
      </c>
      <c r="BD292" s="56">
        <v>10</v>
      </c>
      <c r="BE292" s="59">
        <f>U292/((VLOOKUP(B292,'Cell-Characteristics'!$B$4:$E$34,3,FALSE)*VLOOKUP(B292,'Cell-Characteristics'!$B$4:$E$34,4,FALSE)*3600)/1000)</f>
        <v>1.65742114397454</v>
      </c>
      <c r="BF292" s="90">
        <f t="shared" ref="BF292" si="66">(1000*V292)/AD292</f>
        <v>34422.0072734592</v>
      </c>
      <c r="BG292" s="90">
        <f t="shared" ref="BG292" si="67">(1000*W292)/AE292</f>
        <v>18490.8628245757</v>
      </c>
      <c r="BH292" s="90">
        <f t="shared" ref="BH292" si="68">(1000*X292)/AF292</f>
        <v>9002.44659383766</v>
      </c>
      <c r="BI292" s="90">
        <f t="shared" ref="BI292" si="69">(1000*U292)/AVERAGE(AD292:AF292)</f>
        <v>42834.6221097416</v>
      </c>
      <c r="BJ292" s="90">
        <f>BF292/((VLOOKUP(B292,'Cell-Characteristics'!$B$4:$Q$34,13,FALSE)))</f>
        <v>936.959205004605</v>
      </c>
      <c r="BK292" s="90">
        <f>BG292/((VLOOKUP(B292,'Cell-Characteristics'!$B$4:$Q$34,14,FALSE)))</f>
        <v>7270.13557622696</v>
      </c>
      <c r="BL292" s="90">
        <f>BH292/((VLOOKUP(B292,'Cell-Characteristics'!$B$4:$Q$34,15,FALSE)))</f>
        <v>3539.53235583772</v>
      </c>
      <c r="BM292" s="90">
        <f>BI292/((VLOOKUP(B292,'Cell-Characteristics'!$B$4:$Q$34,16,FALSE)))</f>
        <v>1024.14409894947</v>
      </c>
      <c r="BN292" s="50">
        <f t="shared" ref="BN292" si="70">AVERAGE(AD292:AF292)</f>
        <v>1.76906649271647</v>
      </c>
    </row>
    <row r="293" spans="2:66">
      <c r="B293" s="53" t="s">
        <v>162</v>
      </c>
      <c r="C293" s="107" t="s">
        <v>1035</v>
      </c>
      <c r="D293" s="53" t="s">
        <v>391</v>
      </c>
      <c r="E293" s="55" t="s">
        <v>228</v>
      </c>
      <c r="F293" s="56" t="s">
        <v>392</v>
      </c>
      <c r="H293" s="57">
        <v>43141</v>
      </c>
      <c r="I293" s="58" t="s">
        <v>134</v>
      </c>
      <c r="J293" s="58">
        <v>100</v>
      </c>
      <c r="K293" s="59" t="s">
        <v>134</v>
      </c>
      <c r="L293" s="60">
        <v>48</v>
      </c>
      <c r="M293" s="60">
        <v>37</v>
      </c>
      <c r="N293" s="60">
        <v>37</v>
      </c>
      <c r="O293" s="59" t="s">
        <v>197</v>
      </c>
      <c r="P293" s="59" t="s">
        <v>197</v>
      </c>
      <c r="Q293" s="61" t="s">
        <v>209</v>
      </c>
      <c r="R293" s="62">
        <v>67.4693771596699</v>
      </c>
      <c r="S293" s="63">
        <v>0.055</v>
      </c>
      <c r="T293" s="63">
        <v>70.4711547204637</v>
      </c>
      <c r="U293" s="60">
        <v>77.0089287825445</v>
      </c>
      <c r="V293" s="60">
        <v>17.3945471305141</v>
      </c>
      <c r="W293" s="60">
        <v>58.8312125956306</v>
      </c>
      <c r="X293" s="60">
        <v>0.783169056399748</v>
      </c>
      <c r="Y293" s="60">
        <v>22.5877017191504</v>
      </c>
      <c r="Z293" s="60">
        <v>76.3953135379359</v>
      </c>
      <c r="AA293" s="60">
        <v>1.01698474291369</v>
      </c>
      <c r="AB293" s="60">
        <v>6.5377740620808</v>
      </c>
      <c r="AC293" s="60">
        <v>0</v>
      </c>
      <c r="AD293" s="124">
        <v>0.900500298</v>
      </c>
      <c r="AE293" s="124">
        <v>3.00660038</v>
      </c>
      <c r="AF293" s="124">
        <v>0</v>
      </c>
      <c r="AG293" s="60">
        <v>895.378970252094</v>
      </c>
      <c r="AH293" s="60">
        <v>92.8249998092651</v>
      </c>
      <c r="AI293" s="60">
        <v>84.0415254130751</v>
      </c>
      <c r="AK293" s="55">
        <v>297.40666</v>
      </c>
      <c r="AL293" s="60">
        <v>18.8</v>
      </c>
      <c r="AM293" s="60">
        <v>5.22</v>
      </c>
      <c r="AN293" s="60">
        <v>0</v>
      </c>
      <c r="AO293" s="60">
        <v>0</v>
      </c>
      <c r="AP293" s="60">
        <v>0</v>
      </c>
      <c r="AQ293" s="60">
        <v>0</v>
      </c>
      <c r="AR293" s="60">
        <v>0</v>
      </c>
      <c r="AS293" s="60">
        <v>23.98</v>
      </c>
      <c r="AT293" s="60">
        <f t="shared" ref="AT293:AT303" si="71">L293-AL293</f>
        <v>29.2</v>
      </c>
      <c r="AU293" s="60">
        <f t="shared" ref="AU293:AU303" si="72">100*(AT293/L293)</f>
        <v>60.8333333333333</v>
      </c>
      <c r="AV293" s="97">
        <v>0</v>
      </c>
      <c r="AW293" s="53" t="s">
        <v>1036</v>
      </c>
      <c r="AX293" s="53" t="s">
        <v>395</v>
      </c>
      <c r="AY293" s="53" t="s">
        <v>1037</v>
      </c>
      <c r="AZ293" s="53" t="s">
        <v>212</v>
      </c>
      <c r="BA293" s="53" t="s">
        <v>204</v>
      </c>
      <c r="BB293" s="53" t="s">
        <v>403</v>
      </c>
      <c r="BC293" s="56">
        <v>5</v>
      </c>
      <c r="BD293" s="56">
        <v>10</v>
      </c>
      <c r="BE293" s="59">
        <f>U293/((VLOOKUP(B293,'Cell-Characteristics'!$B$4:$E$34,3,FALSE)*VLOOKUP(B293,'Cell-Characteristics'!$B$4:$E$34,4,FALSE)*3600)/1000)</f>
        <v>1.68435977214664</v>
      </c>
      <c r="BF293" s="90">
        <f t="shared" si="62"/>
        <v>19316.5367842156</v>
      </c>
      <c r="BG293" s="90">
        <f t="shared" si="60"/>
        <v>19567.3535422192</v>
      </c>
      <c r="BH293" s="90" t="e">
        <f t="shared" si="61"/>
        <v>#DIV/0!</v>
      </c>
      <c r="BI293" s="90">
        <f t="shared" si="63"/>
        <v>59129.9803581958</v>
      </c>
      <c r="BJ293" s="90">
        <f>BF293/((VLOOKUP(B293,'Cell-Characteristics'!$B$4:$Q$34,13,FALSE)))</f>
        <v>525.791735647439</v>
      </c>
      <c r="BK293" s="90">
        <f>BG293/((VLOOKUP(B293,'Cell-Characteristics'!$B$4:$Q$34,14,FALSE)))</f>
        <v>7693.38426602942</v>
      </c>
      <c r="BL293" s="90" t="e">
        <f>BH293/((VLOOKUP(B293,'Cell-Characteristics'!$B$4:$Q$34,15,FALSE)))</f>
        <v>#DIV/0!</v>
      </c>
      <c r="BM293" s="90">
        <f>BI293/((VLOOKUP(B293,'Cell-Characteristics'!$B$4:$Q$34,16,FALSE)))</f>
        <v>1413.75404922907</v>
      </c>
      <c r="BN293" s="50">
        <f t="shared" si="59"/>
        <v>1.30236689266667</v>
      </c>
    </row>
    <row r="294" spans="2:66">
      <c r="B294" s="53" t="s">
        <v>162</v>
      </c>
      <c r="C294" s="53" t="s">
        <v>1038</v>
      </c>
      <c r="D294" s="53" t="s">
        <v>391</v>
      </c>
      <c r="E294" s="55" t="s">
        <v>228</v>
      </c>
      <c r="F294" s="56" t="s">
        <v>392</v>
      </c>
      <c r="H294" s="57">
        <v>43141</v>
      </c>
      <c r="I294" s="58" t="s">
        <v>134</v>
      </c>
      <c r="J294" s="58">
        <v>100</v>
      </c>
      <c r="K294" s="59" t="s">
        <v>134</v>
      </c>
      <c r="L294" s="60">
        <v>48</v>
      </c>
      <c r="M294" s="60">
        <v>37</v>
      </c>
      <c r="N294" s="60">
        <v>37</v>
      </c>
      <c r="O294" s="59" t="s">
        <v>197</v>
      </c>
      <c r="P294" s="59" t="s">
        <v>197</v>
      </c>
      <c r="Q294" s="61" t="s">
        <v>209</v>
      </c>
      <c r="R294" s="62">
        <v>69.6039776415777</v>
      </c>
      <c r="S294" s="63">
        <v>0.034</v>
      </c>
      <c r="T294" s="63">
        <v>70.7505260334574</v>
      </c>
      <c r="U294" s="60">
        <v>76.4114081394814</v>
      </c>
      <c r="V294" s="60">
        <v>20.438842374411</v>
      </c>
      <c r="W294" s="60">
        <v>55.5476081746642</v>
      </c>
      <c r="X294" s="60">
        <v>0.424957590406137</v>
      </c>
      <c r="Y294" s="60">
        <v>26.7484173791195</v>
      </c>
      <c r="Z294" s="60">
        <v>72.6954384524202</v>
      </c>
      <c r="AA294" s="60">
        <v>0.556144168460316</v>
      </c>
      <c r="AB294" s="60">
        <v>5.660882106024</v>
      </c>
      <c r="AC294" s="60">
        <v>0</v>
      </c>
      <c r="AD294" s="124">
        <v>1.702700138</v>
      </c>
      <c r="AE294" s="124">
        <v>2.403399944</v>
      </c>
      <c r="AF294" s="124">
        <v>0</v>
      </c>
      <c r="AG294" s="60">
        <v>906.560568330502</v>
      </c>
      <c r="AH294" s="60">
        <v>93.2065997123718</v>
      </c>
      <c r="AI294" s="60">
        <v>84.5823200384718</v>
      </c>
      <c r="AK294" s="55">
        <v>275.77637</v>
      </c>
      <c r="AL294" s="60">
        <v>21.5</v>
      </c>
      <c r="AM294" s="60">
        <v>1.3</v>
      </c>
      <c r="AN294" s="60">
        <v>11.4</v>
      </c>
      <c r="AO294" s="60">
        <v>0.7</v>
      </c>
      <c r="AP294" s="60">
        <v>0</v>
      </c>
      <c r="AQ294" s="60">
        <v>0</v>
      </c>
      <c r="AR294" s="60">
        <v>0</v>
      </c>
      <c r="AS294" s="60">
        <v>13.1</v>
      </c>
      <c r="AT294" s="60">
        <f t="shared" si="71"/>
        <v>26.5</v>
      </c>
      <c r="AU294" s="60">
        <f t="shared" si="72"/>
        <v>55.2083333333333</v>
      </c>
      <c r="AV294" s="97">
        <v>0</v>
      </c>
      <c r="AW294" s="53" t="s">
        <v>1039</v>
      </c>
      <c r="AX294" s="53" t="s">
        <v>395</v>
      </c>
      <c r="AY294" s="53" t="s">
        <v>1040</v>
      </c>
      <c r="AZ294" s="53" t="s">
        <v>212</v>
      </c>
      <c r="BA294" s="102" t="s">
        <v>322</v>
      </c>
      <c r="BB294" s="53" t="s">
        <v>403</v>
      </c>
      <c r="BC294" s="56">
        <v>3</v>
      </c>
      <c r="BD294" s="56">
        <v>6</v>
      </c>
      <c r="BE294" s="59">
        <f>U294/((VLOOKUP(B294,'Cell-Characteristics'!$B$4:$E$34,3,FALSE)*VLOOKUP(B294,'Cell-Characteristics'!$B$4:$E$34,4,FALSE)*3600)/1000)</f>
        <v>1.67129064172094</v>
      </c>
      <c r="BF294" s="90">
        <f t="shared" si="62"/>
        <v>12003.7826498437</v>
      </c>
      <c r="BG294" s="90">
        <f t="shared" si="60"/>
        <v>23112.0951439384</v>
      </c>
      <c r="BH294" s="90" t="e">
        <f t="shared" si="61"/>
        <v>#DIV/0!</v>
      </c>
      <c r="BI294" s="90">
        <f t="shared" si="63"/>
        <v>55827.7245660288</v>
      </c>
      <c r="BJ294" s="90">
        <f>BF294/((VLOOKUP(B294,'Cell-Characteristics'!$B$4:$Q$34,13,FALSE)))</f>
        <v>326.740232180406</v>
      </c>
      <c r="BK294" s="90">
        <f>BG294/((VLOOKUP(B294,'Cell-Characteristics'!$B$4:$Q$34,14,FALSE)))</f>
        <v>9087.0862404413</v>
      </c>
      <c r="BL294" s="90" t="e">
        <f>BH294/((VLOOKUP(B294,'Cell-Characteristics'!$B$4:$Q$34,15,FALSE)))</f>
        <v>#DIV/0!</v>
      </c>
      <c r="BM294" s="90">
        <f>BI294/((VLOOKUP(B294,'Cell-Characteristics'!$B$4:$Q$34,16,FALSE)))</f>
        <v>1334.79955830103</v>
      </c>
      <c r="BN294" s="50">
        <f t="shared" si="59"/>
        <v>1.36870002733333</v>
      </c>
    </row>
    <row r="295" spans="2:66">
      <c r="B295" s="53" t="s">
        <v>162</v>
      </c>
      <c r="C295" s="53" t="s">
        <v>1041</v>
      </c>
      <c r="D295" s="53" t="s">
        <v>1042</v>
      </c>
      <c r="E295" s="55" t="s">
        <v>228</v>
      </c>
      <c r="F295" s="56" t="s">
        <v>392</v>
      </c>
      <c r="H295" s="57">
        <v>43243</v>
      </c>
      <c r="I295" s="58">
        <v>1</v>
      </c>
      <c r="J295" s="58">
        <v>100</v>
      </c>
      <c r="K295" s="59" t="s">
        <v>134</v>
      </c>
      <c r="L295" s="60">
        <v>48</v>
      </c>
      <c r="M295" s="60">
        <v>40.5</v>
      </c>
      <c r="N295" s="60">
        <v>37</v>
      </c>
      <c r="O295" s="59" t="s">
        <v>197</v>
      </c>
      <c r="P295" s="59" t="s">
        <v>197</v>
      </c>
      <c r="Q295" s="61" t="s">
        <v>209</v>
      </c>
      <c r="R295" s="62">
        <v>70.8271779854172</v>
      </c>
      <c r="S295" s="63">
        <v>0.03</v>
      </c>
      <c r="T295" s="63">
        <v>71.5005775504624</v>
      </c>
      <c r="U295" s="60">
        <v>77.4851554455856</v>
      </c>
      <c r="V295" s="60">
        <v>15.680764590881</v>
      </c>
      <c r="W295" s="60">
        <v>60.9762432289933</v>
      </c>
      <c r="X295" s="60">
        <v>0.828147625711305</v>
      </c>
      <c r="Y295" s="60">
        <v>20.2371209049105</v>
      </c>
      <c r="Z295" s="60">
        <v>78.694096796146</v>
      </c>
      <c r="AA295" s="60">
        <v>1.06878229894354</v>
      </c>
      <c r="AB295" s="60">
        <v>5.9845778951232</v>
      </c>
      <c r="AC295" s="60">
        <v>0</v>
      </c>
      <c r="AD295" s="124">
        <v>1.237100124</v>
      </c>
      <c r="AE295" s="124">
        <v>2.374199867</v>
      </c>
      <c r="AF295" s="124">
        <v>0</v>
      </c>
      <c r="AG295" s="60">
        <v>978.258869249725</v>
      </c>
      <c r="AH295" s="60">
        <v>95.3204002380371</v>
      </c>
      <c r="AI295" s="60">
        <v>92.7574759855829</v>
      </c>
      <c r="AK295" s="55">
        <v>283.09735</v>
      </c>
      <c r="AL295" s="60">
        <v>13.52</v>
      </c>
      <c r="AM295" s="60">
        <v>6.74</v>
      </c>
      <c r="AN295" s="60">
        <v>12.57</v>
      </c>
      <c r="AO295" s="60">
        <v>2.05</v>
      </c>
      <c r="AP295" s="60">
        <v>0</v>
      </c>
      <c r="AQ295" s="60">
        <v>0</v>
      </c>
      <c r="AR295" s="60">
        <v>0</v>
      </c>
      <c r="AS295" s="60">
        <v>13.12</v>
      </c>
      <c r="AT295" s="60">
        <f t="shared" si="71"/>
        <v>34.48</v>
      </c>
      <c r="AU295" s="60">
        <f t="shared" si="72"/>
        <v>71.8333333333333</v>
      </c>
      <c r="AV295" s="97">
        <v>0</v>
      </c>
      <c r="AW295" s="53" t="s">
        <v>134</v>
      </c>
      <c r="AX295" s="53" t="s">
        <v>408</v>
      </c>
      <c r="AY295" s="53" t="s">
        <v>408</v>
      </c>
      <c r="AZ295" s="53" t="s">
        <v>408</v>
      </c>
      <c r="BA295" s="53" t="s">
        <v>408</v>
      </c>
      <c r="BB295" s="53" t="s">
        <v>134</v>
      </c>
      <c r="BC295" s="56">
        <v>5</v>
      </c>
      <c r="BD295" s="56">
        <v>10</v>
      </c>
      <c r="BE295" s="59">
        <f>U295/((VLOOKUP(B295,'Cell-Characteristics'!$B$4:$E$34,3,FALSE)*VLOOKUP(B295,'Cell-Characteristics'!$B$4:$E$34,4,FALSE)*3600)/1000)</f>
        <v>1.69477592838114</v>
      </c>
      <c r="BF295" s="90">
        <f t="shared" si="62"/>
        <v>12675.4207575207</v>
      </c>
      <c r="BG295" s="90">
        <f t="shared" si="60"/>
        <v>25682.8601822988</v>
      </c>
      <c r="BH295" s="90" t="e">
        <f t="shared" si="61"/>
        <v>#DIV/0!</v>
      </c>
      <c r="BI295" s="90">
        <f t="shared" si="63"/>
        <v>64368.9161565301</v>
      </c>
      <c r="BJ295" s="90">
        <f>BF295/((VLOOKUP(B295,'Cell-Characteristics'!$B$4:$Q$34,13,FALSE)))</f>
        <v>345.022068635218</v>
      </c>
      <c r="BK295" s="90">
        <f>BG295/((VLOOKUP(B295,'Cell-Characteristics'!$B$4:$Q$34,14,FALSE)))</f>
        <v>10097.8454754654</v>
      </c>
      <c r="BL295" s="90" t="e">
        <f>BH295/((VLOOKUP(B295,'Cell-Characteristics'!$B$4:$Q$34,15,FALSE)))</f>
        <v>#DIV/0!</v>
      </c>
      <c r="BM295" s="90">
        <f>BI295/((VLOOKUP(B295,'Cell-Characteristics'!$B$4:$Q$34,16,FALSE)))</f>
        <v>1539.01312514417</v>
      </c>
      <c r="BN295" s="50">
        <f t="shared" si="59"/>
        <v>1.20376666366667</v>
      </c>
    </row>
    <row r="296" spans="2:66">
      <c r="B296" s="53" t="s">
        <v>162</v>
      </c>
      <c r="C296" s="53" t="s">
        <v>1043</v>
      </c>
      <c r="D296" s="53" t="s">
        <v>1042</v>
      </c>
      <c r="E296" s="55" t="s">
        <v>228</v>
      </c>
      <c r="F296" s="56" t="s">
        <v>392</v>
      </c>
      <c r="H296" s="57">
        <v>43244</v>
      </c>
      <c r="I296" s="58">
        <v>2</v>
      </c>
      <c r="J296" s="58">
        <v>100</v>
      </c>
      <c r="K296" s="59" t="s">
        <v>134</v>
      </c>
      <c r="L296" s="60">
        <v>48</v>
      </c>
      <c r="M296" s="60">
        <v>41.7</v>
      </c>
      <c r="N296" s="60">
        <v>42.1</v>
      </c>
      <c r="O296" s="59" t="s">
        <v>197</v>
      </c>
      <c r="P296" s="59" t="s">
        <v>197</v>
      </c>
      <c r="Q296" s="61" t="s">
        <v>199</v>
      </c>
      <c r="R296" s="62">
        <v>65.9039510137544</v>
      </c>
      <c r="S296" s="63">
        <v>0.072</v>
      </c>
      <c r="T296" s="63">
        <v>67.2728134853667</v>
      </c>
      <c r="U296" s="60">
        <v>71.5223790768942</v>
      </c>
      <c r="V296" s="60">
        <v>21.5833618919691</v>
      </c>
      <c r="W296" s="60">
        <v>21.3422362695288</v>
      </c>
      <c r="X296" s="60">
        <v>28.5967809153963</v>
      </c>
      <c r="Y296" s="60">
        <v>30.1770748827645</v>
      </c>
      <c r="Z296" s="60">
        <v>29.83994177065</v>
      </c>
      <c r="AA296" s="60">
        <v>39.9829833465855</v>
      </c>
      <c r="AB296" s="60">
        <v>2.3675252591571</v>
      </c>
      <c r="AC296" s="60">
        <v>1.8820403323704</v>
      </c>
      <c r="AD296" s="124">
        <v>1.022099972</v>
      </c>
      <c r="AE296" s="124">
        <v>3.485199928</v>
      </c>
      <c r="AF296" s="124">
        <v>2.971199989</v>
      </c>
      <c r="AG296" s="60">
        <v>978.189850776331</v>
      </c>
      <c r="AH296" s="60">
        <v>96.1564998626709</v>
      </c>
      <c r="AI296" s="60">
        <v>94.0071634603478</v>
      </c>
      <c r="AK296" s="55">
        <v>284.171925</v>
      </c>
      <c r="AL296" s="60">
        <v>13.4</v>
      </c>
      <c r="AM296" s="60">
        <v>0.26</v>
      </c>
      <c r="AN296" s="60">
        <v>3.92</v>
      </c>
      <c r="AO296" s="60">
        <v>0.52</v>
      </c>
      <c r="AP296" s="60">
        <v>0.83</v>
      </c>
      <c r="AQ296" s="60">
        <v>3.94</v>
      </c>
      <c r="AR296" s="60">
        <v>0.46</v>
      </c>
      <c r="AS296" s="60">
        <v>24.67</v>
      </c>
      <c r="AT296" s="60">
        <f t="shared" si="71"/>
        <v>34.6</v>
      </c>
      <c r="AU296" s="60">
        <f t="shared" si="72"/>
        <v>72.0833333333333</v>
      </c>
      <c r="AV296" s="97">
        <v>0</v>
      </c>
      <c r="AW296" s="53" t="s">
        <v>134</v>
      </c>
      <c r="AX296" s="53" t="s">
        <v>408</v>
      </c>
      <c r="AY296" s="53" t="s">
        <v>408</v>
      </c>
      <c r="AZ296" s="53" t="s">
        <v>408</v>
      </c>
      <c r="BA296" s="53" t="s">
        <v>408</v>
      </c>
      <c r="BB296" s="53" t="s">
        <v>134</v>
      </c>
      <c r="BC296" s="56">
        <v>3</v>
      </c>
      <c r="BD296" s="56">
        <v>6</v>
      </c>
      <c r="BE296" s="59">
        <f>U296/((VLOOKUP(B296,'Cell-Characteristics'!$B$4:$E$34,3,FALSE)*VLOOKUP(B296,'Cell-Characteristics'!$B$4:$E$34,4,FALSE)*3600)/1000)</f>
        <v>1.56435649774484</v>
      </c>
      <c r="BF296" s="90">
        <f t="shared" si="62"/>
        <v>21116.6837718777</v>
      </c>
      <c r="BG296" s="90">
        <f t="shared" si="60"/>
        <v>6123.67631999124</v>
      </c>
      <c r="BH296" s="90">
        <f t="shared" si="61"/>
        <v>9624.65704808413</v>
      </c>
      <c r="BI296" s="90">
        <f t="shared" si="63"/>
        <v>28691.20016252</v>
      </c>
      <c r="BJ296" s="90">
        <f>BF296/((VLOOKUP(B296,'Cell-Characteristics'!$B$4:$Q$34,13,FALSE)))</f>
        <v>574.791327015017</v>
      </c>
      <c r="BK296" s="90">
        <f>BG296/((VLOOKUP(B296,'Cell-Characteristics'!$B$4:$Q$34,14,FALSE)))</f>
        <v>2407.67331917561</v>
      </c>
      <c r="BL296" s="90">
        <f>BH296/((VLOOKUP(B296,'Cell-Characteristics'!$B$4:$Q$34,15,FALSE)))</f>
        <v>3784.1696343808</v>
      </c>
      <c r="BM296" s="90">
        <f>BI296/((VLOOKUP(B296,'Cell-Characteristics'!$B$4:$Q$34,16,FALSE)))</f>
        <v>685.985352291464</v>
      </c>
      <c r="BN296" s="50">
        <f t="shared" si="59"/>
        <v>2.49283329633333</v>
      </c>
    </row>
    <row r="297" spans="2:66">
      <c r="B297" s="53" t="s">
        <v>162</v>
      </c>
      <c r="C297" s="53" t="s">
        <v>1044</v>
      </c>
      <c r="D297" s="53" t="s">
        <v>1045</v>
      </c>
      <c r="E297" s="55" t="s">
        <v>228</v>
      </c>
      <c r="F297" s="56" t="s">
        <v>392</v>
      </c>
      <c r="H297" s="57">
        <v>43270</v>
      </c>
      <c r="I297" s="58">
        <v>3</v>
      </c>
      <c r="J297" s="58">
        <v>100</v>
      </c>
      <c r="K297" s="59" t="s">
        <v>134</v>
      </c>
      <c r="L297" s="60">
        <v>48</v>
      </c>
      <c r="M297" s="60">
        <v>40.9</v>
      </c>
      <c r="N297" s="60">
        <v>37</v>
      </c>
      <c r="O297" s="59" t="s">
        <v>197</v>
      </c>
      <c r="P297" s="59" t="s">
        <v>197</v>
      </c>
      <c r="Q297" s="61" t="s">
        <v>209</v>
      </c>
      <c r="R297" s="62">
        <v>71.6521117291133</v>
      </c>
      <c r="S297" s="63">
        <v>0.03</v>
      </c>
      <c r="T297" s="63">
        <v>72.3295978302457</v>
      </c>
      <c r="U297" s="60">
        <v>78.7790083776415</v>
      </c>
      <c r="V297" s="60">
        <v>11.4249588229508</v>
      </c>
      <c r="W297" s="60">
        <v>66.6376880259612</v>
      </c>
      <c r="X297" s="60">
        <v>0.716361528729425</v>
      </c>
      <c r="Y297" s="60">
        <v>14.5025420581371</v>
      </c>
      <c r="Z297" s="60">
        <v>84.5881274698475</v>
      </c>
      <c r="AA297" s="60">
        <v>0.909330472015357</v>
      </c>
      <c r="AB297" s="60">
        <v>6.4494105473958</v>
      </c>
      <c r="AC297" s="60">
        <v>0</v>
      </c>
      <c r="AD297" s="124">
        <v>2.273099899</v>
      </c>
      <c r="AE297" s="124">
        <v>8.681499958</v>
      </c>
      <c r="AF297" s="124">
        <v>0</v>
      </c>
      <c r="AG297" s="60">
        <v>979.796786912419</v>
      </c>
      <c r="AH297" s="60">
        <v>93.7564001083374</v>
      </c>
      <c r="AI297" s="60">
        <v>91.8117594815651</v>
      </c>
      <c r="AK297" s="55">
        <v>293.82559</v>
      </c>
      <c r="AL297" s="60">
        <v>10.78</v>
      </c>
      <c r="AM297" s="60">
        <v>7.54</v>
      </c>
      <c r="AN297" s="60">
        <v>15.87</v>
      </c>
      <c r="AO297" s="60">
        <v>0.24</v>
      </c>
      <c r="AP297" s="60">
        <v>0</v>
      </c>
      <c r="AQ297" s="60">
        <v>0</v>
      </c>
      <c r="AR297" s="60">
        <v>0</v>
      </c>
      <c r="AS297" s="60">
        <v>13.57</v>
      </c>
      <c r="AT297" s="60">
        <f t="shared" si="71"/>
        <v>37.22</v>
      </c>
      <c r="AU297" s="60">
        <f t="shared" si="72"/>
        <v>77.5416666666667</v>
      </c>
      <c r="AV297" s="97">
        <v>0</v>
      </c>
      <c r="AW297" s="53" t="s">
        <v>134</v>
      </c>
      <c r="AX297" s="53" t="s">
        <v>408</v>
      </c>
      <c r="AY297" s="53" t="s">
        <v>408</v>
      </c>
      <c r="AZ297" s="53" t="s">
        <v>408</v>
      </c>
      <c r="BA297" s="53" t="s">
        <v>408</v>
      </c>
      <c r="BB297" s="53" t="s">
        <v>134</v>
      </c>
      <c r="BC297" s="56">
        <v>4</v>
      </c>
      <c r="BD297" s="56">
        <v>8</v>
      </c>
      <c r="BE297" s="59">
        <f>U297/((VLOOKUP(B297,'Cell-Characteristics'!$B$4:$E$34,3,FALSE)*VLOOKUP(B297,'Cell-Characteristics'!$B$4:$E$34,4,FALSE)*3600)/1000)</f>
        <v>1.72307542383293</v>
      </c>
      <c r="BF297" s="90">
        <f t="shared" si="62"/>
        <v>5026.15781557905</v>
      </c>
      <c r="BG297" s="90">
        <f t="shared" si="60"/>
        <v>7675.82656779888</v>
      </c>
      <c r="BH297" s="90" t="e">
        <f t="shared" si="61"/>
        <v>#DIV/0!</v>
      </c>
      <c r="BI297" s="90">
        <f t="shared" si="63"/>
        <v>21574.2271025906</v>
      </c>
      <c r="BJ297" s="90">
        <f>BF297/((VLOOKUP(B297,'Cell-Characteristics'!$B$4:$Q$34,13,FALSE)))</f>
        <v>136.810872001172</v>
      </c>
      <c r="BK297" s="90">
        <f>BG297/((VLOOKUP(B297,'Cell-Characteristics'!$B$4:$Q$34,14,FALSE)))</f>
        <v>3017.93920256306</v>
      </c>
      <c r="BL297" s="90" t="e">
        <f>BH297/((VLOOKUP(B297,'Cell-Characteristics'!$B$4:$Q$34,15,FALSE)))</f>
        <v>#DIV/0!</v>
      </c>
      <c r="BM297" s="90">
        <f>BI297/((VLOOKUP(B297,'Cell-Characteristics'!$B$4:$Q$34,16,FALSE)))</f>
        <v>515.823795991627</v>
      </c>
      <c r="BN297" s="50">
        <f t="shared" si="59"/>
        <v>3.65153328566667</v>
      </c>
    </row>
    <row r="298" spans="2:66">
      <c r="B298" s="53" t="s">
        <v>162</v>
      </c>
      <c r="C298" s="53" t="s">
        <v>1046</v>
      </c>
      <c r="D298" s="53" t="s">
        <v>1045</v>
      </c>
      <c r="E298" s="55" t="s">
        <v>228</v>
      </c>
      <c r="F298" s="56" t="s">
        <v>392</v>
      </c>
      <c r="H298" s="57">
        <v>43273</v>
      </c>
      <c r="I298" s="58">
        <v>4</v>
      </c>
      <c r="J298" s="58">
        <v>100</v>
      </c>
      <c r="K298" s="59" t="s">
        <v>134</v>
      </c>
      <c r="L298" s="60">
        <v>48</v>
      </c>
      <c r="M298" s="60">
        <v>42.2</v>
      </c>
      <c r="N298" s="60">
        <v>40.3</v>
      </c>
      <c r="O298" s="59" t="s">
        <v>197</v>
      </c>
      <c r="P298" s="59" t="s">
        <v>197</v>
      </c>
      <c r="Q298" s="61" t="s">
        <v>199</v>
      </c>
      <c r="R298" s="62">
        <v>75.6858719907857</v>
      </c>
      <c r="S298" s="63">
        <v>0.032</v>
      </c>
      <c r="T298" s="63">
        <v>77.0140231136954</v>
      </c>
      <c r="U298" s="60">
        <v>79.3193510532068</v>
      </c>
      <c r="V298" s="60">
        <v>22.2829095227969</v>
      </c>
      <c r="W298" s="60">
        <v>35.2796310458448</v>
      </c>
      <c r="X298" s="60">
        <v>21.7568104845652</v>
      </c>
      <c r="Y298" s="60">
        <v>28.0926523312699</v>
      </c>
      <c r="Z298" s="60">
        <v>44.4779622846126</v>
      </c>
      <c r="AA298" s="60">
        <v>27.4293853841175</v>
      </c>
      <c r="AB298" s="60">
        <v>1.6251799454856</v>
      </c>
      <c r="AC298" s="60">
        <v>0.6801479940258</v>
      </c>
      <c r="AD298" s="124">
        <v>3.312200069</v>
      </c>
      <c r="AE298" s="124">
        <v>2.591199875</v>
      </c>
      <c r="AF298" s="124">
        <v>2.075099945</v>
      </c>
      <c r="AG298" s="60">
        <v>981.211403975982</v>
      </c>
      <c r="AH298" s="60">
        <v>97.5785999298096</v>
      </c>
      <c r="AI298" s="60">
        <v>95.6941380882075</v>
      </c>
      <c r="AK298" s="55">
        <v>290.91074</v>
      </c>
      <c r="AL298" s="60">
        <v>20.5</v>
      </c>
      <c r="AM298" s="60">
        <v>0.23</v>
      </c>
      <c r="AN298" s="60">
        <v>7.93</v>
      </c>
      <c r="AO298" s="60">
        <v>0.71</v>
      </c>
      <c r="AP298" s="60">
        <v>0.04</v>
      </c>
      <c r="AQ298" s="60">
        <v>6.24</v>
      </c>
      <c r="AR298" s="60">
        <v>0.29</v>
      </c>
      <c r="AS298" s="60">
        <v>12.06</v>
      </c>
      <c r="AT298" s="60">
        <f t="shared" si="71"/>
        <v>27.5</v>
      </c>
      <c r="AU298" s="60">
        <f t="shared" si="72"/>
        <v>57.2916666666667</v>
      </c>
      <c r="AV298" s="97">
        <v>0</v>
      </c>
      <c r="AW298" s="53" t="s">
        <v>134</v>
      </c>
      <c r="AX298" s="53" t="s">
        <v>408</v>
      </c>
      <c r="AY298" s="53" t="s">
        <v>408</v>
      </c>
      <c r="AZ298" s="53" t="s">
        <v>408</v>
      </c>
      <c r="BA298" s="53" t="s">
        <v>408</v>
      </c>
      <c r="BB298" s="53" t="s">
        <v>134</v>
      </c>
      <c r="BC298" s="56">
        <v>3</v>
      </c>
      <c r="BD298" s="56">
        <v>6</v>
      </c>
      <c r="BE298" s="59">
        <f>U298/((VLOOKUP(B298,'Cell-Characteristics'!$B$4:$E$34,3,FALSE)*VLOOKUP(B298,'Cell-Characteristics'!$B$4:$E$34,4,FALSE)*3600)/1000)</f>
        <v>1.73489394254608</v>
      </c>
      <c r="BF298" s="90">
        <f t="shared" si="62"/>
        <v>6727.52522752178</v>
      </c>
      <c r="BG298" s="90">
        <f t="shared" si="60"/>
        <v>13615.1716377513</v>
      </c>
      <c r="BH298" s="90">
        <f t="shared" si="61"/>
        <v>10484.7048630061</v>
      </c>
      <c r="BI298" s="90">
        <f t="shared" si="63"/>
        <v>29824.9115084522</v>
      </c>
      <c r="BJ298" s="90">
        <f>BF298/((VLOOKUP(B298,'Cell-Characteristics'!$B$4:$Q$34,13,FALSE)))</f>
        <v>183.121705795682</v>
      </c>
      <c r="BK298" s="90">
        <f>BG298/((VLOOKUP(B298,'Cell-Characteristics'!$B$4:$Q$34,14,FALSE)))</f>
        <v>5353.13817635894</v>
      </c>
      <c r="BL298" s="90">
        <f>BH298/((VLOOKUP(B298,'Cell-Characteristics'!$B$4:$Q$34,15,FALSE)))</f>
        <v>4122.31849610997</v>
      </c>
      <c r="BM298" s="90">
        <f>BI298/((VLOOKUP(B298,'Cell-Characteristics'!$B$4:$Q$34,16,FALSE)))</f>
        <v>713.091551147935</v>
      </c>
      <c r="BN298" s="50">
        <f t="shared" si="59"/>
        <v>2.659499963</v>
      </c>
    </row>
    <row r="299" spans="2:66">
      <c r="B299" s="53" t="s">
        <v>162</v>
      </c>
      <c r="C299" s="53" t="s">
        <v>1047</v>
      </c>
      <c r="D299" s="53" t="s">
        <v>1045</v>
      </c>
      <c r="E299" s="55" t="s">
        <v>228</v>
      </c>
      <c r="F299" s="56" t="s">
        <v>392</v>
      </c>
      <c r="H299" s="57">
        <v>43276</v>
      </c>
      <c r="I299" s="58">
        <v>5</v>
      </c>
      <c r="J299" s="58">
        <v>100</v>
      </c>
      <c r="K299" s="59" t="s">
        <v>134</v>
      </c>
      <c r="L299" s="60">
        <v>48</v>
      </c>
      <c r="M299" s="60">
        <v>40.9</v>
      </c>
      <c r="N299" s="60">
        <v>37</v>
      </c>
      <c r="O299" s="59" t="s">
        <v>197</v>
      </c>
      <c r="P299" s="59" t="s">
        <v>197</v>
      </c>
      <c r="Q299" s="61" t="s">
        <v>209</v>
      </c>
      <c r="R299" s="62">
        <v>68.8819061407671</v>
      </c>
      <c r="S299" s="63">
        <v>0.031</v>
      </c>
      <c r="T299" s="63">
        <v>69.7687485885198</v>
      </c>
      <c r="U299" s="60">
        <v>76.1410079532198</v>
      </c>
      <c r="V299" s="60">
        <v>17.494423318371</v>
      </c>
      <c r="W299" s="60">
        <v>57.9621370710915</v>
      </c>
      <c r="X299" s="60">
        <v>0.68444756375721</v>
      </c>
      <c r="Y299" s="60">
        <v>22.9763484732425</v>
      </c>
      <c r="Z299" s="60">
        <v>76.1247304562908</v>
      </c>
      <c r="AA299" s="60">
        <v>0.898921070466688</v>
      </c>
      <c r="AB299" s="60">
        <v>6.3722593647</v>
      </c>
      <c r="AC299" s="60">
        <v>0</v>
      </c>
      <c r="AD299" s="124">
        <v>4.045300007</v>
      </c>
      <c r="AE299" s="124">
        <v>4.045300007</v>
      </c>
      <c r="AF299" s="124">
        <v>0</v>
      </c>
      <c r="AG299" s="60">
        <v>981.153134209858</v>
      </c>
      <c r="AH299" s="60">
        <v>94.5343999862671</v>
      </c>
      <c r="AI299" s="60">
        <v>92.2618561277991</v>
      </c>
      <c r="AK299" s="55">
        <v>277.05765</v>
      </c>
      <c r="AL299" s="60">
        <v>18.39</v>
      </c>
      <c r="AM299" s="60">
        <v>0.06</v>
      </c>
      <c r="AN299" s="60">
        <v>12.42</v>
      </c>
      <c r="AO299" s="60">
        <v>0.39</v>
      </c>
      <c r="AP299" s="60">
        <v>0</v>
      </c>
      <c r="AQ299" s="60">
        <v>0</v>
      </c>
      <c r="AR299" s="60">
        <v>0</v>
      </c>
      <c r="AS299" s="60">
        <v>16.74</v>
      </c>
      <c r="AT299" s="60">
        <f t="shared" si="71"/>
        <v>29.61</v>
      </c>
      <c r="AU299" s="60">
        <f t="shared" si="72"/>
        <v>61.6875</v>
      </c>
      <c r="AV299" s="97">
        <v>0</v>
      </c>
      <c r="AW299" s="53" t="s">
        <v>134</v>
      </c>
      <c r="AX299" s="53" t="s">
        <v>408</v>
      </c>
      <c r="AY299" s="53" t="s">
        <v>408</v>
      </c>
      <c r="AZ299" s="53" t="s">
        <v>408</v>
      </c>
      <c r="BA299" s="53" t="s">
        <v>408</v>
      </c>
      <c r="BB299" s="53" t="s">
        <v>134</v>
      </c>
      <c r="BC299" s="56">
        <v>5</v>
      </c>
      <c r="BD299" s="56">
        <v>10</v>
      </c>
      <c r="BE299" s="59">
        <f>U299/((VLOOKUP(B299,'Cell-Characteristics'!$B$4:$E$34,3,FALSE)*VLOOKUP(B299,'Cell-Characteristics'!$B$4:$E$34,4,FALSE)*3600)/1000)</f>
        <v>1.66537637692957</v>
      </c>
      <c r="BF299" s="90">
        <f t="shared" si="62"/>
        <v>4324.62939413607</v>
      </c>
      <c r="BG299" s="90">
        <f t="shared" si="60"/>
        <v>14328.2666231908</v>
      </c>
      <c r="BH299" s="90" t="e">
        <f t="shared" si="61"/>
        <v>#DIV/0!</v>
      </c>
      <c r="BI299" s="90">
        <f t="shared" si="63"/>
        <v>28233.1376491726</v>
      </c>
      <c r="BJ299" s="90">
        <f>BF299/((VLOOKUP(B299,'Cell-Characteristics'!$B$4:$Q$34,13,FALSE)))</f>
        <v>117.715428007406</v>
      </c>
      <c r="BK299" s="90">
        <f>BG299/((VLOOKUP(B299,'Cell-Characteristics'!$B$4:$Q$34,14,FALSE)))</f>
        <v>5633.50893417896</v>
      </c>
      <c r="BL299" s="90" t="e">
        <f>BH299/((VLOOKUP(B299,'Cell-Characteristics'!$B$4:$Q$34,15,FALSE)))</f>
        <v>#DIV/0!</v>
      </c>
      <c r="BM299" s="90">
        <f>BI299/((VLOOKUP(B299,'Cell-Characteristics'!$B$4:$Q$34,16,FALSE)))</f>
        <v>675.033416756866</v>
      </c>
      <c r="BN299" s="50">
        <f t="shared" si="59"/>
        <v>2.69686667133333</v>
      </c>
    </row>
    <row r="300" spans="2:66">
      <c r="B300" s="53" t="s">
        <v>162</v>
      </c>
      <c r="C300" s="53" t="s">
        <v>1048</v>
      </c>
      <c r="D300" s="53" t="s">
        <v>1045</v>
      </c>
      <c r="E300" s="55" t="s">
        <v>228</v>
      </c>
      <c r="F300" s="56" t="s">
        <v>392</v>
      </c>
      <c r="H300" s="57">
        <v>43276</v>
      </c>
      <c r="I300" s="58">
        <v>6</v>
      </c>
      <c r="J300" s="58">
        <v>100</v>
      </c>
      <c r="K300" s="59" t="s">
        <v>134</v>
      </c>
      <c r="L300" s="60">
        <v>48</v>
      </c>
      <c r="M300" s="60">
        <v>39.9</v>
      </c>
      <c r="N300" s="60">
        <v>41.2</v>
      </c>
      <c r="O300" s="59" t="s">
        <v>197</v>
      </c>
      <c r="P300" s="59" t="s">
        <v>197</v>
      </c>
      <c r="Q300" s="61" t="s">
        <v>199</v>
      </c>
      <c r="R300" s="62">
        <v>72.7312711627854</v>
      </c>
      <c r="S300" s="63">
        <v>0.03</v>
      </c>
      <c r="T300" s="63">
        <v>73.7236048915151</v>
      </c>
      <c r="U300" s="60">
        <v>75.2155022367863</v>
      </c>
      <c r="V300" s="60">
        <v>21.389970152038</v>
      </c>
      <c r="W300" s="60">
        <v>29.9759037647791</v>
      </c>
      <c r="X300" s="60">
        <v>23.8496283199692</v>
      </c>
      <c r="Y300" s="60">
        <v>28.4382467921308</v>
      </c>
      <c r="Z300" s="60">
        <v>39.8533585143284</v>
      </c>
      <c r="AA300" s="60">
        <v>31.7083946935408</v>
      </c>
      <c r="AB300" s="60">
        <v>0.841433529267</v>
      </c>
      <c r="AC300" s="60">
        <v>0.6504638160042</v>
      </c>
      <c r="AD300" s="124">
        <v>1.655099869</v>
      </c>
      <c r="AE300" s="124">
        <v>1.962100029</v>
      </c>
      <c r="AF300" s="124">
        <v>1.962100029</v>
      </c>
      <c r="AG300" s="60">
        <v>980.165178618186</v>
      </c>
      <c r="AH300" s="60">
        <v>103.379899978638</v>
      </c>
      <c r="AI300" s="60">
        <v>97.6333291881813</v>
      </c>
      <c r="AK300" s="55">
        <v>298.177995</v>
      </c>
      <c r="AL300" s="60">
        <v>20.33</v>
      </c>
      <c r="AM300" s="60">
        <v>2.02</v>
      </c>
      <c r="AN300" s="60">
        <v>6.76</v>
      </c>
      <c r="AO300" s="60">
        <v>0.6</v>
      </c>
      <c r="AP300" s="60">
        <v>2.44</v>
      </c>
      <c r="AQ300" s="60">
        <v>5.99</v>
      </c>
      <c r="AR300" s="60">
        <v>0.44</v>
      </c>
      <c r="AS300" s="60">
        <v>9.42</v>
      </c>
      <c r="AT300" s="60">
        <f t="shared" si="71"/>
        <v>27.67</v>
      </c>
      <c r="AU300" s="60">
        <f t="shared" si="72"/>
        <v>57.6458333333333</v>
      </c>
      <c r="AV300" s="97">
        <v>0</v>
      </c>
      <c r="AW300" s="53" t="s">
        <v>134</v>
      </c>
      <c r="AX300" s="53" t="s">
        <v>408</v>
      </c>
      <c r="AY300" s="53" t="s">
        <v>408</v>
      </c>
      <c r="AZ300" s="53" t="s">
        <v>408</v>
      </c>
      <c r="BA300" s="53" t="s">
        <v>408</v>
      </c>
      <c r="BB300" s="53" t="s">
        <v>134</v>
      </c>
      <c r="BC300" s="56">
        <v>4</v>
      </c>
      <c r="BD300" s="56">
        <v>8</v>
      </c>
      <c r="BE300" s="59">
        <f>U300/((VLOOKUP(B300,'Cell-Characteristics'!$B$4:$E$34,3,FALSE)*VLOOKUP(B300,'Cell-Characteristics'!$B$4:$E$34,4,FALSE)*3600)/1000)</f>
        <v>1.64513346974598</v>
      </c>
      <c r="BF300" s="90">
        <f t="shared" si="62"/>
        <v>12923.6734004224</v>
      </c>
      <c r="BG300" s="90">
        <f t="shared" si="60"/>
        <v>15277.4595187466</v>
      </c>
      <c r="BH300" s="90">
        <f t="shared" si="61"/>
        <v>12155.1541549716</v>
      </c>
      <c r="BI300" s="90">
        <f t="shared" si="63"/>
        <v>40443.5161512619</v>
      </c>
      <c r="BJ300" s="90">
        <f>BF300/((VLOOKUP(B300,'Cell-Characteristics'!$B$4:$Q$34,13,FALSE)))</f>
        <v>351.779449083305</v>
      </c>
      <c r="BK300" s="90">
        <f>BG300/((VLOOKUP(B300,'Cell-Characteristics'!$B$4:$Q$34,14,FALSE)))</f>
        <v>6006.70736759717</v>
      </c>
      <c r="BL300" s="90">
        <f>BH300/((VLOOKUP(B300,'Cell-Characteristics'!$B$4:$Q$34,15,FALSE)))</f>
        <v>4779.09654595092</v>
      </c>
      <c r="BM300" s="90">
        <f>BI300/((VLOOKUP(B300,'Cell-Characteristics'!$B$4:$Q$34,16,FALSE)))</f>
        <v>966.974525909554</v>
      </c>
      <c r="BN300" s="50">
        <f t="shared" si="59"/>
        <v>1.85976664233333</v>
      </c>
    </row>
    <row r="301" spans="2:66">
      <c r="B301" s="53" t="s">
        <v>162</v>
      </c>
      <c r="C301" s="53" t="s">
        <v>1049</v>
      </c>
      <c r="D301" s="53" t="s">
        <v>1045</v>
      </c>
      <c r="E301" s="55" t="s">
        <v>228</v>
      </c>
      <c r="F301" s="56" t="s">
        <v>392</v>
      </c>
      <c r="H301" s="57">
        <v>43279</v>
      </c>
      <c r="I301" s="58">
        <v>7</v>
      </c>
      <c r="J301" s="58">
        <v>100</v>
      </c>
      <c r="K301" s="59" t="s">
        <v>134</v>
      </c>
      <c r="L301" s="60">
        <v>48</v>
      </c>
      <c r="M301" s="60">
        <v>42.3</v>
      </c>
      <c r="N301" s="60">
        <v>37</v>
      </c>
      <c r="O301" s="59" t="s">
        <v>197</v>
      </c>
      <c r="P301" s="59" t="s">
        <v>197</v>
      </c>
      <c r="Q301" s="61" t="s">
        <v>209</v>
      </c>
      <c r="R301" s="62">
        <v>62.3794715801622</v>
      </c>
      <c r="S301" s="63">
        <v>0.027</v>
      </c>
      <c r="T301" s="63">
        <v>63.720934640649</v>
      </c>
      <c r="U301" s="60">
        <v>67.3212711953358</v>
      </c>
      <c r="V301" s="60">
        <v>22.3252562145547</v>
      </c>
      <c r="W301" s="60">
        <v>44.3106698554871</v>
      </c>
      <c r="X301" s="60">
        <v>0.685345125293969</v>
      </c>
      <c r="Y301" s="60">
        <v>33.1622618203048</v>
      </c>
      <c r="Z301" s="60">
        <v>65.819716515628</v>
      </c>
      <c r="AA301" s="60">
        <v>1.01802166406723</v>
      </c>
      <c r="AB301" s="60">
        <v>3.6003365546868</v>
      </c>
      <c r="AC301" s="60">
        <v>0</v>
      </c>
      <c r="AD301" s="124">
        <v>3.999199867</v>
      </c>
      <c r="AE301" s="124">
        <v>3.000199795</v>
      </c>
      <c r="AF301" s="124">
        <v>0</v>
      </c>
      <c r="AG301" s="60">
        <v>997.373072316675</v>
      </c>
      <c r="AH301" s="60">
        <v>555.830800056458</v>
      </c>
      <c r="AI301" s="60">
        <v>90.5566603105585</v>
      </c>
      <c r="AK301" s="55">
        <v>268.983055</v>
      </c>
      <c r="AL301" s="60">
        <v>22.51</v>
      </c>
      <c r="AM301" s="60">
        <v>1.64</v>
      </c>
      <c r="AN301" s="60">
        <v>10.41</v>
      </c>
      <c r="AO301" s="60">
        <v>0.51</v>
      </c>
      <c r="AP301" s="60">
        <v>0</v>
      </c>
      <c r="AQ301" s="60">
        <v>0</v>
      </c>
      <c r="AR301" s="60">
        <v>0</v>
      </c>
      <c r="AS301" s="60">
        <v>12.93</v>
      </c>
      <c r="AT301" s="60">
        <f t="shared" si="71"/>
        <v>25.49</v>
      </c>
      <c r="AU301" s="60">
        <f t="shared" si="72"/>
        <v>53.1041666666667</v>
      </c>
      <c r="AV301" s="97">
        <v>0</v>
      </c>
      <c r="AW301" s="53" t="s">
        <v>134</v>
      </c>
      <c r="AX301" s="53" t="s">
        <v>408</v>
      </c>
      <c r="AY301" s="53" t="s">
        <v>408</v>
      </c>
      <c r="AZ301" s="53" t="s">
        <v>408</v>
      </c>
      <c r="BA301" s="53" t="s">
        <v>408</v>
      </c>
      <c r="BB301" s="53" t="s">
        <v>134</v>
      </c>
      <c r="BC301" s="56">
        <v>3</v>
      </c>
      <c r="BD301" s="56">
        <v>6</v>
      </c>
      <c r="BE301" s="59">
        <f>U301/((VLOOKUP(B301,'Cell-Characteristics'!$B$4:$E$34,3,FALSE)*VLOOKUP(B301,'Cell-Characteristics'!$B$4:$E$34,4,FALSE)*3600)/1000)</f>
        <v>1.47246874880437</v>
      </c>
      <c r="BF301" s="90">
        <f t="shared" si="62"/>
        <v>5582.43072539957</v>
      </c>
      <c r="BG301" s="90">
        <f t="shared" si="60"/>
        <v>14769.2396784152</v>
      </c>
      <c r="BH301" s="90" t="e">
        <f t="shared" si="61"/>
        <v>#DIV/0!</v>
      </c>
      <c r="BI301" s="90">
        <f t="shared" si="63"/>
        <v>28854.4480010873</v>
      </c>
      <c r="BJ301" s="90">
        <f>BF301/((VLOOKUP(B301,'Cell-Characteristics'!$B$4:$Q$34,13,FALSE)))</f>
        <v>151.952494022526</v>
      </c>
      <c r="BK301" s="90">
        <f>BG301/((VLOOKUP(B301,'Cell-Characteristics'!$B$4:$Q$34,14,FALSE)))</f>
        <v>5806.88829064056</v>
      </c>
      <c r="BL301" s="90" t="e">
        <f>BH301/((VLOOKUP(B301,'Cell-Characteristics'!$B$4:$Q$34,15,FALSE)))</f>
        <v>#DIV/0!</v>
      </c>
      <c r="BM301" s="90">
        <f>BI301/((VLOOKUP(B301,'Cell-Characteristics'!$B$4:$Q$34,16,FALSE)))</f>
        <v>689.888487239326</v>
      </c>
      <c r="BN301" s="50">
        <f t="shared" si="59"/>
        <v>2.33313322066667</v>
      </c>
    </row>
    <row r="302" spans="2:66">
      <c r="B302" s="53" t="s">
        <v>162</v>
      </c>
      <c r="C302" s="107" t="s">
        <v>1050</v>
      </c>
      <c r="D302" s="53" t="s">
        <v>244</v>
      </c>
      <c r="E302" s="55" t="s">
        <v>228</v>
      </c>
      <c r="F302" s="56" t="s">
        <v>245</v>
      </c>
      <c r="H302" s="57">
        <v>43512</v>
      </c>
      <c r="I302" s="58" t="s">
        <v>134</v>
      </c>
      <c r="J302" s="58">
        <v>100</v>
      </c>
      <c r="K302" s="59">
        <v>4.143</v>
      </c>
      <c r="L302" s="60">
        <v>46.9544</v>
      </c>
      <c r="M302" s="60">
        <v>50.5</v>
      </c>
      <c r="N302" s="60">
        <v>48.6</v>
      </c>
      <c r="O302" s="59" t="s">
        <v>197</v>
      </c>
      <c r="P302" s="59" t="s">
        <v>198</v>
      </c>
      <c r="Q302" s="61" t="s">
        <v>199</v>
      </c>
      <c r="R302" s="62">
        <v>56.3905307885825</v>
      </c>
      <c r="S302" s="63">
        <v>0.035</v>
      </c>
      <c r="T302" s="63">
        <v>57.8532818016142</v>
      </c>
      <c r="U302" s="60">
        <v>59.7612995263439</v>
      </c>
      <c r="V302" s="60">
        <v>20.5320900007727</v>
      </c>
      <c r="W302" s="60">
        <v>15.2458451575494</v>
      </c>
      <c r="X302" s="60">
        <v>23.9833643680217</v>
      </c>
      <c r="Y302" s="60">
        <v>34.3568332072863</v>
      </c>
      <c r="Z302" s="60">
        <v>25.5112343245293</v>
      </c>
      <c r="AA302" s="60">
        <v>40.1319324681843</v>
      </c>
      <c r="AB302" s="60">
        <v>0.76676136369696</v>
      </c>
      <c r="AC302" s="60">
        <v>1.14125636103274</v>
      </c>
      <c r="AD302" s="124">
        <v>2.6068</v>
      </c>
      <c r="AE302" s="124">
        <v>2.0017</v>
      </c>
      <c r="AF302" s="124">
        <v>2.6068</v>
      </c>
      <c r="AG302" s="60">
        <v>972.117327117565</v>
      </c>
      <c r="AH302" s="60">
        <v>100.0288</v>
      </c>
      <c r="AI302" s="60">
        <v>97.3635178635475</v>
      </c>
      <c r="AK302" s="55">
        <v>187.07671</v>
      </c>
      <c r="AL302" s="60">
        <v>15</v>
      </c>
      <c r="AM302" s="60">
        <v>0.94</v>
      </c>
      <c r="AN302" s="60">
        <v>2.34</v>
      </c>
      <c r="AO302" s="60">
        <v>0</v>
      </c>
      <c r="AP302" s="60">
        <v>1.74</v>
      </c>
      <c r="AQ302" s="60">
        <v>6.64</v>
      </c>
      <c r="AR302" s="60">
        <v>3.44</v>
      </c>
      <c r="AS302" s="60">
        <v>16.8544</v>
      </c>
      <c r="AT302" s="60">
        <f t="shared" si="71"/>
        <v>31.9544</v>
      </c>
      <c r="AU302" s="60">
        <f t="shared" si="72"/>
        <v>68.0541120746937</v>
      </c>
      <c r="AV302" s="97">
        <v>0</v>
      </c>
      <c r="AW302" s="53" t="s">
        <v>1051</v>
      </c>
      <c r="AX302" s="53" t="s">
        <v>134</v>
      </c>
      <c r="AY302" s="53" t="s">
        <v>1052</v>
      </c>
      <c r="AZ302" s="53" t="s">
        <v>203</v>
      </c>
      <c r="BA302" s="53" t="s">
        <v>204</v>
      </c>
      <c r="BB302" s="53" t="s">
        <v>1053</v>
      </c>
      <c r="BC302" s="56">
        <v>5</v>
      </c>
      <c r="BD302" s="56">
        <v>10</v>
      </c>
      <c r="BE302" s="59">
        <f>U302/((VLOOKUP(B302,'Cell-Characteristics'!$B$4:$E$34,3,FALSE)*VLOOKUP(B302,'Cell-Characteristics'!$B$4:$E$34,4,FALSE)*3600)/1000)</f>
        <v>1.30711503775905</v>
      </c>
      <c r="BF302" s="90">
        <f t="shared" si="62"/>
        <v>7876.35798710018</v>
      </c>
      <c r="BG302" s="90">
        <f t="shared" si="60"/>
        <v>7616.44859746686</v>
      </c>
      <c r="BH302" s="90">
        <f t="shared" si="61"/>
        <v>9200.30856529909</v>
      </c>
      <c r="BI302" s="90">
        <f t="shared" si="63"/>
        <v>24847.7400217637</v>
      </c>
      <c r="BJ302" s="90">
        <f>BF302/((VLOOKUP(B302,'Cell-Characteristics'!$B$4:$Q$34,13,FALSE)))</f>
        <v>214.392672086128</v>
      </c>
      <c r="BK302" s="90">
        <f>BG302/((VLOOKUP(B302,'Cell-Characteristics'!$B$4:$Q$34,14,FALSE)))</f>
        <v>2994.59329931071</v>
      </c>
      <c r="BL302" s="90">
        <f>BH302/((VLOOKUP(B302,'Cell-Characteristics'!$B$4:$Q$34,15,FALSE)))</f>
        <v>3617.32663572348</v>
      </c>
      <c r="BM302" s="90">
        <f>BI302/((VLOOKUP(B302,'Cell-Characteristics'!$B$4:$Q$34,16,FALSE)))</f>
        <v>594.091066108235</v>
      </c>
      <c r="BN302" s="50">
        <f t="shared" si="59"/>
        <v>2.4051</v>
      </c>
    </row>
    <row r="303" spans="2:66">
      <c r="B303" s="53" t="s">
        <v>162</v>
      </c>
      <c r="C303" s="53" t="s">
        <v>1054</v>
      </c>
      <c r="D303" s="53" t="s">
        <v>1045</v>
      </c>
      <c r="E303" s="55" t="s">
        <v>228</v>
      </c>
      <c r="F303" s="56" t="s">
        <v>392</v>
      </c>
      <c r="H303" s="57">
        <v>44010</v>
      </c>
      <c r="I303" s="58">
        <v>8</v>
      </c>
      <c r="J303" s="58">
        <v>100</v>
      </c>
      <c r="K303" s="59" t="s">
        <v>134</v>
      </c>
      <c r="L303" s="60">
        <v>48</v>
      </c>
      <c r="M303" s="60">
        <v>42.7</v>
      </c>
      <c r="N303" s="60">
        <v>37</v>
      </c>
      <c r="O303" s="59" t="s">
        <v>197</v>
      </c>
      <c r="P303" s="59" t="s">
        <v>197</v>
      </c>
      <c r="Q303" s="61" t="s">
        <v>209</v>
      </c>
      <c r="R303" s="62">
        <v>67.4809871704834</v>
      </c>
      <c r="S303" s="63">
        <v>0.029</v>
      </c>
      <c r="T303" s="63">
        <v>68.4641161711472</v>
      </c>
      <c r="U303" s="60">
        <v>71.8710907191308</v>
      </c>
      <c r="V303" s="60">
        <v>13.1341053957643</v>
      </c>
      <c r="W303" s="60">
        <v>58.0536240320158</v>
      </c>
      <c r="X303" s="60">
        <v>0.683361291350724</v>
      </c>
      <c r="Y303" s="60">
        <v>18.2745318936258</v>
      </c>
      <c r="Z303" s="60">
        <v>80.7746528557455</v>
      </c>
      <c r="AA303" s="60">
        <v>0.950815250628756</v>
      </c>
      <c r="AB303" s="60">
        <v>3.4069745479836</v>
      </c>
      <c r="AC303" s="60">
        <v>0</v>
      </c>
      <c r="AD303" s="124">
        <v>2.999199867</v>
      </c>
      <c r="AE303" s="124">
        <v>2.999199867</v>
      </c>
      <c r="AF303" s="124">
        <v>0</v>
      </c>
      <c r="AG303" s="60">
        <v>997.397296979224</v>
      </c>
      <c r="AH303" s="60">
        <v>90.2000999450684</v>
      </c>
      <c r="AI303" s="60">
        <v>89.9653810031406</v>
      </c>
      <c r="AK303" s="55">
        <v>322.16312</v>
      </c>
      <c r="AL303" s="60">
        <v>12.1</v>
      </c>
      <c r="AM303" s="60">
        <v>10.52</v>
      </c>
      <c r="AN303" s="60">
        <v>12.2</v>
      </c>
      <c r="AO303" s="60">
        <v>0.99</v>
      </c>
      <c r="AP303" s="60">
        <v>0</v>
      </c>
      <c r="AQ303" s="60">
        <v>0</v>
      </c>
      <c r="AR303" s="60">
        <v>0</v>
      </c>
      <c r="AS303" s="60">
        <v>12.19</v>
      </c>
      <c r="AT303" s="60">
        <f t="shared" si="71"/>
        <v>35.9</v>
      </c>
      <c r="AU303" s="60">
        <f t="shared" si="72"/>
        <v>74.7916666666667</v>
      </c>
      <c r="AV303" s="97">
        <v>0</v>
      </c>
      <c r="AW303" s="53" t="s">
        <v>134</v>
      </c>
      <c r="AX303" s="53" t="s">
        <v>408</v>
      </c>
      <c r="AY303" s="53" t="s">
        <v>408</v>
      </c>
      <c r="AZ303" s="53" t="s">
        <v>408</v>
      </c>
      <c r="BA303" s="53" t="s">
        <v>408</v>
      </c>
      <c r="BB303" s="53" t="s">
        <v>134</v>
      </c>
      <c r="BC303" s="56">
        <v>5</v>
      </c>
      <c r="BD303" s="56">
        <v>10</v>
      </c>
      <c r="BE303" s="59">
        <f>U303/((VLOOKUP(B303,'Cell-Characteristics'!$B$4:$E$34,3,FALSE)*VLOOKUP(B303,'Cell-Characteristics'!$B$4:$E$34,4,FALSE)*3600)/1000)</f>
        <v>1.57198361152954</v>
      </c>
      <c r="BF303" s="90">
        <f t="shared" si="62"/>
        <v>4379.20311356304</v>
      </c>
      <c r="BG303" s="90">
        <f t="shared" si="60"/>
        <v>19356.3705676224</v>
      </c>
      <c r="BH303" s="90" t="e">
        <f t="shared" si="61"/>
        <v>#DIV/0!</v>
      </c>
      <c r="BI303" s="90">
        <f t="shared" si="63"/>
        <v>35945.132321752</v>
      </c>
      <c r="BJ303" s="90">
        <f>BF303/((VLOOKUP(B303,'Cell-Characteristics'!$B$4:$Q$34,13,FALSE)))</f>
        <v>119.20091223156</v>
      </c>
      <c r="BK303" s="90">
        <f>BG303/((VLOOKUP(B303,'Cell-Characteristics'!$B$4:$Q$34,14,FALSE)))</f>
        <v>7610.4311424166</v>
      </c>
      <c r="BL303" s="90" t="e">
        <f>BH303/((VLOOKUP(B303,'Cell-Characteristics'!$B$4:$Q$34,15,FALSE)))</f>
        <v>#DIV/0!</v>
      </c>
      <c r="BM303" s="90">
        <f>BI303/((VLOOKUP(B303,'Cell-Characteristics'!$B$4:$Q$34,16,FALSE)))</f>
        <v>859.421499248103</v>
      </c>
      <c r="BN303" s="50">
        <f t="shared" si="59"/>
        <v>1.999466578</v>
      </c>
    </row>
    <row r="304" spans="2:66">
      <c r="B304" s="53" t="s">
        <v>160</v>
      </c>
      <c r="C304" s="107" t="s">
        <v>1055</v>
      </c>
      <c r="D304" s="53" t="s">
        <v>193</v>
      </c>
      <c r="E304" s="55" t="s">
        <v>228</v>
      </c>
      <c r="F304" s="56" t="s">
        <v>195</v>
      </c>
      <c r="H304" s="57">
        <v>43812</v>
      </c>
      <c r="I304" s="58" t="s">
        <v>1056</v>
      </c>
      <c r="J304" s="58">
        <v>100</v>
      </c>
      <c r="K304" s="59">
        <v>4.162</v>
      </c>
      <c r="L304" s="60">
        <v>46.1371</v>
      </c>
      <c r="M304" s="60">
        <v>52.3</v>
      </c>
      <c r="N304" s="60">
        <v>48.6</v>
      </c>
      <c r="O304" s="59" t="s">
        <v>197</v>
      </c>
      <c r="P304" s="59" t="s">
        <v>198</v>
      </c>
      <c r="Q304" s="61" t="s">
        <v>381</v>
      </c>
      <c r="R304" s="62">
        <v>59.4914800631742</v>
      </c>
      <c r="S304" s="63">
        <v>0.0453</v>
      </c>
      <c r="T304" s="63">
        <v>62.7871186622269</v>
      </c>
      <c r="U304" s="60">
        <v>66.6258454194301</v>
      </c>
      <c r="V304" s="60">
        <v>12.7049272497596</v>
      </c>
      <c r="W304" s="60">
        <v>53.081591385174</v>
      </c>
      <c r="X304" s="60">
        <v>0.839326784496455</v>
      </c>
      <c r="Y304" s="60">
        <v>19.0690672212536</v>
      </c>
      <c r="Z304" s="60">
        <v>79.671171226435</v>
      </c>
      <c r="AA304" s="60">
        <v>1.25976155231147</v>
      </c>
      <c r="AB304" s="60">
        <v>3.83872675720319</v>
      </c>
      <c r="AC304" s="60">
        <v>0</v>
      </c>
      <c r="AD304" s="120">
        <v>2</v>
      </c>
      <c r="AE304" s="120">
        <v>2</v>
      </c>
      <c r="AF304" s="120">
        <v>2</v>
      </c>
      <c r="AG304" s="60">
        <v>934.599632034991</v>
      </c>
      <c r="AH304" s="60">
        <v>99.2289</v>
      </c>
      <c r="AI304" s="60">
        <v>92.5193253959417</v>
      </c>
      <c r="AJ304" s="60">
        <v>106.6455</v>
      </c>
      <c r="AK304" s="55">
        <v>224.621455</v>
      </c>
      <c r="AL304" s="60">
        <v>11.5</v>
      </c>
      <c r="AM304" s="60">
        <v>3</v>
      </c>
      <c r="AN304" s="60">
        <v>11.1</v>
      </c>
      <c r="AO304" s="60">
        <v>1.3</v>
      </c>
      <c r="AP304" s="60">
        <v>0</v>
      </c>
      <c r="AQ304" s="60">
        <v>0</v>
      </c>
      <c r="AR304" s="60">
        <v>0</v>
      </c>
      <c r="AS304" s="60">
        <v>19.2371</v>
      </c>
      <c r="AT304" s="60">
        <v>34.6371</v>
      </c>
      <c r="AU304" s="60">
        <v>75.0742894546905</v>
      </c>
      <c r="AV304" s="97">
        <v>0</v>
      </c>
      <c r="AW304" s="53" t="s">
        <v>1057</v>
      </c>
      <c r="AX304" s="53" t="s">
        <v>1058</v>
      </c>
      <c r="AY304" s="53" t="s">
        <v>202</v>
      </c>
      <c r="AZ304" s="53" t="s">
        <v>202</v>
      </c>
      <c r="BA304" s="53" t="s">
        <v>202</v>
      </c>
      <c r="BC304" s="56">
        <v>5</v>
      </c>
      <c r="BD304" s="56">
        <v>6.17283950617284</v>
      </c>
      <c r="BE304" s="59">
        <f>U304/((VLOOKUP(B304,'Cell-Characteristics'!$B$4:$E$34,3,FALSE)*VLOOKUP(B304,'Cell-Characteristics'!$B$4:$E$34,4,FALSE)*3600)/1000)</f>
        <v>1.64245467546814</v>
      </c>
      <c r="BF304" s="90">
        <f t="shared" si="62"/>
        <v>6352.4636248798</v>
      </c>
      <c r="BG304" s="90">
        <f t="shared" si="60"/>
        <v>26540.795692587</v>
      </c>
      <c r="BH304" s="90">
        <f t="shared" si="61"/>
        <v>419.663392248228</v>
      </c>
      <c r="BI304" s="90">
        <f t="shared" si="63"/>
        <v>33312.9227097151</v>
      </c>
      <c r="BJ304" s="90">
        <f>BF304/((VLOOKUP(B304,'Cell-Characteristics'!$B$4:$Q$34,13,FALSE)))</f>
        <v>172.912614319772</v>
      </c>
      <c r="BK304" s="90">
        <f>BG304/((VLOOKUP(B304,'Cell-Characteristics'!$B$4:$Q$34,14,FALSE)))</f>
        <v>10435.1638328957</v>
      </c>
      <c r="BL304" s="90">
        <f>BH304/((VLOOKUP(B304,'Cell-Characteristics'!$B$4:$Q$34,15,FALSE)))</f>
        <v>165.000940570979</v>
      </c>
      <c r="BM304" s="90">
        <f>BI304/((VLOOKUP(B304,'Cell-Characteristics'!$B$4:$Q$34,16,FALSE)))</f>
        <v>796.487316370074</v>
      </c>
      <c r="BN304" s="50">
        <f t="shared" si="59"/>
        <v>2</v>
      </c>
    </row>
    <row r="305" spans="2:66">
      <c r="B305" s="53" t="s">
        <v>160</v>
      </c>
      <c r="C305" s="107" t="s">
        <v>1059</v>
      </c>
      <c r="D305" s="53" t="s">
        <v>193</v>
      </c>
      <c r="E305" s="55" t="s">
        <v>228</v>
      </c>
      <c r="F305" s="56" t="s">
        <v>195</v>
      </c>
      <c r="H305" s="57">
        <v>43812</v>
      </c>
      <c r="I305" s="58" t="s">
        <v>1060</v>
      </c>
      <c r="J305" s="58">
        <v>100</v>
      </c>
      <c r="K305" s="59">
        <v>4.166</v>
      </c>
      <c r="L305" s="60">
        <v>46.1494</v>
      </c>
      <c r="M305" s="60">
        <v>51.4</v>
      </c>
      <c r="N305" s="60">
        <v>48</v>
      </c>
      <c r="O305" s="59" t="s">
        <v>197</v>
      </c>
      <c r="P305" s="59" t="s">
        <v>198</v>
      </c>
      <c r="Q305" s="61" t="s">
        <v>381</v>
      </c>
      <c r="R305" s="62">
        <v>53.8240788977259</v>
      </c>
      <c r="S305" s="63">
        <v>0.0453</v>
      </c>
      <c r="T305" s="63">
        <v>55.9540645340327</v>
      </c>
      <c r="U305" s="60">
        <v>59.8519564760668</v>
      </c>
      <c r="V305" s="60">
        <v>5.4719112232054</v>
      </c>
      <c r="W305" s="60">
        <v>53.6530601765646</v>
      </c>
      <c r="X305" s="60">
        <v>0.726985076296771</v>
      </c>
      <c r="Y305" s="60">
        <v>9.14240994844249</v>
      </c>
      <c r="Z305" s="60">
        <v>89.6429512676316</v>
      </c>
      <c r="AA305" s="60">
        <v>1.21463878392592</v>
      </c>
      <c r="AB305" s="60">
        <v>3.89789194203407</v>
      </c>
      <c r="AC305" s="60">
        <v>0</v>
      </c>
      <c r="AD305" s="120">
        <v>2</v>
      </c>
      <c r="AE305" s="120">
        <v>2</v>
      </c>
      <c r="AF305" s="120">
        <v>2</v>
      </c>
      <c r="AG305" s="60">
        <v>952.279723460353</v>
      </c>
      <c r="AH305" s="60">
        <v>97.7305</v>
      </c>
      <c r="AI305" s="60">
        <v>92.8273749563989</v>
      </c>
      <c r="AJ305" s="60">
        <v>118.4528</v>
      </c>
      <c r="AK305" s="55">
        <v>228.589205</v>
      </c>
      <c r="AL305" s="60">
        <v>6.6</v>
      </c>
      <c r="AM305" s="60">
        <v>8.3</v>
      </c>
      <c r="AN305" s="60">
        <v>9</v>
      </c>
      <c r="AO305" s="60">
        <v>1.7</v>
      </c>
      <c r="AP305" s="60">
        <v>0</v>
      </c>
      <c r="AQ305" s="60">
        <v>0</v>
      </c>
      <c r="AR305" s="60">
        <v>0</v>
      </c>
      <c r="AS305" s="60">
        <v>20.5494</v>
      </c>
      <c r="AT305" s="60">
        <v>39.5494</v>
      </c>
      <c r="AU305" s="60">
        <v>85.698622300615</v>
      </c>
      <c r="AV305" s="97">
        <v>0</v>
      </c>
      <c r="AW305" s="53" t="s">
        <v>1061</v>
      </c>
      <c r="AX305" s="53" t="s">
        <v>1062</v>
      </c>
      <c r="AY305" s="53" t="s">
        <v>202</v>
      </c>
      <c r="AZ305" s="53" t="s">
        <v>202</v>
      </c>
      <c r="BA305" s="53" t="s">
        <v>202</v>
      </c>
      <c r="BC305" s="56">
        <v>5</v>
      </c>
      <c r="BD305" s="56">
        <v>6.17283950617284</v>
      </c>
      <c r="BE305" s="59">
        <f>U305/((VLOOKUP(B305,'Cell-Characteristics'!$B$4:$E$34,3,FALSE)*VLOOKUP(B305,'Cell-Characteristics'!$B$4:$E$34,4,FALSE)*3600)/1000)</f>
        <v>1.47546534128276</v>
      </c>
      <c r="BF305" s="90">
        <f t="shared" si="62"/>
        <v>2735.9556116027</v>
      </c>
      <c r="BG305" s="90">
        <f t="shared" si="60"/>
        <v>26826.5300882823</v>
      </c>
      <c r="BH305" s="90">
        <f t="shared" si="61"/>
        <v>363.492538148386</v>
      </c>
      <c r="BI305" s="90">
        <f t="shared" si="63"/>
        <v>29925.9782380334</v>
      </c>
      <c r="BJ305" s="90">
        <f>BF305/((VLOOKUP(B305,'Cell-Characteristics'!$B$4:$Q$34,13,FALSE)))</f>
        <v>74.4720891611601</v>
      </c>
      <c r="BK305" s="90">
        <f>BG305/((VLOOKUP(B305,'Cell-Characteristics'!$B$4:$Q$34,14,FALSE)))</f>
        <v>10547.5073084384</v>
      </c>
      <c r="BL305" s="90">
        <f>BH305/((VLOOKUP(B305,'Cell-Characteristics'!$B$4:$Q$34,15,FALSE)))</f>
        <v>142.91599361028</v>
      </c>
      <c r="BM305" s="90">
        <f>BI305/((VLOOKUP(B305,'Cell-Characteristics'!$B$4:$Q$34,16,FALSE)))</f>
        <v>715.507981820198</v>
      </c>
      <c r="BN305" s="50">
        <f t="shared" si="59"/>
        <v>2</v>
      </c>
    </row>
    <row r="306" spans="2:66">
      <c r="B306" s="53" t="s">
        <v>160</v>
      </c>
      <c r="C306" s="107" t="s">
        <v>1063</v>
      </c>
      <c r="D306" s="53" t="s">
        <v>193</v>
      </c>
      <c r="E306" s="55" t="s">
        <v>228</v>
      </c>
      <c r="F306" s="56" t="s">
        <v>195</v>
      </c>
      <c r="H306" s="57">
        <v>43812</v>
      </c>
      <c r="I306" s="58" t="s">
        <v>1064</v>
      </c>
      <c r="J306" s="58">
        <v>100</v>
      </c>
      <c r="K306" s="59">
        <v>4.168</v>
      </c>
      <c r="L306" s="60">
        <v>46.2356</v>
      </c>
      <c r="M306" s="60">
        <v>47.5</v>
      </c>
      <c r="N306" s="60">
        <v>49.9</v>
      </c>
      <c r="O306" s="59" t="s">
        <v>198</v>
      </c>
      <c r="P306" s="59" t="s">
        <v>198</v>
      </c>
      <c r="Q306" s="61" t="s">
        <v>381</v>
      </c>
      <c r="R306" s="62">
        <v>54.547737212162</v>
      </c>
      <c r="S306" s="63">
        <v>0.0398</v>
      </c>
      <c r="T306" s="63">
        <v>55.9852281845896</v>
      </c>
      <c r="U306" s="60">
        <v>59.2005615915208</v>
      </c>
      <c r="V306" s="60">
        <v>13.55962140075</v>
      </c>
      <c r="W306" s="60">
        <v>45.0058384625237</v>
      </c>
      <c r="X306" s="60">
        <v>0.63510172824707</v>
      </c>
      <c r="Y306" s="60">
        <v>22.9045485992352</v>
      </c>
      <c r="Z306" s="60">
        <v>76.0226546042931</v>
      </c>
      <c r="AA306" s="60">
        <v>1.07279679647166</v>
      </c>
      <c r="AB306" s="60">
        <v>3.21533340693125</v>
      </c>
      <c r="AC306" s="60">
        <v>0</v>
      </c>
      <c r="AD306" s="120">
        <v>2</v>
      </c>
      <c r="AE306" s="120">
        <v>2</v>
      </c>
      <c r="AF306" s="120">
        <v>2</v>
      </c>
      <c r="AG306" s="60">
        <v>946.905043349115</v>
      </c>
      <c r="AH306" s="60">
        <v>103.4775</v>
      </c>
      <c r="AI306" s="60">
        <v>97.8773108395814</v>
      </c>
      <c r="AJ306" s="60">
        <v>111.4901</v>
      </c>
      <c r="AK306" s="55">
        <v>229.37339</v>
      </c>
      <c r="AL306" s="60">
        <v>16.7</v>
      </c>
      <c r="AM306" s="60">
        <v>3.2</v>
      </c>
      <c r="AN306" s="60">
        <v>5.5</v>
      </c>
      <c r="AO306" s="60">
        <v>1.1</v>
      </c>
      <c r="AP306" s="60">
        <v>0</v>
      </c>
      <c r="AQ306" s="60">
        <v>0</v>
      </c>
      <c r="AR306" s="60">
        <v>0</v>
      </c>
      <c r="AS306" s="60">
        <v>19.7356</v>
      </c>
      <c r="AT306" s="60">
        <v>29.5356</v>
      </c>
      <c r="AU306" s="60">
        <v>63.8806460822397</v>
      </c>
      <c r="AV306" s="97">
        <v>0</v>
      </c>
      <c r="AW306" s="53" t="s">
        <v>1065</v>
      </c>
      <c r="AX306" s="53" t="s">
        <v>1066</v>
      </c>
      <c r="AY306" s="53" t="s">
        <v>202</v>
      </c>
      <c r="AZ306" s="53" t="s">
        <v>202</v>
      </c>
      <c r="BA306" s="53" t="s">
        <v>202</v>
      </c>
      <c r="BC306" s="56">
        <v>8</v>
      </c>
      <c r="BD306" s="56">
        <v>9.87654320987654</v>
      </c>
      <c r="BE306" s="59">
        <f>U306/((VLOOKUP(B306,'Cell-Characteristics'!$B$4:$E$34,3,FALSE)*VLOOKUP(B306,'Cell-Characteristics'!$B$4:$E$34,4,FALSE)*3600)/1000)</f>
        <v>1.45940720998306</v>
      </c>
      <c r="BF306" s="90">
        <f t="shared" si="62"/>
        <v>6779.810700375</v>
      </c>
      <c r="BG306" s="90">
        <f t="shared" si="60"/>
        <v>22502.9192312619</v>
      </c>
      <c r="BH306" s="90">
        <f t="shared" si="61"/>
        <v>317.550864123535</v>
      </c>
      <c r="BI306" s="90">
        <f t="shared" si="63"/>
        <v>29600.2807957604</v>
      </c>
      <c r="BJ306" s="90">
        <f>BF306/((VLOOKUP(B306,'Cell-Characteristics'!$B$4:$Q$34,13,FALSE)))</f>
        <v>184.544904468806</v>
      </c>
      <c r="BK306" s="90">
        <f>BG306/((VLOOKUP(B306,'Cell-Characteristics'!$B$4:$Q$34,14,FALSE)))</f>
        <v>8847.57381114329</v>
      </c>
      <c r="BL306" s="90">
        <f>BH306/((VLOOKUP(B306,'Cell-Characteristics'!$B$4:$Q$34,15,FALSE)))</f>
        <v>124.852899317266</v>
      </c>
      <c r="BM306" s="90">
        <f>BI306/((VLOOKUP(B306,'Cell-Characteristics'!$B$4:$Q$34,16,FALSE)))</f>
        <v>707.720797128986</v>
      </c>
      <c r="BN306" s="50">
        <f t="shared" si="59"/>
        <v>2</v>
      </c>
    </row>
    <row r="307" spans="2:66">
      <c r="B307" s="53" t="s">
        <v>160</v>
      </c>
      <c r="C307" s="107" t="s">
        <v>1067</v>
      </c>
      <c r="D307" s="53" t="s">
        <v>193</v>
      </c>
      <c r="E307" s="55" t="s">
        <v>228</v>
      </c>
      <c r="F307" s="56" t="s">
        <v>195</v>
      </c>
      <c r="H307" s="57">
        <v>43812</v>
      </c>
      <c r="I307" s="58" t="s">
        <v>1068</v>
      </c>
      <c r="J307" s="58">
        <v>100</v>
      </c>
      <c r="K307" s="59">
        <v>4.164</v>
      </c>
      <c r="L307" s="60">
        <v>46.2922</v>
      </c>
      <c r="M307" s="60">
        <v>48.6</v>
      </c>
      <c r="N307" s="60">
        <v>48.6</v>
      </c>
      <c r="O307" s="59" t="s">
        <v>198</v>
      </c>
      <c r="P307" s="59" t="s">
        <v>198</v>
      </c>
      <c r="Q307" s="61" t="s">
        <v>381</v>
      </c>
      <c r="R307" s="62">
        <v>57.0662182661566</v>
      </c>
      <c r="S307" s="63">
        <v>0.0464</v>
      </c>
      <c r="T307" s="63">
        <v>60.3104963484553</v>
      </c>
      <c r="U307" s="60">
        <v>63.5387860155925</v>
      </c>
      <c r="V307" s="60">
        <v>17.6129373353568</v>
      </c>
      <c r="W307" s="60">
        <v>45.149871998978</v>
      </c>
      <c r="X307" s="60">
        <v>0.77597668125767</v>
      </c>
      <c r="Y307" s="60">
        <v>27.7199777330253</v>
      </c>
      <c r="Z307" s="60">
        <v>71.0587576978543</v>
      </c>
      <c r="AA307" s="60">
        <v>1.22126456912042</v>
      </c>
      <c r="AB307" s="60">
        <v>3.22828966713718</v>
      </c>
      <c r="AC307" s="60">
        <v>0</v>
      </c>
      <c r="AD307" s="120">
        <v>2</v>
      </c>
      <c r="AE307" s="120">
        <v>2</v>
      </c>
      <c r="AF307" s="120">
        <v>2</v>
      </c>
      <c r="AG307" s="60">
        <v>936.924553266986</v>
      </c>
      <c r="AH307" s="60">
        <v>107.1717</v>
      </c>
      <c r="AI307" s="60">
        <v>100.223440682076</v>
      </c>
      <c r="AJ307" s="60">
        <v>113.1783</v>
      </c>
      <c r="AK307" s="55">
        <v>237.939145</v>
      </c>
      <c r="AL307" s="60">
        <v>16.6</v>
      </c>
      <c r="AM307" s="60">
        <v>3.1</v>
      </c>
      <c r="AN307" s="60">
        <v>7.3</v>
      </c>
      <c r="AO307" s="60">
        <v>0.799999999999997</v>
      </c>
      <c r="AP307" s="60">
        <v>0</v>
      </c>
      <c r="AQ307" s="60">
        <v>0</v>
      </c>
      <c r="AR307" s="60">
        <v>0</v>
      </c>
      <c r="AS307" s="60">
        <v>18.4922</v>
      </c>
      <c r="AT307" s="60">
        <v>29.6922</v>
      </c>
      <c r="AU307" s="60">
        <v>64.1408271803889</v>
      </c>
      <c r="AV307" s="97">
        <v>0</v>
      </c>
      <c r="AW307" s="53" t="s">
        <v>1069</v>
      </c>
      <c r="AX307" s="53" t="s">
        <v>1070</v>
      </c>
      <c r="AY307" s="53" t="s">
        <v>202</v>
      </c>
      <c r="AZ307" s="53" t="s">
        <v>202</v>
      </c>
      <c r="BA307" s="53" t="s">
        <v>202</v>
      </c>
      <c r="BC307" s="56">
        <v>7</v>
      </c>
      <c r="BD307" s="56">
        <v>8.64197530864197</v>
      </c>
      <c r="BE307" s="59">
        <f>U307/((VLOOKUP(B307,'Cell-Characteristics'!$B$4:$E$34,3,FALSE)*VLOOKUP(B307,'Cell-Characteristics'!$B$4:$E$34,4,FALSE)*3600)/1000)</f>
        <v>1.56635274956594</v>
      </c>
      <c r="BF307" s="90">
        <f t="shared" si="62"/>
        <v>8806.4686676784</v>
      </c>
      <c r="BG307" s="90">
        <f t="shared" si="60"/>
        <v>22574.935999489</v>
      </c>
      <c r="BH307" s="90">
        <f t="shared" si="61"/>
        <v>387.988340628835</v>
      </c>
      <c r="BI307" s="90">
        <f t="shared" si="63"/>
        <v>31769.3930077963</v>
      </c>
      <c r="BJ307" s="90">
        <f>BF307/((VLOOKUP(B307,'Cell-Characteristics'!$B$4:$Q$34,13,FALSE)))</f>
        <v>239.710073157994</v>
      </c>
      <c r="BK307" s="90">
        <f>BG307/((VLOOKUP(B307,'Cell-Characteristics'!$B$4:$Q$34,14,FALSE)))</f>
        <v>8875.88896732288</v>
      </c>
      <c r="BL307" s="90">
        <f>BH307/((VLOOKUP(B307,'Cell-Characteristics'!$B$4:$Q$34,15,FALSE)))</f>
        <v>152.547118278224</v>
      </c>
      <c r="BM307" s="90">
        <f>BI307/((VLOOKUP(B307,'Cell-Characteristics'!$B$4:$Q$34,16,FALSE)))</f>
        <v>759.582664060468</v>
      </c>
      <c r="BN307" s="50">
        <f t="shared" si="59"/>
        <v>2</v>
      </c>
    </row>
    <row r="308" spans="2:66">
      <c r="B308" s="90" t="s">
        <v>10</v>
      </c>
      <c r="C308" s="91" t="s">
        <v>1071</v>
      </c>
      <c r="D308" s="90" t="s">
        <v>227</v>
      </c>
      <c r="E308" s="92" t="s">
        <v>194</v>
      </c>
      <c r="F308" s="93" t="s">
        <v>229</v>
      </c>
      <c r="G308" s="93"/>
      <c r="H308" s="94">
        <v>43400</v>
      </c>
      <c r="I308" s="95" t="s">
        <v>1072</v>
      </c>
      <c r="J308" s="95">
        <v>100</v>
      </c>
      <c r="K308" s="96">
        <v>4.16</v>
      </c>
      <c r="L308" s="97">
        <v>40.4387</v>
      </c>
      <c r="M308" s="97">
        <v>46.8</v>
      </c>
      <c r="N308" s="97">
        <v>47.6</v>
      </c>
      <c r="O308" s="92" t="s">
        <v>198</v>
      </c>
      <c r="P308" s="92" t="s">
        <v>198</v>
      </c>
      <c r="Q308" s="98" t="s">
        <v>381</v>
      </c>
      <c r="R308" s="99">
        <v>27.3640012218381</v>
      </c>
      <c r="S308" s="100">
        <v>0.017</v>
      </c>
      <c r="T308" s="100">
        <v>30.8177104667769</v>
      </c>
      <c r="U308" s="97">
        <v>31.1669552131741</v>
      </c>
      <c r="V308" s="97">
        <v>15.0313093208616</v>
      </c>
      <c r="W308" s="97">
        <v>15.9276042030929</v>
      </c>
      <c r="X308" s="97">
        <v>0.208041689219554</v>
      </c>
      <c r="Y308" s="97">
        <v>48.228353453365</v>
      </c>
      <c r="Z308" s="97">
        <v>51.1041392851889</v>
      </c>
      <c r="AA308" s="97">
        <v>0.667507261445982</v>
      </c>
      <c r="AB308" s="97">
        <v>0.349244746397184</v>
      </c>
      <c r="AC308" s="97">
        <v>0</v>
      </c>
      <c r="AD308" s="124">
        <v>3.2138</v>
      </c>
      <c r="AE308" s="124">
        <v>3.2138</v>
      </c>
      <c r="AF308" s="126">
        <v>0</v>
      </c>
      <c r="AG308" s="97">
        <v>972.01696557718</v>
      </c>
      <c r="AH308" s="97">
        <v>50.1896</v>
      </c>
      <c r="AI308" s="97">
        <v>48.8111215617892</v>
      </c>
      <c r="AJ308" s="97"/>
      <c r="AK308" s="92">
        <v>115.05664</v>
      </c>
      <c r="AL308" s="97">
        <v>26.47</v>
      </c>
      <c r="AM308" s="97">
        <v>1.06</v>
      </c>
      <c r="AN308" s="97">
        <v>5.32</v>
      </c>
      <c r="AO308" s="97">
        <v>1.234</v>
      </c>
      <c r="AP308" s="97">
        <v>0</v>
      </c>
      <c r="AQ308" s="97">
        <v>0</v>
      </c>
      <c r="AR308" s="97">
        <v>0</v>
      </c>
      <c r="AS308" s="97">
        <v>6.3547</v>
      </c>
      <c r="AT308" s="97">
        <f t="shared" ref="AT308:AT339" si="73">L308-AL308</f>
        <v>13.9687</v>
      </c>
      <c r="AU308" s="97">
        <f t="shared" ref="AU308:AU339" si="74">100*(AT308/L308)</f>
        <v>34.542900736176</v>
      </c>
      <c r="AV308" s="97">
        <v>0</v>
      </c>
      <c r="AW308" s="90" t="s">
        <v>1073</v>
      </c>
      <c r="AX308" s="90" t="s">
        <v>134</v>
      </c>
      <c r="AY308" s="90" t="s">
        <v>134</v>
      </c>
      <c r="AZ308" s="90" t="s">
        <v>212</v>
      </c>
      <c r="BA308" s="90" t="s">
        <v>204</v>
      </c>
      <c r="BB308" s="90" t="s">
        <v>1074</v>
      </c>
      <c r="BC308" s="93">
        <v>8</v>
      </c>
      <c r="BD308" s="93">
        <v>16</v>
      </c>
      <c r="BE308" s="59">
        <f>U308/((VLOOKUP(B308,'Cell-Characteristics'!$B$4:$E$34,3,FALSE)*VLOOKUP(B308,'Cell-Characteristics'!$B$4:$E$34,4,FALSE)*3600)/1000)</f>
        <v>1.12948304751664</v>
      </c>
      <c r="BF308" s="90">
        <f t="shared" si="62"/>
        <v>4677.11410817772</v>
      </c>
      <c r="BG308" s="90">
        <f t="shared" si="60"/>
        <v>4956.00354816508</v>
      </c>
      <c r="BH308" s="90" t="e">
        <f t="shared" si="61"/>
        <v>#DIV/0!</v>
      </c>
      <c r="BI308" s="90">
        <f t="shared" si="63"/>
        <v>14546.777279159</v>
      </c>
      <c r="BJ308" s="90">
        <f>BF308/((VLOOKUP(B308,'Cell-Characteristics'!$B$4:$Q$34,13,FALSE)))</f>
        <v>127.30998171315</v>
      </c>
      <c r="BK308" s="90">
        <f>BG308/((VLOOKUP(B308,'Cell-Characteristics'!$B$4:$Q$34,14,FALSE)))</f>
        <v>1948.57417164625</v>
      </c>
      <c r="BL308" s="90" t="e">
        <f>BH308/((VLOOKUP(B308,'Cell-Characteristics'!$B$4:$Q$34,15,FALSE)))</f>
        <v>#DIV/0!</v>
      </c>
      <c r="BM308" s="90">
        <f>BI308/((VLOOKUP(B308,'Cell-Characteristics'!$B$4:$Q$34,16,FALSE)))</f>
        <v>347.802673991483</v>
      </c>
      <c r="BN308" s="50">
        <f t="shared" si="59"/>
        <v>2.14253333333333</v>
      </c>
    </row>
    <row r="309" spans="2:66">
      <c r="B309" s="90" t="s">
        <v>10</v>
      </c>
      <c r="C309" s="91" t="s">
        <v>1075</v>
      </c>
      <c r="D309" s="90" t="s">
        <v>227</v>
      </c>
      <c r="E309" s="92" t="s">
        <v>194</v>
      </c>
      <c r="F309" s="93" t="s">
        <v>229</v>
      </c>
      <c r="G309" s="93"/>
      <c r="H309" s="94">
        <v>43400</v>
      </c>
      <c r="I309" s="95" t="s">
        <v>1076</v>
      </c>
      <c r="J309" s="95">
        <v>100</v>
      </c>
      <c r="K309" s="96">
        <v>4.161</v>
      </c>
      <c r="L309" s="97">
        <v>40.1051</v>
      </c>
      <c r="M309" s="97">
        <v>45.9</v>
      </c>
      <c r="N309" s="97">
        <v>47.7</v>
      </c>
      <c r="O309" s="92" t="s">
        <v>198</v>
      </c>
      <c r="P309" s="92" t="s">
        <v>198</v>
      </c>
      <c r="Q309" s="98" t="s">
        <v>381</v>
      </c>
      <c r="R309" s="99">
        <v>28.707390068606</v>
      </c>
      <c r="S309" s="100">
        <v>0.016</v>
      </c>
      <c r="T309" s="100">
        <v>32.0267699949585</v>
      </c>
      <c r="U309" s="97">
        <v>32.5365463019724</v>
      </c>
      <c r="V309" s="97">
        <v>14.5732846361798</v>
      </c>
      <c r="W309" s="97">
        <v>17.4926274308906</v>
      </c>
      <c r="X309" s="97">
        <v>0.470634234902077</v>
      </c>
      <c r="Y309" s="97">
        <v>44.7905088048522</v>
      </c>
      <c r="Z309" s="97">
        <v>53.763012424678</v>
      </c>
      <c r="AA309" s="97">
        <v>1.4464787704697</v>
      </c>
      <c r="AB309" s="97">
        <v>0.509776307013888</v>
      </c>
      <c r="AC309" s="97">
        <v>0</v>
      </c>
      <c r="AD309" s="124">
        <v>2.5097</v>
      </c>
      <c r="AE309" s="124">
        <v>2.5097</v>
      </c>
      <c r="AF309" s="126">
        <v>0</v>
      </c>
      <c r="AG309" s="97">
        <v>962.124229779711</v>
      </c>
      <c r="AH309" s="97">
        <v>48.7073</v>
      </c>
      <c r="AI309" s="97">
        <v>46.888083608997</v>
      </c>
      <c r="AJ309" s="97"/>
      <c r="AK309" s="92">
        <v>109.62699</v>
      </c>
      <c r="AL309" s="97">
        <v>26.149</v>
      </c>
      <c r="AM309" s="97">
        <v>0.95</v>
      </c>
      <c r="AN309" s="97">
        <v>3.86</v>
      </c>
      <c r="AO309" s="97">
        <v>1.455</v>
      </c>
      <c r="AP309" s="97">
        <v>0</v>
      </c>
      <c r="AQ309" s="97">
        <v>0</v>
      </c>
      <c r="AR309" s="97">
        <v>0</v>
      </c>
      <c r="AS309" s="97">
        <v>7.6911</v>
      </c>
      <c r="AT309" s="97">
        <f t="shared" si="73"/>
        <v>13.9561</v>
      </c>
      <c r="AU309" s="97">
        <f t="shared" si="74"/>
        <v>34.7988161106692</v>
      </c>
      <c r="AV309" s="97">
        <v>0</v>
      </c>
      <c r="AW309" s="90" t="s">
        <v>1077</v>
      </c>
      <c r="AX309" s="90" t="s">
        <v>134</v>
      </c>
      <c r="AY309" s="90" t="s">
        <v>134</v>
      </c>
      <c r="AZ309" s="90" t="s">
        <v>212</v>
      </c>
      <c r="BA309" s="90" t="s">
        <v>204</v>
      </c>
      <c r="BB309" s="90" t="s">
        <v>1078</v>
      </c>
      <c r="BC309" s="93">
        <v>8</v>
      </c>
      <c r="BD309" s="93">
        <v>16</v>
      </c>
      <c r="BE309" s="59">
        <f>U309/((VLOOKUP(B309,'Cell-Characteristics'!$B$4:$E$34,3,FALSE)*VLOOKUP(B309,'Cell-Characteristics'!$B$4:$E$34,4,FALSE)*3600)/1000)</f>
        <v>1.17911670297791</v>
      </c>
      <c r="BF309" s="90">
        <f t="shared" si="62"/>
        <v>5806.7835343586</v>
      </c>
      <c r="BG309" s="90">
        <f t="shared" si="60"/>
        <v>6970.00734386204</v>
      </c>
      <c r="BH309" s="90" t="e">
        <f t="shared" si="61"/>
        <v>#DIV/0!</v>
      </c>
      <c r="BI309" s="90">
        <f t="shared" si="63"/>
        <v>19446.4754564126</v>
      </c>
      <c r="BJ309" s="90">
        <f>BF309/((VLOOKUP(B309,'Cell-Characteristics'!$B$4:$Q$34,13,FALSE)))</f>
        <v>158.059326429272</v>
      </c>
      <c r="BK309" s="90">
        <f>BG309/((VLOOKUP(B309,'Cell-Characteristics'!$B$4:$Q$34,14,FALSE)))</f>
        <v>2740.42908856729</v>
      </c>
      <c r="BL309" s="90" t="e">
        <f>BH309/((VLOOKUP(B309,'Cell-Characteristics'!$B$4:$Q$34,15,FALSE)))</f>
        <v>#DIV/0!</v>
      </c>
      <c r="BM309" s="90">
        <f>BI309/((VLOOKUP(B309,'Cell-Characteristics'!$B$4:$Q$34,16,FALSE)))</f>
        <v>464.950829565535</v>
      </c>
      <c r="BN309" s="50">
        <f t="shared" si="59"/>
        <v>1.67313333333333</v>
      </c>
    </row>
    <row r="310" spans="2:66">
      <c r="B310" s="90" t="s">
        <v>10</v>
      </c>
      <c r="C310" s="91" t="s">
        <v>1079</v>
      </c>
      <c r="D310" s="90" t="s">
        <v>227</v>
      </c>
      <c r="E310" s="92" t="s">
        <v>194</v>
      </c>
      <c r="F310" s="93" t="s">
        <v>229</v>
      </c>
      <c r="G310" s="93"/>
      <c r="H310" s="94">
        <v>43400</v>
      </c>
      <c r="I310" s="95" t="s">
        <v>1080</v>
      </c>
      <c r="J310" s="95">
        <v>100</v>
      </c>
      <c r="K310" s="96">
        <v>4.158</v>
      </c>
      <c r="L310" s="97">
        <v>40.2032</v>
      </c>
      <c r="M310" s="97">
        <v>48.3</v>
      </c>
      <c r="N310" s="97">
        <v>47.6</v>
      </c>
      <c r="O310" s="92" t="s">
        <v>198</v>
      </c>
      <c r="P310" s="92" t="s">
        <v>198</v>
      </c>
      <c r="Q310" s="98" t="s">
        <v>381</v>
      </c>
      <c r="R310" s="99">
        <v>21.9877703782543</v>
      </c>
      <c r="S310" s="100">
        <v>0.014</v>
      </c>
      <c r="T310" s="100">
        <v>25.4353924029743</v>
      </c>
      <c r="U310" s="97">
        <v>25.8140883378765</v>
      </c>
      <c r="V310" s="97">
        <v>8.09137149671906</v>
      </c>
      <c r="W310" s="97">
        <v>17.5087446262982</v>
      </c>
      <c r="X310" s="97">
        <v>0.213972214859211</v>
      </c>
      <c r="Y310" s="97">
        <v>31.3447889029137</v>
      </c>
      <c r="Z310" s="97">
        <v>67.8263140542833</v>
      </c>
      <c r="AA310" s="97">
        <v>0.828897042802994</v>
      </c>
      <c r="AB310" s="97">
        <v>0.37869593490216</v>
      </c>
      <c r="AC310" s="97">
        <v>0</v>
      </c>
      <c r="AD310" s="124">
        <v>2.9123</v>
      </c>
      <c r="AE310" s="124">
        <v>2.9123</v>
      </c>
      <c r="AF310" s="126">
        <v>0</v>
      </c>
      <c r="AG310" s="97">
        <v>949.35395135457</v>
      </c>
      <c r="AH310" s="97">
        <v>53.012</v>
      </c>
      <c r="AI310" s="97">
        <v>50.4150872820125</v>
      </c>
      <c r="AJ310" s="97"/>
      <c r="AK310" s="92">
        <v>190.66761</v>
      </c>
      <c r="AL310" s="97">
        <v>25.938</v>
      </c>
      <c r="AM310" s="97">
        <v>1.12</v>
      </c>
      <c r="AN310" s="97">
        <v>5.18</v>
      </c>
      <c r="AO310" s="97">
        <v>1.47</v>
      </c>
      <c r="AP310" s="97">
        <v>0</v>
      </c>
      <c r="AQ310" s="97">
        <v>0</v>
      </c>
      <c r="AR310" s="97">
        <v>0</v>
      </c>
      <c r="AS310" s="97">
        <v>6.4952</v>
      </c>
      <c r="AT310" s="97">
        <f t="shared" si="73"/>
        <v>14.2652</v>
      </c>
      <c r="AU310" s="97">
        <f t="shared" si="74"/>
        <v>35.4827476419788</v>
      </c>
      <c r="AV310" s="97">
        <v>0</v>
      </c>
      <c r="AW310" s="90" t="s">
        <v>1081</v>
      </c>
      <c r="AX310" s="90" t="s">
        <v>134</v>
      </c>
      <c r="AY310" s="90" t="s">
        <v>134</v>
      </c>
      <c r="AZ310" s="90" t="s">
        <v>212</v>
      </c>
      <c r="BA310" s="90" t="s">
        <v>204</v>
      </c>
      <c r="BB310" s="90" t="s">
        <v>1082</v>
      </c>
      <c r="BC310" s="93">
        <v>9</v>
      </c>
      <c r="BD310" s="93">
        <v>18</v>
      </c>
      <c r="BE310" s="59">
        <f>U310/((VLOOKUP(B310,'Cell-Characteristics'!$B$4:$E$34,3,FALSE)*VLOOKUP(B310,'Cell-Characteristics'!$B$4:$E$34,4,FALSE)*3600)/1000)</f>
        <v>0.935496424508099</v>
      </c>
      <c r="BF310" s="90">
        <f t="shared" si="62"/>
        <v>2778.3440911716</v>
      </c>
      <c r="BG310" s="90">
        <f t="shared" si="60"/>
        <v>6011.99897891639</v>
      </c>
      <c r="BH310" s="90" t="e">
        <f t="shared" si="61"/>
        <v>#DIV/0!</v>
      </c>
      <c r="BI310" s="90">
        <f t="shared" si="63"/>
        <v>13295.722455384</v>
      </c>
      <c r="BJ310" s="90">
        <f>BF310/((VLOOKUP(B310,'Cell-Characteristics'!$B$4:$Q$34,13,FALSE)))</f>
        <v>75.6258939292178</v>
      </c>
      <c r="BK310" s="90">
        <f>BG310/((VLOOKUP(B310,'Cell-Characteristics'!$B$4:$Q$34,14,FALSE)))</f>
        <v>2363.76463746025</v>
      </c>
      <c r="BL310" s="90" t="e">
        <f>BH310/((VLOOKUP(B310,'Cell-Characteristics'!$B$4:$Q$34,15,FALSE)))</f>
        <v>#DIV/0!</v>
      </c>
      <c r="BM310" s="90">
        <f>BI310/((VLOOKUP(B310,'Cell-Characteristics'!$B$4:$Q$34,16,FALSE)))</f>
        <v>317.890879463475</v>
      </c>
      <c r="BN310" s="50">
        <f t="shared" si="59"/>
        <v>1.94153333333333</v>
      </c>
    </row>
    <row r="311" spans="2:66">
      <c r="B311" s="90" t="s">
        <v>10</v>
      </c>
      <c r="C311" s="91" t="s">
        <v>1083</v>
      </c>
      <c r="D311" s="90" t="s">
        <v>227</v>
      </c>
      <c r="E311" s="92" t="s">
        <v>194</v>
      </c>
      <c r="F311" s="93" t="s">
        <v>229</v>
      </c>
      <c r="G311" s="93"/>
      <c r="H311" s="94">
        <v>43400</v>
      </c>
      <c r="I311" s="95" t="s">
        <v>1084</v>
      </c>
      <c r="J311" s="95">
        <v>100</v>
      </c>
      <c r="K311" s="96">
        <v>4.159</v>
      </c>
      <c r="L311" s="97">
        <v>40.2464</v>
      </c>
      <c r="M311" s="97">
        <v>47.7</v>
      </c>
      <c r="N311" s="97">
        <v>47.7</v>
      </c>
      <c r="O311" s="92" t="s">
        <v>197</v>
      </c>
      <c r="P311" s="92" t="s">
        <v>198</v>
      </c>
      <c r="Q311" s="98" t="s">
        <v>381</v>
      </c>
      <c r="R311" s="99">
        <v>27.9656067347845</v>
      </c>
      <c r="S311" s="100">
        <v>0.028</v>
      </c>
      <c r="T311" s="100">
        <v>34.273504511598</v>
      </c>
      <c r="U311" s="97">
        <v>34.6880261001699</v>
      </c>
      <c r="V311" s="97">
        <v>12.1133470047783</v>
      </c>
      <c r="W311" s="97">
        <v>21.2769221400786</v>
      </c>
      <c r="X311" s="97">
        <v>1.29775695531302</v>
      </c>
      <c r="Y311" s="97">
        <v>34.9208310954279</v>
      </c>
      <c r="Z311" s="97">
        <v>61.3379443345564</v>
      </c>
      <c r="AA311" s="97">
        <v>3.74122457001571</v>
      </c>
      <c r="AB311" s="97">
        <v>0.414521588571924</v>
      </c>
      <c r="AC311" s="97">
        <v>0</v>
      </c>
      <c r="AD311" s="124">
        <v>1.4038</v>
      </c>
      <c r="AE311" s="124">
        <v>1.4038</v>
      </c>
      <c r="AF311" s="126">
        <v>0</v>
      </c>
      <c r="AG311" s="97">
        <v>947.507630904909</v>
      </c>
      <c r="AH311" s="97">
        <v>109.052</v>
      </c>
      <c r="AI311" s="97">
        <v>103.350411450324</v>
      </c>
      <c r="AJ311" s="97"/>
      <c r="AK311" s="92">
        <v>273.84023</v>
      </c>
      <c r="AL311" s="97">
        <v>25.84</v>
      </c>
      <c r="AM311" s="97">
        <v>0.42</v>
      </c>
      <c r="AN311" s="97">
        <v>5.92</v>
      </c>
      <c r="AO311" s="97">
        <v>2.165</v>
      </c>
      <c r="AP311" s="97">
        <v>0.5</v>
      </c>
      <c r="AQ311" s="97">
        <v>0</v>
      </c>
      <c r="AR311" s="97">
        <v>0.06</v>
      </c>
      <c r="AS311" s="97">
        <v>5.3414</v>
      </c>
      <c r="AT311" s="97">
        <f t="shared" si="73"/>
        <v>14.4064</v>
      </c>
      <c r="AU311" s="97">
        <f t="shared" si="74"/>
        <v>35.7954997217142</v>
      </c>
      <c r="AV311" s="97">
        <v>0</v>
      </c>
      <c r="AW311" s="90" t="s">
        <v>1085</v>
      </c>
      <c r="AX311" s="90" t="s">
        <v>134</v>
      </c>
      <c r="AY311" s="90" t="s">
        <v>134</v>
      </c>
      <c r="AZ311" s="90" t="s">
        <v>203</v>
      </c>
      <c r="BA311" s="90" t="s">
        <v>204</v>
      </c>
      <c r="BB311" s="90" t="s">
        <v>1086</v>
      </c>
      <c r="BC311" s="93">
        <v>9</v>
      </c>
      <c r="BD311" s="93">
        <v>18</v>
      </c>
      <c r="BE311" s="59">
        <f>U311/((VLOOKUP(B311,'Cell-Characteristics'!$B$4:$E$34,3,FALSE)*VLOOKUP(B311,'Cell-Characteristics'!$B$4:$E$34,4,FALSE)*3600)/1000)</f>
        <v>1.25708581938718</v>
      </c>
      <c r="BF311" s="90">
        <f t="shared" si="62"/>
        <v>8628.96922978934</v>
      </c>
      <c r="BG311" s="90">
        <f t="shared" si="60"/>
        <v>15156.6620174374</v>
      </c>
      <c r="BH311" s="90" t="e">
        <f t="shared" si="61"/>
        <v>#DIV/0!</v>
      </c>
      <c r="BI311" s="90">
        <f t="shared" si="63"/>
        <v>37065.1368786543</v>
      </c>
      <c r="BJ311" s="90">
        <f>BF311/((VLOOKUP(B311,'Cell-Characteristics'!$B$4:$Q$34,13,FALSE)))</f>
        <v>234.878578849947</v>
      </c>
      <c r="BK311" s="90">
        <f>BG311/((VLOOKUP(B311,'Cell-Characteristics'!$B$4:$Q$34,14,FALSE)))</f>
        <v>5959.21287152528</v>
      </c>
      <c r="BL311" s="90" t="e">
        <f>BH311/((VLOOKUP(B311,'Cell-Characteristics'!$B$4:$Q$34,15,FALSE)))</f>
        <v>#DIV/0!</v>
      </c>
      <c r="BM311" s="90">
        <f>BI311/((VLOOKUP(B311,'Cell-Characteristics'!$B$4:$Q$34,16,FALSE)))</f>
        <v>886.199978927676</v>
      </c>
      <c r="BN311" s="50">
        <f t="shared" si="59"/>
        <v>0.935866666666667</v>
      </c>
    </row>
    <row r="312" spans="2:66">
      <c r="B312" s="90" t="s">
        <v>10</v>
      </c>
      <c r="C312" s="127" t="s">
        <v>1087</v>
      </c>
      <c r="D312" s="90" t="s">
        <v>244</v>
      </c>
      <c r="E312" s="92" t="s">
        <v>194</v>
      </c>
      <c r="F312" s="93" t="s">
        <v>245</v>
      </c>
      <c r="G312" s="93"/>
      <c r="H312" s="94">
        <v>43509</v>
      </c>
      <c r="I312" s="95" t="s">
        <v>1088</v>
      </c>
      <c r="J312" s="95">
        <v>100</v>
      </c>
      <c r="K312" s="96">
        <v>4.163</v>
      </c>
      <c r="L312" s="97">
        <v>40.3081</v>
      </c>
      <c r="M312" s="97">
        <v>48.9</v>
      </c>
      <c r="N312" s="97">
        <v>49.6</v>
      </c>
      <c r="O312" s="96" t="s">
        <v>198</v>
      </c>
      <c r="P312" s="96" t="s">
        <v>198</v>
      </c>
      <c r="Q312" s="98" t="s">
        <v>381</v>
      </c>
      <c r="R312" s="99">
        <v>19.9828363828485</v>
      </c>
      <c r="S312" s="100">
        <v>0.015</v>
      </c>
      <c r="T312" s="100">
        <v>21.6998624969835</v>
      </c>
      <c r="U312" s="97">
        <v>22.1308183480328</v>
      </c>
      <c r="V312" s="97">
        <v>10.0052002623596</v>
      </c>
      <c r="W312" s="97">
        <v>11.658684995187</v>
      </c>
      <c r="X312" s="97">
        <v>0.466933090486266</v>
      </c>
      <c r="Y312" s="97">
        <v>45.2093551400413</v>
      </c>
      <c r="Z312" s="97">
        <v>52.6807676600142</v>
      </c>
      <c r="AA312" s="97">
        <v>2.10987719994444</v>
      </c>
      <c r="AB312" s="97">
        <v>0.430955851049347</v>
      </c>
      <c r="AC312" s="97">
        <v>0</v>
      </c>
      <c r="AD312" s="124">
        <v>2.1101</v>
      </c>
      <c r="AE312" s="124">
        <v>2.1101</v>
      </c>
      <c r="AF312" s="124">
        <v>0</v>
      </c>
      <c r="AG312" s="97">
        <v>951.015502885003</v>
      </c>
      <c r="AH312" s="97">
        <v>66.4784</v>
      </c>
      <c r="AI312" s="97">
        <v>63.344203695651</v>
      </c>
      <c r="AJ312" s="97"/>
      <c r="AK312" s="92">
        <v>132.425125</v>
      </c>
      <c r="AL312" s="97">
        <v>28.2</v>
      </c>
      <c r="AM312" s="97">
        <v>0.9</v>
      </c>
      <c r="AN312" s="97">
        <v>3.5</v>
      </c>
      <c r="AO312" s="97">
        <v>0.3</v>
      </c>
      <c r="AP312" s="97">
        <v>0</v>
      </c>
      <c r="AQ312" s="97">
        <v>0</v>
      </c>
      <c r="AR312" s="97">
        <v>0</v>
      </c>
      <c r="AS312" s="97">
        <v>7.40810000000001</v>
      </c>
      <c r="AT312" s="97">
        <f t="shared" si="73"/>
        <v>12.1081</v>
      </c>
      <c r="AU312" s="97">
        <f t="shared" si="74"/>
        <v>30.0388755609915</v>
      </c>
      <c r="AV312" s="97">
        <v>0</v>
      </c>
      <c r="AW312" s="90" t="s">
        <v>1089</v>
      </c>
      <c r="AX312" s="90" t="s">
        <v>248</v>
      </c>
      <c r="AY312" s="90" t="s">
        <v>1090</v>
      </c>
      <c r="AZ312" s="90" t="s">
        <v>212</v>
      </c>
      <c r="BA312" s="90" t="s">
        <v>204</v>
      </c>
      <c r="BB312" s="90" t="s">
        <v>1091</v>
      </c>
      <c r="BC312" s="93">
        <v>5</v>
      </c>
      <c r="BD312" s="93">
        <v>10</v>
      </c>
      <c r="BE312" s="59">
        <f>U312/((VLOOKUP(B312,'Cell-Characteristics'!$B$4:$E$34,3,FALSE)*VLOOKUP(B312,'Cell-Characteristics'!$B$4:$E$34,4,FALSE)*3600)/1000)</f>
        <v>0.802015595710402</v>
      </c>
      <c r="BF312" s="90">
        <f t="shared" si="62"/>
        <v>4741.5763529499</v>
      </c>
      <c r="BG312" s="90">
        <f t="shared" si="60"/>
        <v>5525.18126874886</v>
      </c>
      <c r="BH312" s="90" t="e">
        <f t="shared" si="61"/>
        <v>#DIV/0!</v>
      </c>
      <c r="BI312" s="90">
        <f t="shared" si="63"/>
        <v>15732.0636567221</v>
      </c>
      <c r="BJ312" s="90">
        <f>BF312/((VLOOKUP(B312,'Cell-Characteristics'!$B$4:$Q$34,13,FALSE)))</f>
        <v>129.064629346995</v>
      </c>
      <c r="BK312" s="90">
        <f>BG312/((VLOOKUP(B312,'Cell-Characteristics'!$B$4:$Q$34,14,FALSE)))</f>
        <v>2172.3603321337</v>
      </c>
      <c r="BL312" s="90" t="e">
        <f>BH312/((VLOOKUP(B312,'Cell-Characteristics'!$B$4:$Q$34,15,FALSE)))</f>
        <v>#DIV/0!</v>
      </c>
      <c r="BM312" s="90">
        <f>BI312/((VLOOKUP(B312,'Cell-Characteristics'!$B$4:$Q$34,16,FALSE)))</f>
        <v>376.141993666965</v>
      </c>
      <c r="BN312" s="50">
        <f t="shared" si="59"/>
        <v>1.40673333333333</v>
      </c>
    </row>
    <row r="313" spans="2:66">
      <c r="B313" s="90" t="s">
        <v>10</v>
      </c>
      <c r="C313" s="91" t="s">
        <v>1092</v>
      </c>
      <c r="D313" s="90" t="s">
        <v>227</v>
      </c>
      <c r="E313" s="92" t="s">
        <v>228</v>
      </c>
      <c r="F313" s="93" t="s">
        <v>229</v>
      </c>
      <c r="G313" s="93"/>
      <c r="H313" s="94">
        <v>43399</v>
      </c>
      <c r="I313" s="95" t="s">
        <v>1093</v>
      </c>
      <c r="J313" s="95">
        <v>100</v>
      </c>
      <c r="K313" s="96">
        <v>4.155</v>
      </c>
      <c r="L313" s="97">
        <v>40.5212</v>
      </c>
      <c r="M313" s="97">
        <v>49</v>
      </c>
      <c r="N313" s="97">
        <v>48.6</v>
      </c>
      <c r="O313" s="96" t="s">
        <v>198</v>
      </c>
      <c r="P313" s="96" t="s">
        <v>198</v>
      </c>
      <c r="Q313" s="98" t="s">
        <v>381</v>
      </c>
      <c r="R313" s="99">
        <v>30.9858074356084</v>
      </c>
      <c r="S313" s="100">
        <v>0.026</v>
      </c>
      <c r="T313" s="100">
        <v>36.8987279878296</v>
      </c>
      <c r="U313" s="97">
        <v>38.2937255860389</v>
      </c>
      <c r="V313" s="97">
        <v>2.85697671584161</v>
      </c>
      <c r="W313" s="97">
        <v>34.5000191090665</v>
      </c>
      <c r="X313" s="97">
        <v>0.93672976113071</v>
      </c>
      <c r="Y313" s="97">
        <v>7.46069146346839</v>
      </c>
      <c r="Z313" s="97">
        <v>90.0931381867022</v>
      </c>
      <c r="AA313" s="97">
        <v>2.44617034982938</v>
      </c>
      <c r="AB313" s="97">
        <v>1.3949975982093</v>
      </c>
      <c r="AC313" s="97">
        <v>0</v>
      </c>
      <c r="AD313" s="124">
        <v>1.2043</v>
      </c>
      <c r="AE313" s="124">
        <v>0.402</v>
      </c>
      <c r="AF313" s="124">
        <v>0</v>
      </c>
      <c r="AG313" s="97">
        <v>754.869758022293</v>
      </c>
      <c r="AH313" s="97">
        <v>132.2464</v>
      </c>
      <c r="AI313" s="97">
        <v>94.7447612639566</v>
      </c>
      <c r="AJ313" s="97"/>
      <c r="AK313" s="92">
        <v>305.15552</v>
      </c>
      <c r="AL313" s="97">
        <v>10.6549</v>
      </c>
      <c r="AM313" s="97">
        <v>12.0541</v>
      </c>
      <c r="AN313" s="97">
        <v>4.4933</v>
      </c>
      <c r="AO313" s="97">
        <v>2.0679</v>
      </c>
      <c r="AP313" s="97">
        <v>0.0767</v>
      </c>
      <c r="AQ313" s="97">
        <v>0.2311</v>
      </c>
      <c r="AR313" s="97">
        <v>0.0117</v>
      </c>
      <c r="AS313" s="97">
        <v>10.9315</v>
      </c>
      <c r="AT313" s="97">
        <f t="shared" si="73"/>
        <v>29.8663</v>
      </c>
      <c r="AU313" s="97">
        <f t="shared" si="74"/>
        <v>73.7053690413907</v>
      </c>
      <c r="AV313" s="97">
        <v>0</v>
      </c>
      <c r="AW313" s="90" t="s">
        <v>239</v>
      </c>
      <c r="AX313" s="90" t="s">
        <v>134</v>
      </c>
      <c r="AY313" s="90" t="s">
        <v>134</v>
      </c>
      <c r="AZ313" s="90" t="s">
        <v>212</v>
      </c>
      <c r="BA313" s="90" t="s">
        <v>204</v>
      </c>
      <c r="BB313" s="90" t="s">
        <v>1094</v>
      </c>
      <c r="BC313" s="93">
        <v>7</v>
      </c>
      <c r="BD313" s="93">
        <v>14</v>
      </c>
      <c r="BE313" s="59">
        <f>U313/((VLOOKUP(B313,'Cell-Characteristics'!$B$4:$E$34,3,FALSE)*VLOOKUP(B313,'Cell-Characteristics'!$B$4:$E$34,4,FALSE)*3600)/1000)</f>
        <v>1.38775551156189</v>
      </c>
      <c r="BF313" s="90">
        <f t="shared" si="62"/>
        <v>2372.31314111236</v>
      </c>
      <c r="BG313" s="90">
        <f t="shared" si="60"/>
        <v>85820.9430573795</v>
      </c>
      <c r="BH313" s="90" t="e">
        <f t="shared" si="61"/>
        <v>#DIV/0!</v>
      </c>
      <c r="BI313" s="90">
        <f t="shared" si="63"/>
        <v>71519.1289037643</v>
      </c>
      <c r="BJ313" s="90">
        <f>BF313/((VLOOKUP(B313,'Cell-Characteristics'!$B$4:$Q$34,13,FALSE)))</f>
        <v>64.5738238639109</v>
      </c>
      <c r="BK313" s="90">
        <f>BG313/((VLOOKUP(B313,'Cell-Characteristics'!$B$4:$Q$34,14,FALSE)))</f>
        <v>33742.6055899109</v>
      </c>
      <c r="BL313" s="90" t="e">
        <f>BH313/((VLOOKUP(B313,'Cell-Characteristics'!$B$4:$Q$34,15,FALSE)))</f>
        <v>#DIV/0!</v>
      </c>
      <c r="BM313" s="90">
        <f>BI313/((VLOOKUP(B313,'Cell-Characteristics'!$B$4:$Q$34,16,FALSE)))</f>
        <v>1709.96941775608</v>
      </c>
      <c r="BN313" s="50">
        <f t="shared" si="59"/>
        <v>0.535433333333333</v>
      </c>
    </row>
    <row r="314" spans="2:66">
      <c r="B314" s="90" t="s">
        <v>10</v>
      </c>
      <c r="C314" s="91" t="s">
        <v>1095</v>
      </c>
      <c r="D314" s="90" t="s">
        <v>227</v>
      </c>
      <c r="E314" s="92" t="s">
        <v>228</v>
      </c>
      <c r="F314" s="93" t="s">
        <v>229</v>
      </c>
      <c r="G314" s="93"/>
      <c r="H314" s="94">
        <v>43399</v>
      </c>
      <c r="I314" s="95" t="s">
        <v>1096</v>
      </c>
      <c r="J314" s="95">
        <v>100</v>
      </c>
      <c r="K314" s="96">
        <v>4.127</v>
      </c>
      <c r="L314" s="97">
        <v>40.6049</v>
      </c>
      <c r="M314" s="97">
        <v>47.1</v>
      </c>
      <c r="N314" s="97">
        <v>48.4</v>
      </c>
      <c r="O314" s="96" t="s">
        <v>198</v>
      </c>
      <c r="P314" s="96" t="s">
        <v>198</v>
      </c>
      <c r="Q314" s="98" t="s">
        <v>381</v>
      </c>
      <c r="R314" s="99">
        <v>26.168122793441</v>
      </c>
      <c r="S314" s="100">
        <v>0.026</v>
      </c>
      <c r="T314" s="100">
        <v>31.5046573686667</v>
      </c>
      <c r="U314" s="97">
        <v>32.0669166159404</v>
      </c>
      <c r="V314" s="97">
        <v>15.5012329184671</v>
      </c>
      <c r="W314" s="97">
        <v>15.9098625063706</v>
      </c>
      <c r="X314" s="97">
        <v>0.655821191102705</v>
      </c>
      <c r="Y314" s="97">
        <v>48.3402664001735</v>
      </c>
      <c r="Z314" s="97">
        <v>49.6145691115866</v>
      </c>
      <c r="AA314" s="97">
        <v>2.04516448823988</v>
      </c>
      <c r="AB314" s="97">
        <v>0.562259247273624</v>
      </c>
      <c r="AC314" s="97">
        <v>0</v>
      </c>
      <c r="AD314" s="124">
        <v>2.0164</v>
      </c>
      <c r="AE314" s="124">
        <v>2.0164</v>
      </c>
      <c r="AF314" s="124">
        <v>0</v>
      </c>
      <c r="AG314" s="97">
        <v>963.120996256875</v>
      </c>
      <c r="AH314" s="97">
        <v>113.9944</v>
      </c>
      <c r="AI314" s="97">
        <v>109.834742588606</v>
      </c>
      <c r="AJ314" s="97"/>
      <c r="AK314" s="92">
        <v>254.58656</v>
      </c>
      <c r="AL314" s="97">
        <v>27.0058</v>
      </c>
      <c r="AM314" s="97">
        <v>1.041</v>
      </c>
      <c r="AN314" s="97">
        <v>2.7882</v>
      </c>
      <c r="AO314" s="97">
        <v>0.6765</v>
      </c>
      <c r="AP314" s="97">
        <v>0.065</v>
      </c>
      <c r="AQ314" s="97">
        <v>0.1587</v>
      </c>
      <c r="AR314" s="97">
        <v>0.0853</v>
      </c>
      <c r="AS314" s="97">
        <v>8.7844</v>
      </c>
      <c r="AT314" s="97">
        <f t="shared" si="73"/>
        <v>13.5991</v>
      </c>
      <c r="AU314" s="97">
        <f t="shared" si="74"/>
        <v>33.4912781462336</v>
      </c>
      <c r="AV314" s="97">
        <v>0</v>
      </c>
      <c r="AW314" s="90" t="s">
        <v>1097</v>
      </c>
      <c r="AX314" s="90" t="s">
        <v>134</v>
      </c>
      <c r="AY314" s="90" t="s">
        <v>134</v>
      </c>
      <c r="AZ314" s="90" t="s">
        <v>212</v>
      </c>
      <c r="BA314" s="90" t="s">
        <v>204</v>
      </c>
      <c r="BB314" s="90" t="s">
        <v>1098</v>
      </c>
      <c r="BC314" s="93">
        <v>7</v>
      </c>
      <c r="BD314" s="93">
        <v>14</v>
      </c>
      <c r="BE314" s="59">
        <f>U314/((VLOOKUP(B314,'Cell-Characteristics'!$B$4:$E$34,3,FALSE)*VLOOKUP(B314,'Cell-Characteristics'!$B$4:$E$34,4,FALSE)*3600)/1000)</f>
        <v>1.16209743480251</v>
      </c>
      <c r="BF314" s="90">
        <f t="shared" si="62"/>
        <v>7687.57831703386</v>
      </c>
      <c r="BG314" s="90">
        <f t="shared" si="60"/>
        <v>7890.23135606556</v>
      </c>
      <c r="BH314" s="90" t="e">
        <f t="shared" si="61"/>
        <v>#DIV/0!</v>
      </c>
      <c r="BI314" s="90">
        <f t="shared" si="63"/>
        <v>23854.5799067202</v>
      </c>
      <c r="BJ314" s="90">
        <f>BF314/((VLOOKUP(B314,'Cell-Characteristics'!$B$4:$Q$34,13,FALSE)))</f>
        <v>209.254132425115</v>
      </c>
      <c r="BK314" s="90">
        <f>BG314/((VLOOKUP(B314,'Cell-Characteristics'!$B$4:$Q$34,14,FALSE)))</f>
        <v>3102.23769602326</v>
      </c>
      <c r="BL314" s="90" t="e">
        <f>BH314/((VLOOKUP(B314,'Cell-Characteristics'!$B$4:$Q$34,15,FALSE)))</f>
        <v>#DIV/0!</v>
      </c>
      <c r="BM314" s="90">
        <f>BI314/((VLOOKUP(B314,'Cell-Characteristics'!$B$4:$Q$34,16,FALSE)))</f>
        <v>570.345343115094</v>
      </c>
      <c r="BN314" s="50">
        <f t="shared" si="59"/>
        <v>1.34426666666667</v>
      </c>
    </row>
    <row r="315" spans="2:66">
      <c r="B315" s="90" t="s">
        <v>10</v>
      </c>
      <c r="C315" s="91" t="s">
        <v>1099</v>
      </c>
      <c r="D315" s="90" t="s">
        <v>227</v>
      </c>
      <c r="E315" s="92" t="s">
        <v>228</v>
      </c>
      <c r="F315" s="93" t="s">
        <v>229</v>
      </c>
      <c r="G315" s="93"/>
      <c r="H315" s="94">
        <v>43399</v>
      </c>
      <c r="I315" s="95" t="s">
        <v>1100</v>
      </c>
      <c r="J315" s="95">
        <v>100</v>
      </c>
      <c r="K315" s="96">
        <v>4.127</v>
      </c>
      <c r="L315" s="97">
        <v>40.5157</v>
      </c>
      <c r="M315" s="97">
        <v>47</v>
      </c>
      <c r="N315" s="97">
        <v>47.2</v>
      </c>
      <c r="O315" s="96" t="s">
        <v>197</v>
      </c>
      <c r="P315" s="96" t="s">
        <v>198</v>
      </c>
      <c r="Q315" s="98" t="s">
        <v>381</v>
      </c>
      <c r="R315" s="99">
        <v>29.7140335852833</v>
      </c>
      <c r="S315" s="100">
        <v>0.031</v>
      </c>
      <c r="T315" s="100">
        <v>35.6282375400239</v>
      </c>
      <c r="U315" s="97">
        <v>36.2555815038939</v>
      </c>
      <c r="V315" s="97">
        <v>6.39622099055565</v>
      </c>
      <c r="W315" s="97">
        <v>28.8068939607862</v>
      </c>
      <c r="X315" s="97">
        <v>1.05246655255203</v>
      </c>
      <c r="Y315" s="97">
        <v>17.6420311721347</v>
      </c>
      <c r="Z315" s="97">
        <v>79.4550597890488</v>
      </c>
      <c r="AA315" s="97">
        <v>2.90290903881652</v>
      </c>
      <c r="AB315" s="97">
        <v>0.62734396386999</v>
      </c>
      <c r="AC315" s="97">
        <v>0</v>
      </c>
      <c r="AD315" s="124">
        <v>1.9097</v>
      </c>
      <c r="AE315" s="124">
        <v>1.9097</v>
      </c>
      <c r="AF315" s="124">
        <v>0</v>
      </c>
      <c r="AG315" s="97">
        <v>959.166725497565</v>
      </c>
      <c r="AH315" s="97">
        <v>119.4216</v>
      </c>
      <c r="AI315" s="97">
        <v>114.654245767443</v>
      </c>
      <c r="AJ315" s="97"/>
      <c r="AK315" s="92">
        <v>284.98519</v>
      </c>
      <c r="AL315" s="97">
        <v>14.0566</v>
      </c>
      <c r="AM315" s="97">
        <v>11.5111</v>
      </c>
      <c r="AN315" s="97">
        <v>5.9863</v>
      </c>
      <c r="AO315" s="97">
        <v>0.8683</v>
      </c>
      <c r="AP315" s="97">
        <v>0.2045</v>
      </c>
      <c r="AQ315" s="97">
        <v>0.2758</v>
      </c>
      <c r="AR315" s="97">
        <v>0.0914</v>
      </c>
      <c r="AS315" s="97">
        <v>7.5217</v>
      </c>
      <c r="AT315" s="97">
        <f t="shared" si="73"/>
        <v>26.4591</v>
      </c>
      <c r="AU315" s="97">
        <f t="shared" si="74"/>
        <v>65.3057950374793</v>
      </c>
      <c r="AV315" s="97">
        <v>0</v>
      </c>
      <c r="AW315" s="90" t="s">
        <v>1101</v>
      </c>
      <c r="AX315" s="90" t="s">
        <v>134</v>
      </c>
      <c r="AY315" s="90" t="s">
        <v>134</v>
      </c>
      <c r="AZ315" s="90" t="s">
        <v>203</v>
      </c>
      <c r="BA315" s="90" t="s">
        <v>204</v>
      </c>
      <c r="BB315" s="90" t="s">
        <v>134</v>
      </c>
      <c r="BC315" s="93">
        <v>6</v>
      </c>
      <c r="BD315" s="93">
        <v>12</v>
      </c>
      <c r="BE315" s="59">
        <f>U315/((VLOOKUP(B315,'Cell-Characteristics'!$B$4:$E$34,3,FALSE)*VLOOKUP(B315,'Cell-Characteristics'!$B$4:$E$34,4,FALSE)*3600)/1000)</f>
        <v>1.31389365455874</v>
      </c>
      <c r="BF315" s="90">
        <f t="shared" si="62"/>
        <v>3349.33287456441</v>
      </c>
      <c r="BG315" s="90">
        <f t="shared" si="60"/>
        <v>15084.5127301598</v>
      </c>
      <c r="BH315" s="90" t="e">
        <f t="shared" si="61"/>
        <v>#DIV/0!</v>
      </c>
      <c r="BI315" s="90">
        <f t="shared" si="63"/>
        <v>28477.4426642095</v>
      </c>
      <c r="BJ315" s="90">
        <f>BF315/((VLOOKUP(B315,'Cell-Characteristics'!$B$4:$Q$34,13,FALSE)))</f>
        <v>91.1680786805054</v>
      </c>
      <c r="BK315" s="90">
        <f>BG315/((VLOOKUP(B315,'Cell-Characteristics'!$B$4:$Q$34,14,FALSE)))</f>
        <v>5930.84561223552</v>
      </c>
      <c r="BL315" s="90" t="e">
        <f>BH315/((VLOOKUP(B315,'Cell-Characteristics'!$B$4:$Q$34,15,FALSE)))</f>
        <v>#DIV/0!</v>
      </c>
      <c r="BM315" s="90">
        <f>BI315/((VLOOKUP(B315,'Cell-Characteristics'!$B$4:$Q$34,16,FALSE)))</f>
        <v>680.874568777603</v>
      </c>
      <c r="BN315" s="50">
        <f t="shared" si="59"/>
        <v>1.27313333333333</v>
      </c>
    </row>
    <row r="316" spans="2:66">
      <c r="B316" s="90" t="s">
        <v>10</v>
      </c>
      <c r="C316" s="91" t="s">
        <v>1102</v>
      </c>
      <c r="D316" s="90" t="s">
        <v>227</v>
      </c>
      <c r="E316" s="92" t="s">
        <v>265</v>
      </c>
      <c r="F316" s="93" t="s">
        <v>229</v>
      </c>
      <c r="G316" s="93"/>
      <c r="H316" s="94">
        <v>43402</v>
      </c>
      <c r="I316" s="95" t="s">
        <v>1103</v>
      </c>
      <c r="J316" s="95">
        <v>100</v>
      </c>
      <c r="K316" s="96">
        <v>4.152</v>
      </c>
      <c r="L316" s="97">
        <v>40.547</v>
      </c>
      <c r="M316" s="97">
        <v>49.5</v>
      </c>
      <c r="N316" s="97">
        <v>49.7</v>
      </c>
      <c r="O316" s="92" t="s">
        <v>198</v>
      </c>
      <c r="P316" s="92" t="s">
        <v>198</v>
      </c>
      <c r="Q316" s="98" t="s">
        <v>381</v>
      </c>
      <c r="R316" s="99">
        <v>31.4841657791812</v>
      </c>
      <c r="S316" s="100">
        <v>0.006</v>
      </c>
      <c r="T316" s="100">
        <v>32.9053119762041</v>
      </c>
      <c r="U316" s="97">
        <v>33.3200116376063</v>
      </c>
      <c r="V316" s="97">
        <v>18.7597023460397</v>
      </c>
      <c r="W316" s="97">
        <v>14.3579524834709</v>
      </c>
      <c r="X316" s="97">
        <v>0.202356808095724</v>
      </c>
      <c r="Y316" s="97">
        <v>56.3016080248505</v>
      </c>
      <c r="Z316" s="97">
        <v>43.0910788376375</v>
      </c>
      <c r="AA316" s="97">
        <v>0.607313137512042</v>
      </c>
      <c r="AB316" s="97">
        <v>0.41469966140226</v>
      </c>
      <c r="AC316" s="97">
        <v>0</v>
      </c>
      <c r="AD316" s="124">
        <v>2.9087</v>
      </c>
      <c r="AE316" s="124">
        <v>2.9087</v>
      </c>
      <c r="AF316" s="124">
        <v>0</v>
      </c>
      <c r="AG316" s="97" t="s">
        <v>134</v>
      </c>
      <c r="AH316" s="97" t="s">
        <v>134</v>
      </c>
      <c r="AI316" s="97" t="s">
        <v>134</v>
      </c>
      <c r="AJ316" s="97"/>
      <c r="AK316" s="92" t="s">
        <v>134</v>
      </c>
      <c r="AL316" s="97">
        <v>29.45</v>
      </c>
      <c r="AM316" s="97">
        <v>0</v>
      </c>
      <c r="AN316" s="97">
        <v>0.61</v>
      </c>
      <c r="AO316" s="97">
        <v>0.36</v>
      </c>
      <c r="AP316" s="97">
        <v>0</v>
      </c>
      <c r="AQ316" s="97">
        <v>0</v>
      </c>
      <c r="AR316" s="97">
        <v>0</v>
      </c>
      <c r="AS316" s="97">
        <v>10.127</v>
      </c>
      <c r="AT316" s="97">
        <f t="shared" si="73"/>
        <v>11.097</v>
      </c>
      <c r="AU316" s="97">
        <f t="shared" si="74"/>
        <v>27.3682393272005</v>
      </c>
      <c r="AV316" s="97">
        <v>0</v>
      </c>
      <c r="AW316" s="90" t="s">
        <v>1104</v>
      </c>
      <c r="AX316" s="90" t="s">
        <v>134</v>
      </c>
      <c r="AY316" s="90" t="s">
        <v>134</v>
      </c>
      <c r="AZ316" s="90" t="s">
        <v>212</v>
      </c>
      <c r="BA316" s="90" t="s">
        <v>204</v>
      </c>
      <c r="BB316" s="90" t="s">
        <v>1105</v>
      </c>
      <c r="BC316" s="93">
        <v>8</v>
      </c>
      <c r="BD316" s="93">
        <v>16</v>
      </c>
      <c r="BE316" s="59">
        <f>U316/((VLOOKUP(B316,'Cell-Characteristics'!$B$4:$E$34,3,FALSE)*VLOOKUP(B316,'Cell-Characteristics'!$B$4:$E$34,4,FALSE)*3600)/1000)</f>
        <v>1.20750930048584</v>
      </c>
      <c r="BF316" s="90">
        <f t="shared" si="62"/>
        <v>6449.5143349399</v>
      </c>
      <c r="BG316" s="90">
        <f t="shared" si="60"/>
        <v>4936.20946934058</v>
      </c>
      <c r="BH316" s="90" t="e">
        <f t="shared" si="61"/>
        <v>#DIV/0!</v>
      </c>
      <c r="BI316" s="90">
        <f t="shared" si="63"/>
        <v>17182.9399581977</v>
      </c>
      <c r="BJ316" s="90">
        <f>BF316/((VLOOKUP(B316,'Cell-Characteristics'!$B$4:$Q$34,13,FALSE)))</f>
        <v>175.554312563011</v>
      </c>
      <c r="BK316" s="90">
        <f>BG316/((VLOOKUP(B316,'Cell-Characteristics'!$B$4:$Q$34,14,FALSE)))</f>
        <v>1940.7916447828</v>
      </c>
      <c r="BL316" s="90" t="e">
        <f>BH316/((VLOOKUP(B316,'Cell-Characteristics'!$B$4:$Q$34,15,FALSE)))</f>
        <v>#DIV/0!</v>
      </c>
      <c r="BM316" s="90">
        <f>BI316/((VLOOKUP(B316,'Cell-Characteristics'!$B$4:$Q$34,16,FALSE)))</f>
        <v>410.831371774585</v>
      </c>
      <c r="BN316" s="50">
        <f t="shared" si="59"/>
        <v>1.93913333333333</v>
      </c>
    </row>
    <row r="317" spans="2:66">
      <c r="B317" s="90" t="s">
        <v>14</v>
      </c>
      <c r="C317" s="91" t="s">
        <v>1106</v>
      </c>
      <c r="D317" s="90" t="s">
        <v>227</v>
      </c>
      <c r="E317" s="92" t="s">
        <v>194</v>
      </c>
      <c r="F317" s="93" t="s">
        <v>229</v>
      </c>
      <c r="G317" s="93"/>
      <c r="H317" s="94">
        <v>43400</v>
      </c>
      <c r="I317" s="95" t="s">
        <v>1107</v>
      </c>
      <c r="J317" s="95">
        <v>100</v>
      </c>
      <c r="K317" s="96">
        <v>4.225</v>
      </c>
      <c r="L317" s="97">
        <v>38.9866</v>
      </c>
      <c r="M317" s="97">
        <v>51.2</v>
      </c>
      <c r="N317" s="97">
        <v>47.6</v>
      </c>
      <c r="O317" s="92" t="s">
        <v>198</v>
      </c>
      <c r="P317" s="92" t="s">
        <v>198</v>
      </c>
      <c r="Q317" s="98" t="s">
        <v>381</v>
      </c>
      <c r="R317" s="99">
        <v>27.3406962429442</v>
      </c>
      <c r="S317" s="100">
        <v>0.016</v>
      </c>
      <c r="T317" s="100">
        <v>29.8298793855413</v>
      </c>
      <c r="U317" s="97">
        <v>30.4540911764077</v>
      </c>
      <c r="V317" s="97">
        <v>9.31468677721854</v>
      </c>
      <c r="W317" s="97">
        <v>20.9625889874836</v>
      </c>
      <c r="X317" s="97">
        <v>0.176815411705591</v>
      </c>
      <c r="Y317" s="97">
        <v>30.5859949103799</v>
      </c>
      <c r="Z317" s="97">
        <v>68.8334085100624</v>
      </c>
      <c r="AA317" s="97">
        <v>0.580596579557648</v>
      </c>
      <c r="AB317" s="97">
        <v>0.624211790866452</v>
      </c>
      <c r="AC317" s="97">
        <v>0</v>
      </c>
      <c r="AD317" s="124">
        <v>3.2163</v>
      </c>
      <c r="AE317" s="124">
        <v>3.2163</v>
      </c>
      <c r="AF317" s="124">
        <v>0</v>
      </c>
      <c r="AG317" s="97">
        <v>959.46925782871</v>
      </c>
      <c r="AH317" s="97">
        <v>49.8217</v>
      </c>
      <c r="AI317" s="97">
        <v>48.0038151696046</v>
      </c>
      <c r="AJ317" s="97"/>
      <c r="AK317" s="92">
        <v>123.1516</v>
      </c>
      <c r="AL317" s="97">
        <v>20.42</v>
      </c>
      <c r="AM317" s="97">
        <v>1</v>
      </c>
      <c r="AN317" s="97">
        <v>7.87</v>
      </c>
      <c r="AO317" s="97">
        <v>2.14</v>
      </c>
      <c r="AP317" s="97">
        <v>0</v>
      </c>
      <c r="AQ317" s="97">
        <v>0.01</v>
      </c>
      <c r="AR317" s="97">
        <v>0</v>
      </c>
      <c r="AS317" s="97">
        <v>7.5466</v>
      </c>
      <c r="AT317" s="97">
        <f t="shared" si="73"/>
        <v>18.5666</v>
      </c>
      <c r="AU317" s="97">
        <f t="shared" si="74"/>
        <v>47.6230294511448</v>
      </c>
      <c r="AV317" s="97">
        <v>0</v>
      </c>
      <c r="AW317" s="90" t="s">
        <v>1108</v>
      </c>
      <c r="AX317" s="90" t="s">
        <v>134</v>
      </c>
      <c r="AY317" s="90" t="s">
        <v>134</v>
      </c>
      <c r="AZ317" s="90" t="s">
        <v>212</v>
      </c>
      <c r="BA317" s="90" t="s">
        <v>204</v>
      </c>
      <c r="BB317" s="90" t="s">
        <v>1109</v>
      </c>
      <c r="BC317" s="93">
        <v>11</v>
      </c>
      <c r="BD317" s="93">
        <v>22</v>
      </c>
      <c r="BE317" s="59">
        <f>U317/((VLOOKUP(B317,'Cell-Characteristics'!$B$4:$E$34,3,FALSE)*VLOOKUP(B317,'Cell-Characteristics'!$B$4:$E$34,4,FALSE)*3600)/1000)</f>
        <v>1.10364902429542</v>
      </c>
      <c r="BF317" s="90">
        <f t="shared" si="62"/>
        <v>2896.08767130508</v>
      </c>
      <c r="BG317" s="90">
        <f t="shared" si="60"/>
        <v>6517.60998273905</v>
      </c>
      <c r="BH317" s="90" t="e">
        <f t="shared" si="61"/>
        <v>#DIV/0!</v>
      </c>
      <c r="BI317" s="90">
        <f t="shared" si="63"/>
        <v>14203.0086635611</v>
      </c>
      <c r="BJ317" s="90">
        <f>BF317/((VLOOKUP(B317,'Cell-Characteristics'!$B$4:$Q$34,13,FALSE)))</f>
        <v>78.8308473870402</v>
      </c>
      <c r="BK317" s="90">
        <f>BG317/((VLOOKUP(B317,'Cell-Characteristics'!$B$4:$Q$34,14,FALSE)))</f>
        <v>2562.55798645083</v>
      </c>
      <c r="BL317" s="90" t="e">
        <f>BH317/((VLOOKUP(B317,'Cell-Characteristics'!$B$4:$Q$34,15,FALSE)))</f>
        <v>#DIV/0!</v>
      </c>
      <c r="BM317" s="90">
        <f>BI317/((VLOOKUP(B317,'Cell-Characteristics'!$B$4:$Q$34,16,FALSE)))</f>
        <v>339.583420926367</v>
      </c>
      <c r="BN317" s="50">
        <f t="shared" si="59"/>
        <v>2.1442</v>
      </c>
    </row>
    <row r="318" spans="2:66">
      <c r="B318" s="90" t="s">
        <v>14</v>
      </c>
      <c r="C318" s="91" t="s">
        <v>1110</v>
      </c>
      <c r="D318" s="90" t="s">
        <v>227</v>
      </c>
      <c r="E318" s="92" t="s">
        <v>194</v>
      </c>
      <c r="F318" s="93" t="s">
        <v>229</v>
      </c>
      <c r="G318" s="93"/>
      <c r="H318" s="94">
        <v>43400</v>
      </c>
      <c r="I318" s="95" t="s">
        <v>1111</v>
      </c>
      <c r="J318" s="95">
        <v>100</v>
      </c>
      <c r="K318" s="96">
        <v>4.153</v>
      </c>
      <c r="L318" s="97">
        <v>39.0194</v>
      </c>
      <c r="M318" s="97">
        <v>50</v>
      </c>
      <c r="N318" s="97">
        <v>47.7</v>
      </c>
      <c r="O318" s="92" t="s">
        <v>198</v>
      </c>
      <c r="P318" s="92" t="s">
        <v>198</v>
      </c>
      <c r="Q318" s="98" t="s">
        <v>381</v>
      </c>
      <c r="R318" s="99">
        <v>28.5751327970001</v>
      </c>
      <c r="S318" s="100">
        <v>0.018</v>
      </c>
      <c r="T318" s="100">
        <v>32.4773268408665</v>
      </c>
      <c r="U318" s="97">
        <v>33.3119175761659</v>
      </c>
      <c r="V318" s="97">
        <v>8.66479038221278</v>
      </c>
      <c r="W318" s="97">
        <v>24.0715296418328</v>
      </c>
      <c r="X318" s="97">
        <v>0.575597552120308</v>
      </c>
      <c r="Y318" s="97">
        <v>26.0110825574697</v>
      </c>
      <c r="Z318" s="97">
        <v>72.2610146557747</v>
      </c>
      <c r="AA318" s="97">
        <v>1.72790278675563</v>
      </c>
      <c r="AB318" s="97">
        <v>0.834590735299368</v>
      </c>
      <c r="AC318" s="97">
        <v>0</v>
      </c>
      <c r="AD318" s="124">
        <v>2.3101</v>
      </c>
      <c r="AE318" s="124">
        <v>2.3101</v>
      </c>
      <c r="AF318" s="124">
        <v>0</v>
      </c>
      <c r="AG318" s="97">
        <v>959.98378996533</v>
      </c>
      <c r="AH318" s="97">
        <v>57.1034</v>
      </c>
      <c r="AI318" s="97">
        <v>54.9025420417526</v>
      </c>
      <c r="AJ318" s="97"/>
      <c r="AK318" s="92">
        <v>97.89804</v>
      </c>
      <c r="AL318" s="97">
        <v>20.89</v>
      </c>
      <c r="AM318" s="97">
        <v>0.98</v>
      </c>
      <c r="AN318" s="97">
        <v>7.67</v>
      </c>
      <c r="AO318" s="97">
        <v>1.88</v>
      </c>
      <c r="AP318" s="97">
        <v>0.1</v>
      </c>
      <c r="AQ318" s="97">
        <v>0</v>
      </c>
      <c r="AR318" s="97">
        <v>0</v>
      </c>
      <c r="AS318" s="97">
        <v>7.4994</v>
      </c>
      <c r="AT318" s="97">
        <f t="shared" si="73"/>
        <v>18.1294</v>
      </c>
      <c r="AU318" s="97">
        <f t="shared" si="74"/>
        <v>46.4625288958826</v>
      </c>
      <c r="AV318" s="97">
        <v>0</v>
      </c>
      <c r="AW318" s="90" t="s">
        <v>1112</v>
      </c>
      <c r="AX318" s="90" t="s">
        <v>134</v>
      </c>
      <c r="AY318" s="90" t="s">
        <v>134</v>
      </c>
      <c r="AZ318" s="90" t="s">
        <v>212</v>
      </c>
      <c r="BA318" s="90" t="s">
        <v>204</v>
      </c>
      <c r="BB318" s="90" t="s">
        <v>134</v>
      </c>
      <c r="BC318" s="93">
        <v>6</v>
      </c>
      <c r="BD318" s="93">
        <v>12</v>
      </c>
      <c r="BE318" s="59">
        <f>U318/((VLOOKUP(B318,'Cell-Characteristics'!$B$4:$E$34,3,FALSE)*VLOOKUP(B318,'Cell-Characteristics'!$B$4:$E$34,4,FALSE)*3600)/1000)</f>
        <v>1.20721597362347</v>
      </c>
      <c r="BF318" s="90">
        <f t="shared" si="62"/>
        <v>3750.82913389584</v>
      </c>
      <c r="BG318" s="90">
        <f t="shared" si="60"/>
        <v>10420.1245148837</v>
      </c>
      <c r="BH318" s="90" t="e">
        <f t="shared" si="61"/>
        <v>#DIV/0!</v>
      </c>
      <c r="BI318" s="90">
        <f t="shared" si="63"/>
        <v>21630.1789378161</v>
      </c>
      <c r="BJ318" s="90">
        <f>BF318/((VLOOKUP(B318,'Cell-Characteristics'!$B$4:$Q$34,13,FALSE)))</f>
        <v>102.096715496103</v>
      </c>
      <c r="BK318" s="90">
        <f>BG318/((VLOOKUP(B318,'Cell-Characteristics'!$B$4:$Q$34,14,FALSE)))</f>
        <v>4096.92715061874</v>
      </c>
      <c r="BL318" s="90" t="e">
        <f>BH318/((VLOOKUP(B318,'Cell-Characteristics'!$B$4:$Q$34,15,FALSE)))</f>
        <v>#DIV/0!</v>
      </c>
      <c r="BM318" s="90">
        <f>BI318/((VLOOKUP(B318,'Cell-Characteristics'!$B$4:$Q$34,16,FALSE)))</f>
        <v>517.161562943901</v>
      </c>
      <c r="BN318" s="50">
        <f t="shared" si="59"/>
        <v>1.54006666666667</v>
      </c>
    </row>
    <row r="319" spans="2:66">
      <c r="B319" s="90" t="s">
        <v>14</v>
      </c>
      <c r="C319" s="90" t="s">
        <v>1113</v>
      </c>
      <c r="D319" s="90" t="s">
        <v>244</v>
      </c>
      <c r="E319" s="92" t="s">
        <v>194</v>
      </c>
      <c r="F319" s="93" t="s">
        <v>245</v>
      </c>
      <c r="G319" s="93"/>
      <c r="H319" s="94">
        <v>43510</v>
      </c>
      <c r="I319" s="95" t="s">
        <v>1114</v>
      </c>
      <c r="J319" s="95">
        <v>100</v>
      </c>
      <c r="K319" s="96">
        <v>4.159</v>
      </c>
      <c r="L319" s="97">
        <v>38.9364</v>
      </c>
      <c r="M319" s="97">
        <v>49.3</v>
      </c>
      <c r="N319" s="97">
        <v>45.5</v>
      </c>
      <c r="O319" s="96" t="s">
        <v>197</v>
      </c>
      <c r="P319" s="96" t="s">
        <v>198</v>
      </c>
      <c r="Q319" s="98" t="s">
        <v>381</v>
      </c>
      <c r="R319" s="99">
        <v>19.8614564111175</v>
      </c>
      <c r="S319" s="100">
        <v>0.024</v>
      </c>
      <c r="T319" s="100">
        <v>21.0756444361698</v>
      </c>
      <c r="U319" s="97">
        <v>22.1833106284621</v>
      </c>
      <c r="V319" s="97">
        <v>1.16177183585329</v>
      </c>
      <c r="W319" s="97">
        <v>20.7387808353111</v>
      </c>
      <c r="X319" s="97">
        <v>0.282757957297738</v>
      </c>
      <c r="Y319" s="97">
        <v>5.23714361355375</v>
      </c>
      <c r="Z319" s="97">
        <v>93.4882136514933</v>
      </c>
      <c r="AA319" s="97">
        <v>1.27464273495295</v>
      </c>
      <c r="AB319" s="97">
        <v>1.1076661922923</v>
      </c>
      <c r="AC319" s="97">
        <v>0</v>
      </c>
      <c r="AD319" s="124">
        <v>2.414</v>
      </c>
      <c r="AE319" s="124">
        <v>2.414</v>
      </c>
      <c r="AF319" s="124">
        <v>0</v>
      </c>
      <c r="AG319" s="97">
        <v>957.676907271082</v>
      </c>
      <c r="AH319" s="97">
        <v>98.8058</v>
      </c>
      <c r="AI319" s="97">
        <v>94.7168291666023</v>
      </c>
      <c r="AJ319" s="97"/>
      <c r="AK319" s="92">
        <v>242.60628</v>
      </c>
      <c r="AL319" s="97">
        <v>11.6</v>
      </c>
      <c r="AM319" s="97">
        <v>10.8</v>
      </c>
      <c r="AN319" s="97">
        <v>6.6</v>
      </c>
      <c r="AO319" s="97">
        <v>0.8</v>
      </c>
      <c r="AP319" s="97">
        <v>0</v>
      </c>
      <c r="AQ319" s="97">
        <v>0</v>
      </c>
      <c r="AR319" s="97">
        <v>0</v>
      </c>
      <c r="AS319" s="97">
        <v>9.1364</v>
      </c>
      <c r="AT319" s="97">
        <f t="shared" si="73"/>
        <v>27.3364</v>
      </c>
      <c r="AU319" s="97">
        <f t="shared" si="74"/>
        <v>70.2078260958897</v>
      </c>
      <c r="AV319" s="97">
        <v>0</v>
      </c>
      <c r="AW319" s="90" t="s">
        <v>134</v>
      </c>
      <c r="AX319" s="90" t="s">
        <v>248</v>
      </c>
      <c r="AY319" s="90" t="s">
        <v>1115</v>
      </c>
      <c r="AZ319" s="90" t="s">
        <v>203</v>
      </c>
      <c r="BA319" s="106" t="s">
        <v>322</v>
      </c>
      <c r="BB319" s="90" t="s">
        <v>1116</v>
      </c>
      <c r="BC319" s="93">
        <v>5</v>
      </c>
      <c r="BD319" s="93">
        <v>10</v>
      </c>
      <c r="BE319" s="59">
        <f>U319/((VLOOKUP(B319,'Cell-Characteristics'!$B$4:$E$34,3,FALSE)*VLOOKUP(B319,'Cell-Characteristics'!$B$4:$E$34,4,FALSE)*3600)/1000)</f>
        <v>0.803917903474021</v>
      </c>
      <c r="BF319" s="90">
        <f t="shared" si="62"/>
        <v>481.264223634339</v>
      </c>
      <c r="BG319" s="90">
        <f t="shared" si="60"/>
        <v>8591.04425654975</v>
      </c>
      <c r="BH319" s="90" t="e">
        <f t="shared" si="61"/>
        <v>#DIV/0!</v>
      </c>
      <c r="BI319" s="90">
        <f t="shared" si="63"/>
        <v>13784.1615338414</v>
      </c>
      <c r="BJ319" s="90">
        <f>BF319/((VLOOKUP(B319,'Cell-Characteristics'!$B$4:$Q$34,13,FALSE)))</f>
        <v>13.0999026521405</v>
      </c>
      <c r="BK319" s="90">
        <f>BG319/((VLOOKUP(B319,'Cell-Characteristics'!$B$4:$Q$34,14,FALSE)))</f>
        <v>3377.77945134456</v>
      </c>
      <c r="BL319" s="90" t="e">
        <f>BH319/((VLOOKUP(B319,'Cell-Characteristics'!$B$4:$Q$34,15,FALSE)))</f>
        <v>#DIV/0!</v>
      </c>
      <c r="BM319" s="90">
        <f>BI319/((VLOOKUP(B319,'Cell-Characteristics'!$B$4:$Q$34,16,FALSE)))</f>
        <v>329.569096178378</v>
      </c>
      <c r="BN319" s="50">
        <f t="shared" si="59"/>
        <v>1.60933333333333</v>
      </c>
    </row>
    <row r="320" spans="2:66">
      <c r="B320" s="90" t="s">
        <v>14</v>
      </c>
      <c r="C320" s="91" t="s">
        <v>1117</v>
      </c>
      <c r="D320" s="90" t="s">
        <v>227</v>
      </c>
      <c r="E320" s="92" t="s">
        <v>228</v>
      </c>
      <c r="F320" s="93" t="s">
        <v>229</v>
      </c>
      <c r="G320" s="93"/>
      <c r="H320" s="94">
        <v>43400</v>
      </c>
      <c r="I320" s="95" t="s">
        <v>1118</v>
      </c>
      <c r="J320" s="95">
        <v>100</v>
      </c>
      <c r="K320" s="96">
        <v>4.149</v>
      </c>
      <c r="L320" s="97">
        <v>39.1836</v>
      </c>
      <c r="M320" s="97">
        <v>48.6</v>
      </c>
      <c r="N320" s="97">
        <v>47.9</v>
      </c>
      <c r="O320" s="96" t="s">
        <v>197</v>
      </c>
      <c r="P320" s="96" t="s">
        <v>198</v>
      </c>
      <c r="Q320" s="98" t="s">
        <v>381</v>
      </c>
      <c r="R320" s="99">
        <v>28.7973697124076</v>
      </c>
      <c r="S320" s="100">
        <v>0.021</v>
      </c>
      <c r="T320" s="100">
        <v>30.2335032375956</v>
      </c>
      <c r="U320" s="97">
        <v>31.0547190751461</v>
      </c>
      <c r="V320" s="97">
        <v>13.0560557302834</v>
      </c>
      <c r="W320" s="97">
        <v>17.598120227661</v>
      </c>
      <c r="X320" s="97">
        <v>0.400543117201703</v>
      </c>
      <c r="Y320" s="97">
        <v>42.0420989759733</v>
      </c>
      <c r="Z320" s="97">
        <v>56.6681031152694</v>
      </c>
      <c r="AA320" s="97">
        <v>1.28979790875735</v>
      </c>
      <c r="AB320" s="97">
        <v>0.82121583755052</v>
      </c>
      <c r="AC320" s="97">
        <v>0</v>
      </c>
      <c r="AD320" s="124">
        <v>4.7119</v>
      </c>
      <c r="AE320" s="124">
        <v>4.7119</v>
      </c>
      <c r="AF320" s="124">
        <v>0</v>
      </c>
      <c r="AG320" s="97">
        <v>961.982085564624</v>
      </c>
      <c r="AH320" s="97">
        <v>87.6867</v>
      </c>
      <c r="AI320" s="97">
        <v>84.3707075831945</v>
      </c>
      <c r="AJ320" s="97"/>
      <c r="AK320" s="92">
        <v>183.95917</v>
      </c>
      <c r="AL320" s="97">
        <v>22.52</v>
      </c>
      <c r="AM320" s="97">
        <v>0.44</v>
      </c>
      <c r="AN320" s="97">
        <v>4.39</v>
      </c>
      <c r="AO320" s="97">
        <v>0.4164</v>
      </c>
      <c r="AP320" s="97">
        <v>0</v>
      </c>
      <c r="AQ320" s="97">
        <v>0</v>
      </c>
      <c r="AR320" s="97">
        <v>0</v>
      </c>
      <c r="AS320" s="97">
        <v>11.4172</v>
      </c>
      <c r="AT320" s="97">
        <f t="shared" si="73"/>
        <v>16.6636</v>
      </c>
      <c r="AU320" s="97">
        <f t="shared" si="74"/>
        <v>42.5269755714125</v>
      </c>
      <c r="AV320" s="97">
        <v>0</v>
      </c>
      <c r="AW320" s="90" t="s">
        <v>1119</v>
      </c>
      <c r="AX320" s="90" t="s">
        <v>134</v>
      </c>
      <c r="AY320" s="90" t="s">
        <v>134</v>
      </c>
      <c r="AZ320" s="90" t="s">
        <v>203</v>
      </c>
      <c r="BA320" s="90" t="s">
        <v>204</v>
      </c>
      <c r="BB320" s="90" t="s">
        <v>1120</v>
      </c>
      <c r="BC320" s="93">
        <v>10</v>
      </c>
      <c r="BD320" s="93">
        <v>20</v>
      </c>
      <c r="BE320" s="59">
        <f>U320/((VLOOKUP(B320,'Cell-Characteristics'!$B$4:$E$34,3,FALSE)*VLOOKUP(B320,'Cell-Characteristics'!$B$4:$E$34,4,FALSE)*3600)/1000)</f>
        <v>1.12541563655672</v>
      </c>
      <c r="BF320" s="90">
        <f t="shared" si="62"/>
        <v>2770.86859447004</v>
      </c>
      <c r="BG320" s="90">
        <f t="shared" si="60"/>
        <v>3734.82464136782</v>
      </c>
      <c r="BH320" s="90" t="e">
        <f t="shared" si="61"/>
        <v>#DIV/0!</v>
      </c>
      <c r="BI320" s="90">
        <f t="shared" si="63"/>
        <v>9886.04991886907</v>
      </c>
      <c r="BJ320" s="90">
        <f>BF320/((VLOOKUP(B320,'Cell-Characteristics'!$B$4:$Q$34,13,FALSE)))</f>
        <v>75.422412610105</v>
      </c>
      <c r="BK320" s="90">
        <f>BG320/((VLOOKUP(B320,'Cell-Characteristics'!$B$4:$Q$34,14,FALSE)))</f>
        <v>1468.43777674287</v>
      </c>
      <c r="BL320" s="90" t="e">
        <f>BH320/((VLOOKUP(B320,'Cell-Characteristics'!$B$4:$Q$34,15,FALSE)))</f>
        <v>#DIV/0!</v>
      </c>
      <c r="BM320" s="90">
        <f>BI320/((VLOOKUP(B320,'Cell-Characteristics'!$B$4:$Q$34,16,FALSE)))</f>
        <v>236.368133711795</v>
      </c>
      <c r="BN320" s="50">
        <f t="shared" si="59"/>
        <v>3.14126666666667</v>
      </c>
    </row>
    <row r="321" spans="2:66">
      <c r="B321" s="90" t="s">
        <v>14</v>
      </c>
      <c r="C321" s="91" t="s">
        <v>1121</v>
      </c>
      <c r="D321" s="90" t="s">
        <v>227</v>
      </c>
      <c r="E321" s="92" t="s">
        <v>228</v>
      </c>
      <c r="F321" s="93" t="s">
        <v>229</v>
      </c>
      <c r="G321" s="93"/>
      <c r="H321" s="94">
        <v>43400</v>
      </c>
      <c r="I321" s="95" t="s">
        <v>1122</v>
      </c>
      <c r="J321" s="95">
        <v>100</v>
      </c>
      <c r="K321" s="96">
        <v>4.147</v>
      </c>
      <c r="L321" s="97">
        <v>38.9824</v>
      </c>
      <c r="M321" s="97">
        <v>47.2</v>
      </c>
      <c r="N321" s="97">
        <v>47.7</v>
      </c>
      <c r="O321" s="96" t="s">
        <v>197</v>
      </c>
      <c r="P321" s="96" t="s">
        <v>198</v>
      </c>
      <c r="Q321" s="98" t="s">
        <v>381</v>
      </c>
      <c r="R321" s="99">
        <v>30.1842237107567</v>
      </c>
      <c r="S321" s="100">
        <v>0.032</v>
      </c>
      <c r="T321" s="100">
        <v>36.5551930596843</v>
      </c>
      <c r="U321" s="97">
        <v>38.0306912773155</v>
      </c>
      <c r="V321" s="97">
        <v>2.42325719404811</v>
      </c>
      <c r="W321" s="97">
        <v>34.4014585533897</v>
      </c>
      <c r="X321" s="97">
        <v>1.2059755298777</v>
      </c>
      <c r="Y321" s="97">
        <v>6.37184629744957</v>
      </c>
      <c r="Z321" s="97">
        <v>90.4570950407873</v>
      </c>
      <c r="AA321" s="97">
        <v>3.17105866176312</v>
      </c>
      <c r="AB321" s="97">
        <v>1.47549821763125</v>
      </c>
      <c r="AC321" s="97">
        <v>0</v>
      </c>
      <c r="AD321" s="124">
        <v>1.8046</v>
      </c>
      <c r="AE321" s="124">
        <v>1.8046</v>
      </c>
      <c r="AF321" s="124">
        <v>0</v>
      </c>
      <c r="AG321" s="97">
        <v>953.537669774899</v>
      </c>
      <c r="AH321" s="97">
        <v>124.8509</v>
      </c>
      <c r="AI321" s="97">
        <v>119.092979466294</v>
      </c>
      <c r="AJ321" s="97"/>
      <c r="AK321" s="92">
        <v>361.55192</v>
      </c>
      <c r="AL321" s="97">
        <v>9.33</v>
      </c>
      <c r="AM321" s="97">
        <v>9.03</v>
      </c>
      <c r="AN321" s="97">
        <v>9.48</v>
      </c>
      <c r="AO321" s="97">
        <v>1.82</v>
      </c>
      <c r="AP321" s="97">
        <v>0</v>
      </c>
      <c r="AQ321" s="97">
        <v>0</v>
      </c>
      <c r="AR321" s="97">
        <v>0</v>
      </c>
      <c r="AS321" s="97">
        <v>9.3224</v>
      </c>
      <c r="AT321" s="97">
        <f t="shared" si="73"/>
        <v>29.6524</v>
      </c>
      <c r="AU321" s="97">
        <f t="shared" si="74"/>
        <v>76.0661221474306</v>
      </c>
      <c r="AV321" s="97">
        <v>0</v>
      </c>
      <c r="AW321" s="90" t="s">
        <v>1123</v>
      </c>
      <c r="AX321" s="90" t="s">
        <v>134</v>
      </c>
      <c r="AY321" s="90" t="s">
        <v>134</v>
      </c>
      <c r="AZ321" s="90" t="s">
        <v>203</v>
      </c>
      <c r="BA321" s="90" t="s">
        <v>204</v>
      </c>
      <c r="BB321" s="90" t="s">
        <v>1124</v>
      </c>
      <c r="BC321" s="93">
        <v>11</v>
      </c>
      <c r="BD321" s="93">
        <v>22</v>
      </c>
      <c r="BE321" s="59">
        <f>U321/((VLOOKUP(B321,'Cell-Characteristics'!$B$4:$E$34,3,FALSE)*VLOOKUP(B321,'Cell-Characteristics'!$B$4:$E$34,4,FALSE)*3600)/1000)</f>
        <v>1.37822321074565</v>
      </c>
      <c r="BF321" s="90">
        <f t="shared" si="62"/>
        <v>1342.8223396033</v>
      </c>
      <c r="BG321" s="90">
        <f t="shared" si="60"/>
        <v>19063.2043407901</v>
      </c>
      <c r="BH321" s="90" t="e">
        <f t="shared" si="61"/>
        <v>#DIV/0!</v>
      </c>
      <c r="BI321" s="90">
        <f t="shared" si="63"/>
        <v>31611.4578942554</v>
      </c>
      <c r="BJ321" s="90">
        <f>BF321/((VLOOKUP(B321,'Cell-Characteristics'!$B$4:$Q$34,13,FALSE)))</f>
        <v>36.5513185149789</v>
      </c>
      <c r="BK321" s="90">
        <f>BG321/((VLOOKUP(B321,'Cell-Characteristics'!$B$4:$Q$34,14,FALSE)))</f>
        <v>7495.1656604506</v>
      </c>
      <c r="BL321" s="90" t="e">
        <f>BH321/((VLOOKUP(B321,'Cell-Characteristics'!$B$4:$Q$34,15,FALSE)))</f>
        <v>#DIV/0!</v>
      </c>
      <c r="BM321" s="90">
        <f>BI321/((VLOOKUP(B321,'Cell-Characteristics'!$B$4:$Q$34,16,FALSE)))</f>
        <v>755.806552434331</v>
      </c>
      <c r="BN321" s="50">
        <f t="shared" si="59"/>
        <v>1.20306666666667</v>
      </c>
    </row>
    <row r="322" spans="2:66">
      <c r="B322" s="90" t="s">
        <v>14</v>
      </c>
      <c r="C322" s="91" t="s">
        <v>1125</v>
      </c>
      <c r="D322" s="90" t="s">
        <v>244</v>
      </c>
      <c r="E322" s="92" t="s">
        <v>228</v>
      </c>
      <c r="F322" s="93" t="s">
        <v>245</v>
      </c>
      <c r="G322" s="93"/>
      <c r="H322" s="94">
        <v>43510</v>
      </c>
      <c r="I322" s="95" t="s">
        <v>1126</v>
      </c>
      <c r="J322" s="95">
        <v>100</v>
      </c>
      <c r="K322" s="96">
        <v>4.107</v>
      </c>
      <c r="L322" s="97">
        <v>38.925</v>
      </c>
      <c r="M322" s="97">
        <v>46.6</v>
      </c>
      <c r="N322" s="97">
        <v>47.5</v>
      </c>
      <c r="O322" s="96" t="s">
        <v>198</v>
      </c>
      <c r="P322" s="96" t="s">
        <v>198</v>
      </c>
      <c r="Q322" s="98" t="s">
        <v>381</v>
      </c>
      <c r="R322" s="99">
        <v>25.1139627013361</v>
      </c>
      <c r="S322" s="100">
        <v>0.021</v>
      </c>
      <c r="T322" s="100">
        <v>26.8809666473399</v>
      </c>
      <c r="U322" s="97">
        <v>28.2472709185652</v>
      </c>
      <c r="V322" s="97">
        <v>6.84643839519745</v>
      </c>
      <c r="W322" s="97">
        <v>20.0242676811509</v>
      </c>
      <c r="X322" s="97">
        <v>1.37656484221682</v>
      </c>
      <c r="Y322" s="97">
        <v>24.2375216173457</v>
      </c>
      <c r="Z322" s="97">
        <v>70.8892117007671</v>
      </c>
      <c r="AA322" s="97">
        <v>4.87326668188711</v>
      </c>
      <c r="AB322" s="97">
        <v>1.3663042712253</v>
      </c>
      <c r="AC322" s="97">
        <v>0</v>
      </c>
      <c r="AD322" s="124">
        <v>6.5143</v>
      </c>
      <c r="AE322" s="124">
        <v>1.4006</v>
      </c>
      <c r="AF322" s="124">
        <v>0</v>
      </c>
      <c r="AG322" s="97">
        <v>953.564556574792</v>
      </c>
      <c r="AH322" s="97">
        <v>152.8777</v>
      </c>
      <c r="AI322" s="97">
        <v>86.5337771544107</v>
      </c>
      <c r="AJ322" s="97"/>
      <c r="AK322" s="92">
        <v>234.125445</v>
      </c>
      <c r="AL322" s="97">
        <v>20.5</v>
      </c>
      <c r="AM322" s="97">
        <v>0.2</v>
      </c>
      <c r="AN322" s="97">
        <v>4.6</v>
      </c>
      <c r="AO322" s="97">
        <v>1.58</v>
      </c>
      <c r="AP322" s="97">
        <v>0</v>
      </c>
      <c r="AQ322" s="97">
        <v>0</v>
      </c>
      <c r="AR322" s="97">
        <v>0</v>
      </c>
      <c r="AS322" s="97">
        <v>12.045</v>
      </c>
      <c r="AT322" s="97">
        <f t="shared" si="73"/>
        <v>18.425</v>
      </c>
      <c r="AU322" s="97">
        <f t="shared" si="74"/>
        <v>47.3346178548491</v>
      </c>
      <c r="AV322" s="97">
        <v>0</v>
      </c>
      <c r="AW322" s="90" t="s">
        <v>1127</v>
      </c>
      <c r="AX322" s="90" t="s">
        <v>248</v>
      </c>
      <c r="AY322" s="90" t="s">
        <v>1128</v>
      </c>
      <c r="AZ322" s="90" t="s">
        <v>212</v>
      </c>
      <c r="BA322" s="90" t="s">
        <v>204</v>
      </c>
      <c r="BB322" s="90" t="s">
        <v>134</v>
      </c>
      <c r="BC322" s="93">
        <v>3</v>
      </c>
      <c r="BD322" s="93">
        <v>6</v>
      </c>
      <c r="BE322" s="59">
        <f>U322/((VLOOKUP(B322,'Cell-Characteristics'!$B$4:$E$34,3,FALSE)*VLOOKUP(B322,'Cell-Characteristics'!$B$4:$E$34,4,FALSE)*3600)/1000)</f>
        <v>1.02367438278485</v>
      </c>
      <c r="BF322" s="90">
        <f t="shared" si="62"/>
        <v>1050.986045346</v>
      </c>
      <c r="BG322" s="90">
        <f t="shared" si="60"/>
        <v>14296.9210917827</v>
      </c>
      <c r="BH322" s="90" t="e">
        <f t="shared" si="61"/>
        <v>#DIV/0!</v>
      </c>
      <c r="BI322" s="90">
        <f t="shared" si="63"/>
        <v>10706.6182460543</v>
      </c>
      <c r="BJ322" s="90">
        <f>BF322/((VLOOKUP(B322,'Cell-Characteristics'!$B$4:$Q$34,13,FALSE)))</f>
        <v>28.6076009947738</v>
      </c>
      <c r="BK322" s="90">
        <f>BG322/((VLOOKUP(B322,'Cell-Characteristics'!$B$4:$Q$34,14,FALSE)))</f>
        <v>5621.18467082753</v>
      </c>
      <c r="BL322" s="90" t="e">
        <f>BH322/((VLOOKUP(B322,'Cell-Characteristics'!$B$4:$Q$34,15,FALSE)))</f>
        <v>#DIV/0!</v>
      </c>
      <c r="BM322" s="90">
        <f>BI322/((VLOOKUP(B322,'Cell-Characteristics'!$B$4:$Q$34,16,FALSE)))</f>
        <v>255.987314847993</v>
      </c>
      <c r="BN322" s="50">
        <f t="shared" si="59"/>
        <v>2.6383</v>
      </c>
    </row>
    <row r="323" spans="2:66">
      <c r="B323" s="90" t="s">
        <v>20</v>
      </c>
      <c r="C323" s="91" t="s">
        <v>1129</v>
      </c>
      <c r="D323" s="90" t="s">
        <v>244</v>
      </c>
      <c r="E323" s="92" t="s">
        <v>194</v>
      </c>
      <c r="F323" s="93" t="s">
        <v>245</v>
      </c>
      <c r="G323" s="93"/>
      <c r="H323" s="94">
        <v>43510</v>
      </c>
      <c r="I323" s="95" t="s">
        <v>1130</v>
      </c>
      <c r="J323" s="95">
        <v>100</v>
      </c>
      <c r="K323" s="96">
        <v>4.157</v>
      </c>
      <c r="L323" s="97">
        <v>38.343</v>
      </c>
      <c r="M323" s="97">
        <v>49.5</v>
      </c>
      <c r="N323" s="97">
        <v>45.5</v>
      </c>
      <c r="O323" s="96" t="s">
        <v>198</v>
      </c>
      <c r="P323" s="96" t="s">
        <v>198</v>
      </c>
      <c r="Q323" s="98" t="s">
        <v>381</v>
      </c>
      <c r="R323" s="99">
        <v>23.3653594134779</v>
      </c>
      <c r="S323" s="100">
        <v>0.031</v>
      </c>
      <c r="T323" s="100">
        <v>26.4543348939202</v>
      </c>
      <c r="U323" s="97">
        <v>27.1768957462563</v>
      </c>
      <c r="V323" s="97">
        <v>0.950990942259121</v>
      </c>
      <c r="W323" s="97">
        <v>25.6450753601258</v>
      </c>
      <c r="X323" s="97">
        <v>0.580829443871311</v>
      </c>
      <c r="Y323" s="97">
        <v>3.49926257633793</v>
      </c>
      <c r="Z323" s="97">
        <v>94.363519658637</v>
      </c>
      <c r="AA323" s="97">
        <v>2.13721776502499</v>
      </c>
      <c r="AB323" s="97">
        <v>0.722560852336019</v>
      </c>
      <c r="AC323" s="97">
        <v>0</v>
      </c>
      <c r="AD323" s="124">
        <v>6.7208</v>
      </c>
      <c r="AE323" s="124">
        <v>2.4071</v>
      </c>
      <c r="AF323" s="124">
        <v>0</v>
      </c>
      <c r="AG323" s="97">
        <v>952.987212532408</v>
      </c>
      <c r="AH323" s="97">
        <v>125.4954</v>
      </c>
      <c r="AI323" s="97">
        <v>109.782464081914</v>
      </c>
      <c r="AJ323" s="97"/>
      <c r="AK323" s="92">
        <v>231.39199</v>
      </c>
      <c r="AL323" s="97">
        <v>9.8</v>
      </c>
      <c r="AM323" s="97">
        <v>10.9</v>
      </c>
      <c r="AN323" s="97">
        <v>8.2</v>
      </c>
      <c r="AO323" s="97">
        <v>3.4</v>
      </c>
      <c r="AP323" s="97">
        <v>0.2</v>
      </c>
      <c r="AQ323" s="97">
        <v>0.1</v>
      </c>
      <c r="AR323" s="97">
        <v>0</v>
      </c>
      <c r="AS323" s="97">
        <v>5.74299999999999</v>
      </c>
      <c r="AT323" s="97">
        <f t="shared" si="73"/>
        <v>28.543</v>
      </c>
      <c r="AU323" s="97">
        <f t="shared" si="74"/>
        <v>74.4412278642777</v>
      </c>
      <c r="AV323" s="97">
        <v>0</v>
      </c>
      <c r="AW323" s="90" t="s">
        <v>1131</v>
      </c>
      <c r="AX323" s="90" t="s">
        <v>248</v>
      </c>
      <c r="AY323" s="90" t="s">
        <v>1132</v>
      </c>
      <c r="AZ323" s="90" t="s">
        <v>212</v>
      </c>
      <c r="BA323" s="90" t="s">
        <v>204</v>
      </c>
      <c r="BB323" s="90" t="s">
        <v>1133</v>
      </c>
      <c r="BC323" s="93">
        <v>3</v>
      </c>
      <c r="BD323" s="93">
        <v>6</v>
      </c>
      <c r="BE323" s="59">
        <f>U323/((VLOOKUP(B323,'Cell-Characteristics'!$B$4:$E$34,3,FALSE)*VLOOKUP(B323,'Cell-Characteristics'!$B$4:$E$34,4,FALSE)*3600)/1000)</f>
        <v>0.984884241003706</v>
      </c>
      <c r="BF323" s="90">
        <f t="shared" si="62"/>
        <v>141.499664066647</v>
      </c>
      <c r="BG323" s="90">
        <f t="shared" si="60"/>
        <v>10653.9301899073</v>
      </c>
      <c r="BH323" s="90" t="e">
        <f t="shared" si="61"/>
        <v>#DIV/0!</v>
      </c>
      <c r="BI323" s="90">
        <f t="shared" si="63"/>
        <v>8932.03116146855</v>
      </c>
      <c r="BJ323" s="90">
        <f>BF323/((VLOOKUP(B323,'Cell-Characteristics'!$B$4:$Q$34,13,FALSE)))</f>
        <v>3.85158865661296</v>
      </c>
      <c r="BK323" s="90">
        <f>BG323/((VLOOKUP(B323,'Cell-Characteristics'!$B$4:$Q$34,14,FALSE)))</f>
        <v>4188.85357785141</v>
      </c>
      <c r="BL323" s="90" t="e">
        <f>BH323/((VLOOKUP(B323,'Cell-Characteristics'!$B$4:$Q$34,15,FALSE)))</f>
        <v>#DIV/0!</v>
      </c>
      <c r="BM323" s="90">
        <f>BI323/((VLOOKUP(B323,'Cell-Characteristics'!$B$4:$Q$34,16,FALSE)))</f>
        <v>213.558251598778</v>
      </c>
      <c r="BN323" s="50">
        <f t="shared" si="59"/>
        <v>3.04263333333333</v>
      </c>
    </row>
    <row r="324" spans="2:66">
      <c r="B324" s="90" t="s">
        <v>20</v>
      </c>
      <c r="C324" s="91" t="s">
        <v>1134</v>
      </c>
      <c r="D324" s="90" t="s">
        <v>244</v>
      </c>
      <c r="E324" s="92" t="s">
        <v>194</v>
      </c>
      <c r="F324" s="93" t="s">
        <v>245</v>
      </c>
      <c r="G324" s="93"/>
      <c r="H324" s="94">
        <v>43510</v>
      </c>
      <c r="I324" s="95" t="s">
        <v>1135</v>
      </c>
      <c r="J324" s="95">
        <v>100</v>
      </c>
      <c r="K324" s="96">
        <v>4.159</v>
      </c>
      <c r="L324" s="97">
        <v>38.2317</v>
      </c>
      <c r="M324" s="97">
        <v>50.1</v>
      </c>
      <c r="N324" s="97">
        <v>55.1</v>
      </c>
      <c r="O324" s="96" t="s">
        <v>198</v>
      </c>
      <c r="P324" s="96" t="s">
        <v>198</v>
      </c>
      <c r="Q324" s="98" t="s">
        <v>381</v>
      </c>
      <c r="R324" s="99">
        <v>21.1264517674437</v>
      </c>
      <c r="S324" s="100">
        <v>0.016</v>
      </c>
      <c r="T324" s="100">
        <v>22.4296288656678</v>
      </c>
      <c r="U324" s="97">
        <v>22.8345136807459</v>
      </c>
      <c r="V324" s="97">
        <v>7.35759491687408</v>
      </c>
      <c r="W324" s="97">
        <v>15.0198897470435</v>
      </c>
      <c r="X324" s="97">
        <v>0.457029016828331</v>
      </c>
      <c r="Y324" s="97">
        <v>32.2213777781395</v>
      </c>
      <c r="Z324" s="97">
        <v>65.777138751627</v>
      </c>
      <c r="AA324" s="97">
        <v>2.00148347023348</v>
      </c>
      <c r="AB324" s="97">
        <v>0.404884815078084</v>
      </c>
      <c r="AC324" s="97">
        <v>0</v>
      </c>
      <c r="AD324" s="124">
        <v>2.6109</v>
      </c>
      <c r="AE324" s="124">
        <v>2.6109</v>
      </c>
      <c r="AF324" s="124">
        <v>0</v>
      </c>
      <c r="AG324" s="97">
        <v>952.951297462541</v>
      </c>
      <c r="AH324" s="97">
        <v>92.3202</v>
      </c>
      <c r="AI324" s="97">
        <v>74.2164278026894</v>
      </c>
      <c r="AJ324" s="97"/>
      <c r="AK324" s="92">
        <v>195.263645</v>
      </c>
      <c r="AL324" s="97">
        <v>23.2</v>
      </c>
      <c r="AM324" s="97">
        <v>0.9</v>
      </c>
      <c r="AN324" s="97">
        <v>4.5</v>
      </c>
      <c r="AO324" s="97">
        <v>1.8</v>
      </c>
      <c r="AP324" s="97">
        <v>0.4</v>
      </c>
      <c r="AQ324" s="97">
        <v>0.5</v>
      </c>
      <c r="AR324" s="97">
        <v>0</v>
      </c>
      <c r="AS324" s="97">
        <v>6.9317</v>
      </c>
      <c r="AT324" s="97">
        <f t="shared" si="73"/>
        <v>15.0317</v>
      </c>
      <c r="AU324" s="97">
        <f t="shared" si="74"/>
        <v>39.317372756116</v>
      </c>
      <c r="AV324" s="97">
        <v>0</v>
      </c>
      <c r="AW324" s="90" t="s">
        <v>1136</v>
      </c>
      <c r="AX324" s="90" t="s">
        <v>248</v>
      </c>
      <c r="AY324" s="90" t="s">
        <v>1137</v>
      </c>
      <c r="AZ324" s="90" t="s">
        <v>212</v>
      </c>
      <c r="BA324" s="90" t="s">
        <v>204</v>
      </c>
      <c r="BB324" s="90" t="s">
        <v>1138</v>
      </c>
      <c r="BC324" s="93">
        <v>8</v>
      </c>
      <c r="BD324" s="93">
        <v>16</v>
      </c>
      <c r="BE324" s="59">
        <f>U324/((VLOOKUP(B324,'Cell-Characteristics'!$B$4:$E$34,3,FALSE)*VLOOKUP(B324,'Cell-Characteristics'!$B$4:$E$34,4,FALSE)*3600)/1000)</f>
        <v>0.827517347276432</v>
      </c>
      <c r="BF324" s="90">
        <f t="shared" si="62"/>
        <v>2818.03014932555</v>
      </c>
      <c r="BG324" s="90">
        <f t="shared" si="60"/>
        <v>5752.76331802959</v>
      </c>
      <c r="BH324" s="90" t="e">
        <f t="shared" si="61"/>
        <v>#DIV/0!</v>
      </c>
      <c r="BI324" s="90">
        <f t="shared" si="63"/>
        <v>13118.7600142169</v>
      </c>
      <c r="BJ324" s="90">
        <f>BF324/((VLOOKUP(B324,'Cell-Characteristics'!$B$4:$Q$34,13,FALSE)))</f>
        <v>76.7061394013161</v>
      </c>
      <c r="BK324" s="90">
        <f>BG324/((VLOOKUP(B324,'Cell-Characteristics'!$B$4:$Q$34,14,FALSE)))</f>
        <v>2261.83978848376</v>
      </c>
      <c r="BL324" s="90" t="e">
        <f>BH324/((VLOOKUP(B324,'Cell-Characteristics'!$B$4:$Q$34,15,FALSE)))</f>
        <v>#DIV/0!</v>
      </c>
      <c r="BM324" s="90">
        <f>BI324/((VLOOKUP(B324,'Cell-Characteristics'!$B$4:$Q$34,16,FALSE)))</f>
        <v>313.659838522046</v>
      </c>
      <c r="BN324" s="50">
        <f t="shared" si="59"/>
        <v>1.7406</v>
      </c>
    </row>
    <row r="325" spans="2:66">
      <c r="B325" s="90" t="s">
        <v>20</v>
      </c>
      <c r="C325" s="91" t="s">
        <v>1139</v>
      </c>
      <c r="D325" s="90" t="s">
        <v>244</v>
      </c>
      <c r="E325" s="92" t="s">
        <v>194</v>
      </c>
      <c r="F325" s="93" t="s">
        <v>245</v>
      </c>
      <c r="G325" s="93"/>
      <c r="H325" s="94">
        <v>43510</v>
      </c>
      <c r="I325" s="95" t="s">
        <v>1140</v>
      </c>
      <c r="J325" s="95">
        <v>100</v>
      </c>
      <c r="K325" s="96">
        <v>4.154</v>
      </c>
      <c r="L325" s="97">
        <v>38.2273</v>
      </c>
      <c r="M325" s="97">
        <v>49.2</v>
      </c>
      <c r="N325" s="97">
        <v>49.6</v>
      </c>
      <c r="O325" s="96" t="s">
        <v>198</v>
      </c>
      <c r="P325" s="96" t="s">
        <v>198</v>
      </c>
      <c r="Q325" s="98" t="s">
        <v>381</v>
      </c>
      <c r="R325" s="99">
        <v>23.4161025759317</v>
      </c>
      <c r="S325" s="100">
        <v>0.027</v>
      </c>
      <c r="T325" s="100">
        <v>28.0709278332386</v>
      </c>
      <c r="U325" s="97">
        <v>29.4056745261411</v>
      </c>
      <c r="V325" s="97">
        <v>1.94874039442358</v>
      </c>
      <c r="W325" s="97">
        <v>26.9215194719375</v>
      </c>
      <c r="X325" s="97">
        <v>0.535414659780007</v>
      </c>
      <c r="Y325" s="97">
        <v>6.6270895867095</v>
      </c>
      <c r="Z325" s="97">
        <v>91.5521235467827</v>
      </c>
      <c r="AA325" s="97">
        <v>1.8207868665078</v>
      </c>
      <c r="AB325" s="97">
        <v>1.33474669290248</v>
      </c>
      <c r="AC325" s="97">
        <v>0</v>
      </c>
      <c r="AD325" s="124">
        <v>5.212</v>
      </c>
      <c r="AE325" s="124">
        <v>2.3038</v>
      </c>
      <c r="AF325" s="124">
        <v>0</v>
      </c>
      <c r="AG325" s="97">
        <v>954.795172575454</v>
      </c>
      <c r="AH325" s="97">
        <v>93.7994</v>
      </c>
      <c r="AI325" s="97">
        <v>89.4676261465781</v>
      </c>
      <c r="AJ325" s="97"/>
      <c r="AK325" s="92">
        <v>237.62572</v>
      </c>
      <c r="AL325" s="97">
        <v>8.6</v>
      </c>
      <c r="AM325" s="97">
        <v>11.9</v>
      </c>
      <c r="AN325" s="97">
        <v>4.3</v>
      </c>
      <c r="AO325" s="97">
        <v>3.6</v>
      </c>
      <c r="AP325" s="97">
        <v>0.1</v>
      </c>
      <c r="AQ325" s="97">
        <v>0.1</v>
      </c>
      <c r="AR325" s="97">
        <v>0</v>
      </c>
      <c r="AS325" s="97">
        <v>9.62729999999999</v>
      </c>
      <c r="AT325" s="97">
        <f t="shared" si="73"/>
        <v>29.6273</v>
      </c>
      <c r="AU325" s="97">
        <f t="shared" si="74"/>
        <v>77.5029887017917</v>
      </c>
      <c r="AV325" s="97">
        <v>0</v>
      </c>
      <c r="AW325" s="90" t="s">
        <v>1141</v>
      </c>
      <c r="AX325" s="90" t="s">
        <v>248</v>
      </c>
      <c r="AY325" s="90" t="s">
        <v>1142</v>
      </c>
      <c r="AZ325" s="90" t="s">
        <v>212</v>
      </c>
      <c r="BA325" s="90" t="s">
        <v>204</v>
      </c>
      <c r="BB325" s="90" t="s">
        <v>1143</v>
      </c>
      <c r="BC325" s="93">
        <v>2</v>
      </c>
      <c r="BD325" s="93">
        <v>4</v>
      </c>
      <c r="BE325" s="59">
        <f>U325/((VLOOKUP(B325,'Cell-Characteristics'!$B$4:$E$34,3,FALSE)*VLOOKUP(B325,'Cell-Characteristics'!$B$4:$E$34,4,FALSE)*3600)/1000)</f>
        <v>1.06565465413282</v>
      </c>
      <c r="BF325" s="90">
        <f t="shared" si="62"/>
        <v>373.894933696006</v>
      </c>
      <c r="BG325" s="90">
        <f t="shared" si="60"/>
        <v>11685.7016546304</v>
      </c>
      <c r="BH325" s="90" t="e">
        <f t="shared" si="61"/>
        <v>#DIV/0!</v>
      </c>
      <c r="BI325" s="90">
        <f t="shared" si="63"/>
        <v>11737.5427204587</v>
      </c>
      <c r="BJ325" s="90">
        <f>BF325/((VLOOKUP(B325,'Cell-Characteristics'!$B$4:$Q$34,13,FALSE)))</f>
        <v>10.1773350126846</v>
      </c>
      <c r="BK325" s="90">
        <f>BG325/((VLOOKUP(B325,'Cell-Characteristics'!$B$4:$Q$34,14,FALSE)))</f>
        <v>4594.51979815616</v>
      </c>
      <c r="BL325" s="90" t="e">
        <f>BH325/((VLOOKUP(B325,'Cell-Characteristics'!$B$4:$Q$34,15,FALSE)))</f>
        <v>#DIV/0!</v>
      </c>
      <c r="BM325" s="90">
        <f>BI325/((VLOOKUP(B325,'Cell-Characteristics'!$B$4:$Q$34,16,FALSE)))</f>
        <v>280.63595571189</v>
      </c>
      <c r="BN325" s="50">
        <f t="shared" si="59"/>
        <v>2.50526666666667</v>
      </c>
    </row>
    <row r="326" spans="2:66">
      <c r="B326" s="90" t="s">
        <v>20</v>
      </c>
      <c r="C326" s="91" t="s">
        <v>1144</v>
      </c>
      <c r="D326" s="90" t="s">
        <v>244</v>
      </c>
      <c r="E326" s="92" t="s">
        <v>228</v>
      </c>
      <c r="F326" s="93" t="s">
        <v>245</v>
      </c>
      <c r="G326" s="93"/>
      <c r="H326" s="94">
        <v>43510</v>
      </c>
      <c r="I326" s="95" t="s">
        <v>1145</v>
      </c>
      <c r="J326" s="95">
        <v>100</v>
      </c>
      <c r="K326" s="96">
        <v>4.152</v>
      </c>
      <c r="L326" s="97">
        <v>38.2813</v>
      </c>
      <c r="M326" s="97">
        <v>45.5</v>
      </c>
      <c r="N326" s="97">
        <v>49.6</v>
      </c>
      <c r="O326" s="96" t="s">
        <v>198</v>
      </c>
      <c r="P326" s="96" t="s">
        <v>198</v>
      </c>
      <c r="Q326" s="98" t="s">
        <v>381</v>
      </c>
      <c r="R326" s="99">
        <v>22.1013031287435</v>
      </c>
      <c r="S326" s="100">
        <v>0.021</v>
      </c>
      <c r="T326" s="100">
        <v>23.9422647855791</v>
      </c>
      <c r="U326" s="97">
        <v>24.3555110181569</v>
      </c>
      <c r="V326" s="97">
        <v>5.23107472927177</v>
      </c>
      <c r="W326" s="97">
        <v>18.8001558069389</v>
      </c>
      <c r="X326" s="97">
        <v>0.324280481946183</v>
      </c>
      <c r="Y326" s="97">
        <v>21.4779920871791</v>
      </c>
      <c r="Z326" s="97">
        <v>77.1905618934603</v>
      </c>
      <c r="AA326" s="97">
        <v>1.3314460193606</v>
      </c>
      <c r="AB326" s="97">
        <v>0.413246232577746</v>
      </c>
      <c r="AC326" s="97">
        <v>0</v>
      </c>
      <c r="AD326" s="124">
        <v>4.1135</v>
      </c>
      <c r="AE326" s="124">
        <v>4.1135</v>
      </c>
      <c r="AF326" s="124">
        <v>0</v>
      </c>
      <c r="AG326" s="97">
        <v>952.838192594869</v>
      </c>
      <c r="AH326" s="97">
        <v>109.2752</v>
      </c>
      <c r="AI326" s="97">
        <v>83.9571541291863</v>
      </c>
      <c r="AJ326" s="97"/>
      <c r="AK326" s="92">
        <v>216.770125</v>
      </c>
      <c r="AL326" s="97">
        <v>22.1</v>
      </c>
      <c r="AM326" s="97">
        <v>1.8</v>
      </c>
      <c r="AN326" s="97">
        <v>3.6</v>
      </c>
      <c r="AO326" s="97">
        <v>5.7</v>
      </c>
      <c r="AP326" s="97">
        <v>0.2</v>
      </c>
      <c r="AQ326" s="97">
        <v>0</v>
      </c>
      <c r="AR326" s="97">
        <v>0</v>
      </c>
      <c r="AS326" s="97">
        <v>4.8813</v>
      </c>
      <c r="AT326" s="97">
        <f t="shared" si="73"/>
        <v>16.1813</v>
      </c>
      <c r="AU326" s="97">
        <f t="shared" si="74"/>
        <v>42.2694631582522</v>
      </c>
      <c r="AV326" s="97">
        <v>0</v>
      </c>
      <c r="AW326" s="90" t="s">
        <v>1146</v>
      </c>
      <c r="AX326" s="90" t="s">
        <v>248</v>
      </c>
      <c r="AY326" s="90" t="s">
        <v>1147</v>
      </c>
      <c r="AZ326" s="90" t="s">
        <v>212</v>
      </c>
      <c r="BA326" s="90" t="s">
        <v>204</v>
      </c>
      <c r="BB326" s="90" t="s">
        <v>134</v>
      </c>
      <c r="BC326" s="93">
        <v>3</v>
      </c>
      <c r="BD326" s="93">
        <v>6</v>
      </c>
      <c r="BE326" s="59">
        <f>U326/((VLOOKUP(B326,'Cell-Characteristics'!$B$4:$E$34,3,FALSE)*VLOOKUP(B326,'Cell-Characteristics'!$B$4:$E$34,4,FALSE)*3600)/1000)</f>
        <v>0.88263792919319</v>
      </c>
      <c r="BF326" s="90">
        <f t="shared" si="62"/>
        <v>1271.68463091571</v>
      </c>
      <c r="BG326" s="90">
        <f t="shared" si="60"/>
        <v>4570.35512506112</v>
      </c>
      <c r="BH326" s="90" t="e">
        <f t="shared" si="61"/>
        <v>#DIV/0!</v>
      </c>
      <c r="BI326" s="90">
        <f t="shared" si="63"/>
        <v>8881.30947544313</v>
      </c>
      <c r="BJ326" s="90">
        <f>BF326/((VLOOKUP(B326,'Cell-Characteristics'!$B$4:$Q$34,13,FALSE)))</f>
        <v>34.6149662724075</v>
      </c>
      <c r="BK326" s="90">
        <f>BG326/((VLOOKUP(B326,'Cell-Characteristics'!$B$4:$Q$34,14,FALSE)))</f>
        <v>1796.94704924948</v>
      </c>
      <c r="BL326" s="90" t="e">
        <f>BH326/((VLOOKUP(B326,'Cell-Characteristics'!$B$4:$Q$34,15,FALSE)))</f>
        <v>#DIV/0!</v>
      </c>
      <c r="BM326" s="90">
        <f>BI326/((VLOOKUP(B326,'Cell-Characteristics'!$B$4:$Q$34,16,FALSE)))</f>
        <v>212.345533641359</v>
      </c>
      <c r="BN326" s="50">
        <f t="shared" si="59"/>
        <v>2.74233333333333</v>
      </c>
    </row>
    <row r="327" spans="2:66">
      <c r="B327" s="90" t="s">
        <v>20</v>
      </c>
      <c r="C327" s="91" t="s">
        <v>1148</v>
      </c>
      <c r="D327" s="90" t="s">
        <v>244</v>
      </c>
      <c r="E327" s="92" t="s">
        <v>228</v>
      </c>
      <c r="F327" s="93" t="s">
        <v>245</v>
      </c>
      <c r="G327" s="93"/>
      <c r="H327" s="94">
        <v>43510</v>
      </c>
      <c r="I327" s="95" t="s">
        <v>1149</v>
      </c>
      <c r="J327" s="95">
        <v>100</v>
      </c>
      <c r="K327" s="96">
        <v>4.15</v>
      </c>
      <c r="L327" s="97">
        <v>38.1331</v>
      </c>
      <c r="M327" s="97">
        <v>52.4</v>
      </c>
      <c r="N327" s="97">
        <v>45.5</v>
      </c>
      <c r="O327" s="96" t="s">
        <v>198</v>
      </c>
      <c r="P327" s="96" t="s">
        <v>198</v>
      </c>
      <c r="Q327" s="98" t="s">
        <v>381</v>
      </c>
      <c r="R327" s="99">
        <v>20.0500228452507</v>
      </c>
      <c r="S327" s="100">
        <v>0.023</v>
      </c>
      <c r="T327" s="100">
        <v>22.535205048961</v>
      </c>
      <c r="U327" s="97">
        <v>22.9965513953159</v>
      </c>
      <c r="V327" s="97">
        <v>7.88991594399459</v>
      </c>
      <c r="W327" s="97">
        <v>14.5740609987392</v>
      </c>
      <c r="X327" s="97">
        <v>0.532574452582073</v>
      </c>
      <c r="Y327" s="97">
        <v>34.3091266527975</v>
      </c>
      <c r="Z327" s="97">
        <v>63.3749850062639</v>
      </c>
      <c r="AA327" s="97">
        <v>2.3158883409386</v>
      </c>
      <c r="AB327" s="97">
        <v>0.461346346354824</v>
      </c>
      <c r="AC327" s="97">
        <v>0</v>
      </c>
      <c r="AD327" s="124">
        <v>3.708</v>
      </c>
      <c r="AE327" s="124">
        <v>3.708</v>
      </c>
      <c r="AF327" s="124">
        <v>0</v>
      </c>
      <c r="AG327" s="97">
        <v>952.110068844259</v>
      </c>
      <c r="AH327" s="97">
        <v>99.2242</v>
      </c>
      <c r="AI327" s="97">
        <v>85.8798617965111</v>
      </c>
      <c r="AJ327" s="97"/>
      <c r="AK327" s="92">
        <v>201.08931</v>
      </c>
      <c r="AL327" s="97">
        <v>24.5</v>
      </c>
      <c r="AM327" s="97">
        <v>1.1</v>
      </c>
      <c r="AN327" s="97">
        <v>1.8</v>
      </c>
      <c r="AO327" s="97">
        <v>1.9</v>
      </c>
      <c r="AP327" s="97">
        <v>0.2</v>
      </c>
      <c r="AQ327" s="97">
        <v>0</v>
      </c>
      <c r="AR327" s="97">
        <v>0</v>
      </c>
      <c r="AS327" s="97">
        <v>8.6331</v>
      </c>
      <c r="AT327" s="97">
        <f t="shared" si="73"/>
        <v>13.6331</v>
      </c>
      <c r="AU327" s="97">
        <f t="shared" si="74"/>
        <v>35.7513551219282</v>
      </c>
      <c r="AV327" s="97">
        <v>0</v>
      </c>
      <c r="AW327" s="90" t="s">
        <v>1150</v>
      </c>
      <c r="AX327" s="90" t="s">
        <v>248</v>
      </c>
      <c r="AY327" s="90" t="s">
        <v>1151</v>
      </c>
      <c r="AZ327" s="90" t="s">
        <v>212</v>
      </c>
      <c r="BA327" s="90" t="s">
        <v>204</v>
      </c>
      <c r="BB327" s="90" t="s">
        <v>1152</v>
      </c>
      <c r="BC327" s="93">
        <v>8</v>
      </c>
      <c r="BD327" s="93">
        <v>16</v>
      </c>
      <c r="BE327" s="59">
        <f>U327/((VLOOKUP(B327,'Cell-Characteristics'!$B$4:$E$34,3,FALSE)*VLOOKUP(B327,'Cell-Characteristics'!$B$4:$E$34,4,FALSE)*3600)/1000)</f>
        <v>0.833389555530762</v>
      </c>
      <c r="BF327" s="90">
        <f t="shared" si="62"/>
        <v>2127.80904638473</v>
      </c>
      <c r="BG327" s="90">
        <f t="shared" si="60"/>
        <v>3930.43716255102</v>
      </c>
      <c r="BH327" s="90" t="e">
        <f t="shared" si="61"/>
        <v>#DIV/0!</v>
      </c>
      <c r="BI327" s="90">
        <f t="shared" si="63"/>
        <v>9302.8120531213</v>
      </c>
      <c r="BJ327" s="90">
        <f>BF327/((VLOOKUP(B327,'Cell-Characteristics'!$B$4:$Q$34,13,FALSE)))</f>
        <v>57.918478044116</v>
      </c>
      <c r="BK327" s="90">
        <f>BG327/((VLOOKUP(B327,'Cell-Characteristics'!$B$4:$Q$34,14,FALSE)))</f>
        <v>1545.34763016082</v>
      </c>
      <c r="BL327" s="90" t="e">
        <f>BH327/((VLOOKUP(B327,'Cell-Characteristics'!$B$4:$Q$34,15,FALSE)))</f>
        <v>#DIV/0!</v>
      </c>
      <c r="BM327" s="90">
        <f>BI327/((VLOOKUP(B327,'Cell-Characteristics'!$B$4:$Q$34,16,FALSE)))</f>
        <v>222.423348183884</v>
      </c>
      <c r="BN327" s="50">
        <f t="shared" si="59"/>
        <v>2.472</v>
      </c>
    </row>
    <row r="328" spans="2:66">
      <c r="B328" s="90" t="s">
        <v>20</v>
      </c>
      <c r="C328" s="91" t="s">
        <v>1153</v>
      </c>
      <c r="D328" s="90" t="s">
        <v>244</v>
      </c>
      <c r="E328" s="92" t="s">
        <v>228</v>
      </c>
      <c r="F328" s="93" t="s">
        <v>245</v>
      </c>
      <c r="G328" s="93"/>
      <c r="H328" s="94">
        <v>43510</v>
      </c>
      <c r="I328" s="95" t="s">
        <v>1154</v>
      </c>
      <c r="J328" s="95">
        <v>100</v>
      </c>
      <c r="K328" s="96">
        <v>4.162</v>
      </c>
      <c r="L328" s="97">
        <v>38.2628</v>
      </c>
      <c r="M328" s="97">
        <v>50.6</v>
      </c>
      <c r="N328" s="97">
        <v>49.6</v>
      </c>
      <c r="O328" s="96" t="s">
        <v>198</v>
      </c>
      <c r="P328" s="96" t="s">
        <v>198</v>
      </c>
      <c r="Q328" s="98" t="s">
        <v>381</v>
      </c>
      <c r="R328" s="99">
        <v>19.2124069714044</v>
      </c>
      <c r="S328" s="100">
        <v>0.023</v>
      </c>
      <c r="T328" s="100">
        <v>21.9587431029804</v>
      </c>
      <c r="U328" s="97">
        <v>23.5296147570678</v>
      </c>
      <c r="V328" s="97">
        <v>0.481658265600972</v>
      </c>
      <c r="W328" s="97">
        <v>22.6190976963332</v>
      </c>
      <c r="X328" s="97">
        <v>0.428858795133621</v>
      </c>
      <c r="Y328" s="97">
        <v>2.04702996871758</v>
      </c>
      <c r="Z328" s="97">
        <v>96.130335876149</v>
      </c>
      <c r="AA328" s="97">
        <v>1.82263415513338</v>
      </c>
      <c r="AB328" s="97">
        <v>1.5708716540873</v>
      </c>
      <c r="AC328" s="97">
        <v>0</v>
      </c>
      <c r="AD328" s="124">
        <v>2.8138</v>
      </c>
      <c r="AE328" s="124">
        <v>2.8138</v>
      </c>
      <c r="AF328" s="124">
        <v>0</v>
      </c>
      <c r="AG328" s="97">
        <v>954.110782241083</v>
      </c>
      <c r="AH328" s="97">
        <v>92.5197</v>
      </c>
      <c r="AI328" s="97">
        <v>84.3552769603762</v>
      </c>
      <c r="AJ328" s="97"/>
      <c r="AK328" s="92">
        <v>185.6981</v>
      </c>
      <c r="AL328" s="97">
        <v>8.9</v>
      </c>
      <c r="AM328" s="97">
        <v>10.6</v>
      </c>
      <c r="AN328" s="97">
        <v>4.1</v>
      </c>
      <c r="AO328" s="97">
        <v>3.1</v>
      </c>
      <c r="AP328" s="97">
        <v>0</v>
      </c>
      <c r="AQ328" s="97">
        <v>0</v>
      </c>
      <c r="AR328" s="97">
        <v>0</v>
      </c>
      <c r="AS328" s="97">
        <v>11.5628</v>
      </c>
      <c r="AT328" s="97">
        <f t="shared" si="73"/>
        <v>29.3628</v>
      </c>
      <c r="AU328" s="97">
        <f t="shared" si="74"/>
        <v>76.7398099459527</v>
      </c>
      <c r="AV328" s="97">
        <v>0</v>
      </c>
      <c r="AW328" s="90" t="s">
        <v>1155</v>
      </c>
      <c r="AX328" s="90" t="s">
        <v>248</v>
      </c>
      <c r="AY328" s="90" t="s">
        <v>1156</v>
      </c>
      <c r="AZ328" s="90" t="s">
        <v>212</v>
      </c>
      <c r="BA328" s="90" t="s">
        <v>204</v>
      </c>
      <c r="BB328" s="90" t="s">
        <v>134</v>
      </c>
      <c r="BC328" s="93">
        <v>6</v>
      </c>
      <c r="BD328" s="93">
        <v>12</v>
      </c>
      <c r="BE328" s="59">
        <f>U328/((VLOOKUP(B328,'Cell-Characteristics'!$B$4:$E$34,3,FALSE)*VLOOKUP(B328,'Cell-Characteristics'!$B$4:$E$34,4,FALSE)*3600)/1000)</f>
        <v>0.852707645033984</v>
      </c>
      <c r="BF328" s="90">
        <f t="shared" si="62"/>
        <v>171.177150330859</v>
      </c>
      <c r="BG328" s="90">
        <f t="shared" si="60"/>
        <v>8038.63021406395</v>
      </c>
      <c r="BH328" s="90" t="e">
        <f t="shared" si="61"/>
        <v>#DIV/0!</v>
      </c>
      <c r="BI328" s="90">
        <f t="shared" si="63"/>
        <v>12543.3300645396</v>
      </c>
      <c r="BJ328" s="90">
        <f>BF328/((VLOOKUP(B328,'Cell-Characteristics'!$B$4:$Q$34,13,FALSE)))</f>
        <v>4.65940307939625</v>
      </c>
      <c r="BK328" s="90">
        <f>BG328/((VLOOKUP(B328,'Cell-Characteristics'!$B$4:$Q$34,14,FALSE)))</f>
        <v>3160.58434145787</v>
      </c>
      <c r="BL328" s="90" t="e">
        <f>BH328/((VLOOKUP(B328,'Cell-Characteristics'!$B$4:$Q$34,15,FALSE)))</f>
        <v>#DIV/0!</v>
      </c>
      <c r="BM328" s="90">
        <f>BI328/((VLOOKUP(B328,'Cell-Characteristics'!$B$4:$Q$34,16,FALSE)))</f>
        <v>299.901734486229</v>
      </c>
      <c r="BN328" s="50">
        <f t="shared" si="59"/>
        <v>1.87586666666667</v>
      </c>
    </row>
    <row r="329" spans="2:66">
      <c r="B329" s="90" t="s">
        <v>20</v>
      </c>
      <c r="C329" s="90" t="s">
        <v>1157</v>
      </c>
      <c r="D329" s="90" t="s">
        <v>244</v>
      </c>
      <c r="E329" s="92" t="s">
        <v>265</v>
      </c>
      <c r="F329" s="93" t="s">
        <v>245</v>
      </c>
      <c r="G329" s="93"/>
      <c r="H329" s="94">
        <v>43511</v>
      </c>
      <c r="I329" s="95" t="s">
        <v>1158</v>
      </c>
      <c r="J329" s="95">
        <v>100</v>
      </c>
      <c r="K329" s="96">
        <v>4.024</v>
      </c>
      <c r="L329" s="97">
        <v>38.1839</v>
      </c>
      <c r="M329" s="97">
        <v>47.5</v>
      </c>
      <c r="N329" s="97">
        <v>47.5</v>
      </c>
      <c r="O329" s="96" t="s">
        <v>198</v>
      </c>
      <c r="P329" s="96" t="s">
        <v>198</v>
      </c>
      <c r="Q329" s="98" t="s">
        <v>381</v>
      </c>
      <c r="R329" s="99">
        <v>29.2928208630377</v>
      </c>
      <c r="S329" s="100">
        <v>0.005</v>
      </c>
      <c r="T329" s="100">
        <v>30.6968002236464</v>
      </c>
      <c r="U329" s="97">
        <v>31.0817762793249</v>
      </c>
      <c r="V329" s="97">
        <v>14.3176633654134</v>
      </c>
      <c r="W329" s="97">
        <v>16.6414108690027</v>
      </c>
      <c r="X329" s="97">
        <v>0.122702044908757</v>
      </c>
      <c r="Y329" s="97">
        <v>46.0644952744779</v>
      </c>
      <c r="Z329" s="97">
        <v>53.5407330631626</v>
      </c>
      <c r="AA329" s="97">
        <v>0.394771662359516</v>
      </c>
      <c r="AB329" s="97">
        <v>0.384976055678544</v>
      </c>
      <c r="AC329" s="97">
        <v>0</v>
      </c>
      <c r="AD329" s="124">
        <v>3.8141</v>
      </c>
      <c r="AE329" s="124">
        <v>3.8141</v>
      </c>
      <c r="AF329" s="124">
        <v>0</v>
      </c>
      <c r="AG329" s="97" t="s">
        <v>134</v>
      </c>
      <c r="AH329" s="97" t="s">
        <v>134</v>
      </c>
      <c r="AI329" s="97" t="s">
        <v>134</v>
      </c>
      <c r="AJ329" s="97"/>
      <c r="AK329" s="92" t="s">
        <v>134</v>
      </c>
      <c r="AL329" s="97">
        <v>25.9</v>
      </c>
      <c r="AM329" s="97">
        <v>0.6</v>
      </c>
      <c r="AN329" s="97">
        <v>2.5</v>
      </c>
      <c r="AO329" s="97">
        <v>0</v>
      </c>
      <c r="AP329" s="97">
        <v>0</v>
      </c>
      <c r="AQ329" s="97">
        <v>0</v>
      </c>
      <c r="AR329" s="97">
        <v>0</v>
      </c>
      <c r="AS329" s="97">
        <v>9.1839</v>
      </c>
      <c r="AT329" s="97">
        <f t="shared" si="73"/>
        <v>12.2839</v>
      </c>
      <c r="AU329" s="97">
        <f t="shared" si="74"/>
        <v>32.1703649967657</v>
      </c>
      <c r="AV329" s="97">
        <v>0</v>
      </c>
      <c r="AW329" s="90" t="s">
        <v>1159</v>
      </c>
      <c r="AX329" s="90" t="s">
        <v>248</v>
      </c>
      <c r="AY329" s="90" t="s">
        <v>1160</v>
      </c>
      <c r="AZ329" s="90" t="s">
        <v>212</v>
      </c>
      <c r="BA329" s="106" t="s">
        <v>322</v>
      </c>
      <c r="BB329" s="90" t="s">
        <v>1161</v>
      </c>
      <c r="BC329" s="93">
        <v>4</v>
      </c>
      <c r="BD329" s="93">
        <v>8</v>
      </c>
      <c r="BE329" s="59">
        <f>U329/((VLOOKUP(B329,'Cell-Characteristics'!$B$4:$E$34,3,FALSE)*VLOOKUP(B329,'Cell-Characteristics'!$B$4:$E$34,4,FALSE)*3600)/1000)</f>
        <v>1.12639618320377</v>
      </c>
      <c r="BF329" s="90">
        <f t="shared" si="62"/>
        <v>3753.87728832842</v>
      </c>
      <c r="BG329" s="90">
        <f t="shared" si="60"/>
        <v>4363.12914422872</v>
      </c>
      <c r="BH329" s="90" t="e">
        <f t="shared" si="61"/>
        <v>#DIV/0!</v>
      </c>
      <c r="BI329" s="90">
        <f t="shared" si="63"/>
        <v>12223.7656115433</v>
      </c>
      <c r="BJ329" s="90">
        <f>BF329/((VLOOKUP(B329,'Cell-Characteristics'!$B$4:$Q$34,13,FALSE)))</f>
        <v>102.179685566128</v>
      </c>
      <c r="BK329" s="90">
        <f>BG329/((VLOOKUP(B329,'Cell-Characteristics'!$B$4:$Q$34,14,FALSE)))</f>
        <v>1715.47107974708</v>
      </c>
      <c r="BL329" s="90" t="e">
        <f>BH329/((VLOOKUP(B329,'Cell-Characteristics'!$B$4:$Q$34,15,FALSE)))</f>
        <v>#DIV/0!</v>
      </c>
      <c r="BM329" s="90">
        <f>BI329/((VLOOKUP(B329,'Cell-Characteristics'!$B$4:$Q$34,16,FALSE)))</f>
        <v>292.261185027623</v>
      </c>
      <c r="BN329" s="50">
        <f t="shared" si="59"/>
        <v>2.54273333333333</v>
      </c>
    </row>
    <row r="330" spans="2:66">
      <c r="B330" s="90" t="s">
        <v>20</v>
      </c>
      <c r="C330" s="91" t="s">
        <v>1162</v>
      </c>
      <c r="D330" s="90" t="s">
        <v>244</v>
      </c>
      <c r="E330" s="92" t="s">
        <v>265</v>
      </c>
      <c r="F330" s="93" t="s">
        <v>245</v>
      </c>
      <c r="G330" s="93"/>
      <c r="H330" s="94">
        <v>43511</v>
      </c>
      <c r="I330" s="95" t="s">
        <v>1163</v>
      </c>
      <c r="J330" s="95">
        <v>100</v>
      </c>
      <c r="K330" s="96">
        <v>4.162</v>
      </c>
      <c r="L330" s="97">
        <v>38.2044</v>
      </c>
      <c r="M330" s="97">
        <v>51.1</v>
      </c>
      <c r="N330" s="97">
        <v>47.5</v>
      </c>
      <c r="O330" s="96" t="s">
        <v>198</v>
      </c>
      <c r="P330" s="96" t="s">
        <v>198</v>
      </c>
      <c r="Q330" s="98" t="s">
        <v>381</v>
      </c>
      <c r="R330" s="99">
        <v>30.6941705384805</v>
      </c>
      <c r="S330" s="100">
        <v>0.005</v>
      </c>
      <c r="T330" s="100">
        <v>31.7672318382629</v>
      </c>
      <c r="U330" s="97">
        <v>32.1380696840397</v>
      </c>
      <c r="V330" s="97">
        <v>17.7461893019043</v>
      </c>
      <c r="W330" s="97">
        <v>14.3045862567431</v>
      </c>
      <c r="X330" s="97">
        <v>0.0872941253922718</v>
      </c>
      <c r="Y330" s="97">
        <v>55.2185911486692</v>
      </c>
      <c r="Z330" s="97">
        <v>44.5097866716216</v>
      </c>
      <c r="AA330" s="97">
        <v>0.271622179709267</v>
      </c>
      <c r="AB330" s="97">
        <v>0.370837845776832</v>
      </c>
      <c r="AC330" s="97">
        <v>0</v>
      </c>
      <c r="AD330" s="124">
        <v>4.3134</v>
      </c>
      <c r="AE330" s="124">
        <v>4.3134</v>
      </c>
      <c r="AF330" s="124">
        <v>0</v>
      </c>
      <c r="AG330" s="97" t="s">
        <v>134</v>
      </c>
      <c r="AH330" s="97" t="s">
        <v>134</v>
      </c>
      <c r="AI330" s="97" t="s">
        <v>134</v>
      </c>
      <c r="AJ330" s="97"/>
      <c r="AK330" s="92" t="s">
        <v>134</v>
      </c>
      <c r="AL330" s="97">
        <v>25.4</v>
      </c>
      <c r="AM330" s="97">
        <v>1.1</v>
      </c>
      <c r="AN330" s="97">
        <v>2.9</v>
      </c>
      <c r="AO330" s="97">
        <v>0.2</v>
      </c>
      <c r="AP330" s="97">
        <v>0</v>
      </c>
      <c r="AQ330" s="97">
        <v>0</v>
      </c>
      <c r="AR330" s="97">
        <v>0</v>
      </c>
      <c r="AS330" s="97">
        <v>8.6044</v>
      </c>
      <c r="AT330" s="97">
        <f t="shared" si="73"/>
        <v>12.8044</v>
      </c>
      <c r="AU330" s="97">
        <f t="shared" si="74"/>
        <v>33.5155113023631</v>
      </c>
      <c r="AV330" s="97">
        <v>0</v>
      </c>
      <c r="AW330" s="90" t="s">
        <v>1164</v>
      </c>
      <c r="AX330" s="90" t="s">
        <v>248</v>
      </c>
      <c r="AY330" s="90" t="s">
        <v>1165</v>
      </c>
      <c r="AZ330" s="90" t="s">
        <v>212</v>
      </c>
      <c r="BA330" s="90" t="s">
        <v>204</v>
      </c>
      <c r="BB330" s="90" t="s">
        <v>1166</v>
      </c>
      <c r="BC330" s="93">
        <v>9</v>
      </c>
      <c r="BD330" s="93">
        <v>18</v>
      </c>
      <c r="BE330" s="59">
        <f>U330/((VLOOKUP(B330,'Cell-Characteristics'!$B$4:$E$34,3,FALSE)*VLOOKUP(B330,'Cell-Characteristics'!$B$4:$E$34,4,FALSE)*3600)/1000)</f>
        <v>1.16467600507501</v>
      </c>
      <c r="BF330" s="90">
        <f t="shared" si="62"/>
        <v>4114.19977324252</v>
      </c>
      <c r="BG330" s="90">
        <f t="shared" si="60"/>
        <v>3316.31340862038</v>
      </c>
      <c r="BH330" s="90" t="e">
        <f t="shared" si="61"/>
        <v>#DIV/0!</v>
      </c>
      <c r="BI330" s="90">
        <f t="shared" si="63"/>
        <v>11176.1266115036</v>
      </c>
      <c r="BJ330" s="90">
        <f>BF330/((VLOOKUP(B330,'Cell-Characteristics'!$B$4:$Q$34,13,FALSE)))</f>
        <v>111.987581611479</v>
      </c>
      <c r="BK330" s="90">
        <f>BG330/((VLOOKUP(B330,'Cell-Characteristics'!$B$4:$Q$34,14,FALSE)))</f>
        <v>1303.88983589698</v>
      </c>
      <c r="BL330" s="90" t="e">
        <f>BH330/((VLOOKUP(B330,'Cell-Characteristics'!$B$4:$Q$34,15,FALSE)))</f>
        <v>#DIV/0!</v>
      </c>
      <c r="BM330" s="90">
        <f>BI330/((VLOOKUP(B330,'Cell-Characteristics'!$B$4:$Q$34,16,FALSE)))</f>
        <v>267.212912231585</v>
      </c>
      <c r="BN330" s="50">
        <f t="shared" si="59"/>
        <v>2.8756</v>
      </c>
    </row>
    <row r="331" spans="2:66">
      <c r="B331" s="90" t="s">
        <v>20</v>
      </c>
      <c r="C331" s="91" t="s">
        <v>1167</v>
      </c>
      <c r="D331" s="90" t="s">
        <v>244</v>
      </c>
      <c r="E331" s="92" t="s">
        <v>265</v>
      </c>
      <c r="F331" s="93" t="s">
        <v>245</v>
      </c>
      <c r="G331" s="93"/>
      <c r="H331" s="94">
        <v>43511</v>
      </c>
      <c r="I331" s="95" t="s">
        <v>1168</v>
      </c>
      <c r="J331" s="95">
        <v>100</v>
      </c>
      <c r="K331" s="96">
        <v>4.159</v>
      </c>
      <c r="L331" s="97">
        <v>38.1274</v>
      </c>
      <c r="M331" s="97">
        <v>47.2</v>
      </c>
      <c r="N331" s="97">
        <v>47.5</v>
      </c>
      <c r="O331" s="96" t="s">
        <v>198</v>
      </c>
      <c r="P331" s="96" t="s">
        <v>198</v>
      </c>
      <c r="Q331" s="98" t="s">
        <v>381</v>
      </c>
      <c r="R331" s="99">
        <v>31.5547005133714</v>
      </c>
      <c r="S331" s="100">
        <v>0.006</v>
      </c>
      <c r="T331" s="100">
        <v>32.5756710246099</v>
      </c>
      <c r="U331" s="97">
        <v>32.8359328106986</v>
      </c>
      <c r="V331" s="97">
        <v>20.3659676962036</v>
      </c>
      <c r="W331" s="97">
        <v>12.121329112789</v>
      </c>
      <c r="X331" s="97">
        <v>0.348636001706066</v>
      </c>
      <c r="Y331" s="97">
        <v>62.0234174969682</v>
      </c>
      <c r="Z331" s="97">
        <v>36.9148310257219</v>
      </c>
      <c r="AA331" s="97">
        <v>1.06175147730986</v>
      </c>
      <c r="AB331" s="97">
        <v>0.260261786088696</v>
      </c>
      <c r="AC331" s="97">
        <v>0</v>
      </c>
      <c r="AD331" s="124">
        <v>4.0149</v>
      </c>
      <c r="AE331" s="124">
        <v>4.0149</v>
      </c>
      <c r="AF331" s="124">
        <v>0</v>
      </c>
      <c r="AG331" s="97" t="s">
        <v>134</v>
      </c>
      <c r="AH331" s="97" t="s">
        <v>134</v>
      </c>
      <c r="AI331" s="97" t="s">
        <v>134</v>
      </c>
      <c r="AJ331" s="97"/>
      <c r="AK331" s="92" t="s">
        <v>134</v>
      </c>
      <c r="AL331" s="97">
        <v>27.4</v>
      </c>
      <c r="AM331" s="97">
        <v>1.1</v>
      </c>
      <c r="AN331" s="97">
        <v>1.7</v>
      </c>
      <c r="AO331" s="97">
        <v>0.1</v>
      </c>
      <c r="AP331" s="97">
        <v>0</v>
      </c>
      <c r="AQ331" s="97">
        <v>0</v>
      </c>
      <c r="AR331" s="97">
        <v>0</v>
      </c>
      <c r="AS331" s="97">
        <v>7.8274</v>
      </c>
      <c r="AT331" s="97">
        <f t="shared" si="73"/>
        <v>10.7274</v>
      </c>
      <c r="AU331" s="97">
        <f t="shared" si="74"/>
        <v>28.1356714593704</v>
      </c>
      <c r="AV331" s="97">
        <v>0</v>
      </c>
      <c r="AW331" s="90" t="s">
        <v>1169</v>
      </c>
      <c r="AX331" s="90" t="s">
        <v>248</v>
      </c>
      <c r="AY331" s="90" t="s">
        <v>1170</v>
      </c>
      <c r="AZ331" s="90" t="s">
        <v>212</v>
      </c>
      <c r="BA331" s="90" t="s">
        <v>204</v>
      </c>
      <c r="BB331" s="90" t="s">
        <v>1171</v>
      </c>
      <c r="BC331" s="93">
        <v>7</v>
      </c>
      <c r="BD331" s="93">
        <v>14</v>
      </c>
      <c r="BE331" s="59">
        <f>U331/((VLOOKUP(B331,'Cell-Characteristics'!$B$4:$E$34,3,FALSE)*VLOOKUP(B331,'Cell-Characteristics'!$B$4:$E$34,4,FALSE)*3600)/1000)</f>
        <v>1.18996639888014</v>
      </c>
      <c r="BF331" s="90">
        <f t="shared" si="62"/>
        <v>5072.59650208065</v>
      </c>
      <c r="BG331" s="90">
        <f t="shared" si="60"/>
        <v>3019.08618216867</v>
      </c>
      <c r="BH331" s="90" t="e">
        <f t="shared" si="61"/>
        <v>#DIV/0!</v>
      </c>
      <c r="BI331" s="90">
        <f t="shared" si="63"/>
        <v>12267.7773334449</v>
      </c>
      <c r="BJ331" s="90">
        <f>BF331/((VLOOKUP(B331,'Cell-Characteristics'!$B$4:$Q$34,13,FALSE)))</f>
        <v>138.074922480283</v>
      </c>
      <c r="BK331" s="90">
        <f>BG331/((VLOOKUP(B331,'Cell-Characteristics'!$B$4:$Q$34,14,FALSE)))</f>
        <v>1187.02767247333</v>
      </c>
      <c r="BL331" s="90" t="e">
        <f>BH331/((VLOOKUP(B331,'Cell-Characteristics'!$B$4:$Q$34,15,FALSE)))</f>
        <v>#DIV/0!</v>
      </c>
      <c r="BM331" s="90">
        <f>BI331/((VLOOKUP(B331,'Cell-Characteristics'!$B$4:$Q$34,16,FALSE)))</f>
        <v>293.313472711045</v>
      </c>
      <c r="BN331" s="50">
        <f t="shared" ref="BN331:BN368" si="75">AVERAGE(AD331:AF331)</f>
        <v>2.6766</v>
      </c>
    </row>
    <row r="332" spans="2:66">
      <c r="B332" s="90" t="s">
        <v>18</v>
      </c>
      <c r="C332" s="90" t="s">
        <v>1172</v>
      </c>
      <c r="D332" s="90" t="s">
        <v>244</v>
      </c>
      <c r="E332" s="92" t="s">
        <v>194</v>
      </c>
      <c r="F332" s="93" t="s">
        <v>245</v>
      </c>
      <c r="G332" s="93"/>
      <c r="H332" s="94">
        <v>43510</v>
      </c>
      <c r="I332" s="95" t="s">
        <v>1173</v>
      </c>
      <c r="J332" s="95">
        <v>100</v>
      </c>
      <c r="K332" s="96">
        <v>4.18</v>
      </c>
      <c r="L332" s="97">
        <v>40.9975</v>
      </c>
      <c r="M332" s="97">
        <v>51</v>
      </c>
      <c r="N332" s="97">
        <v>46.8</v>
      </c>
      <c r="O332" s="96" t="s">
        <v>198</v>
      </c>
      <c r="P332" s="96" t="s">
        <v>198</v>
      </c>
      <c r="Q332" s="98" t="s">
        <v>381</v>
      </c>
      <c r="R332" s="99">
        <v>23.2942781655393</v>
      </c>
      <c r="S332" s="100">
        <v>0.014</v>
      </c>
      <c r="T332" s="100">
        <v>25.7929090886075</v>
      </c>
      <c r="U332" s="97">
        <v>26.6143625467564</v>
      </c>
      <c r="V332" s="97">
        <v>5.00588467791838</v>
      </c>
      <c r="W332" s="97">
        <v>20.4816543780418</v>
      </c>
      <c r="X332" s="97">
        <v>1.12682349079618</v>
      </c>
      <c r="Y332" s="97">
        <v>18.8089595199735</v>
      </c>
      <c r="Z332" s="97">
        <v>76.9571480138194</v>
      </c>
      <c r="AA332" s="97">
        <v>4.23389246620719</v>
      </c>
      <c r="AB332" s="97">
        <v>0.82145345814885</v>
      </c>
      <c r="AC332" s="97">
        <v>0</v>
      </c>
      <c r="AD332" s="120">
        <v>2</v>
      </c>
      <c r="AE332" s="120">
        <v>2</v>
      </c>
      <c r="AF332" s="120">
        <v>2</v>
      </c>
      <c r="AG332" s="97">
        <v>950.604635228071</v>
      </c>
      <c r="AH332" s="97">
        <v>64.2085</v>
      </c>
      <c r="AI332" s="97">
        <v>61.1999479914049</v>
      </c>
      <c r="AJ332" s="97"/>
      <c r="AK332" s="92">
        <v>128.71926</v>
      </c>
      <c r="AL332" s="97">
        <v>10.3</v>
      </c>
      <c r="AM332" s="97">
        <v>14.3</v>
      </c>
      <c r="AN332" s="97">
        <v>3.9</v>
      </c>
      <c r="AO332" s="97">
        <v>1.8</v>
      </c>
      <c r="AP332" s="97">
        <v>0.1</v>
      </c>
      <c r="AQ332" s="97">
        <v>0.5</v>
      </c>
      <c r="AR332" s="97">
        <v>1.5</v>
      </c>
      <c r="AS332" s="97">
        <v>8.5975</v>
      </c>
      <c r="AT332" s="97">
        <f t="shared" si="73"/>
        <v>30.6975</v>
      </c>
      <c r="AU332" s="97">
        <f t="shared" si="74"/>
        <v>74.8765168607842</v>
      </c>
      <c r="AV332" s="97">
        <v>0</v>
      </c>
      <c r="AW332" s="90" t="s">
        <v>1174</v>
      </c>
      <c r="AX332" s="90" t="s">
        <v>248</v>
      </c>
      <c r="AY332" s="90" t="s">
        <v>1175</v>
      </c>
      <c r="AZ332" s="90" t="s">
        <v>212</v>
      </c>
      <c r="BA332" s="106" t="s">
        <v>322</v>
      </c>
      <c r="BB332" s="90" t="s">
        <v>1176</v>
      </c>
      <c r="BC332" s="93">
        <v>6</v>
      </c>
      <c r="BD332" s="93">
        <v>12</v>
      </c>
      <c r="BE332" s="59">
        <f>U332/((VLOOKUP(B332,'Cell-Characteristics'!$B$4:$E$34,3,FALSE)*VLOOKUP(B332,'Cell-Characteristics'!$B$4:$E$34,4,FALSE)*3600)/1000)</f>
        <v>0.964498171586444</v>
      </c>
      <c r="BF332" s="90">
        <f t="shared" si="62"/>
        <v>2502.94233895919</v>
      </c>
      <c r="BG332" s="90">
        <f t="shared" ref="BG332:BG368" si="76">(1000*W332)/AE332</f>
        <v>10240.8271890209</v>
      </c>
      <c r="BH332" s="90">
        <f t="shared" ref="BH332:BH368" si="77">(1000*X332)/AF332</f>
        <v>563.411745398092</v>
      </c>
      <c r="BI332" s="90">
        <f t="shared" si="63"/>
        <v>13307.1812733782</v>
      </c>
      <c r="BJ332" s="90">
        <f>BF332/((VLOOKUP(B332,'Cell-Characteristics'!$B$4:$Q$34,13,FALSE)))</f>
        <v>68.1295209036744</v>
      </c>
      <c r="BK332" s="90">
        <f>BG332/((VLOOKUP(B332,'Cell-Characteristics'!$B$4:$Q$34,14,FALSE)))</f>
        <v>4026.43201581383</v>
      </c>
      <c r="BL332" s="90">
        <f>BH332/((VLOOKUP(B332,'Cell-Characteristics'!$B$4:$Q$34,15,FALSE)))</f>
        <v>221.519126129626</v>
      </c>
      <c r="BM332" s="90">
        <f>BI332/((VLOOKUP(B332,'Cell-Characteristics'!$B$4:$Q$34,16,FALSE)))</f>
        <v>318.164851317357</v>
      </c>
      <c r="BN332" s="50">
        <f t="shared" si="75"/>
        <v>2</v>
      </c>
    </row>
    <row r="333" spans="2:66">
      <c r="B333" s="90" t="s">
        <v>18</v>
      </c>
      <c r="C333" s="91" t="s">
        <v>1177</v>
      </c>
      <c r="D333" s="90" t="s">
        <v>244</v>
      </c>
      <c r="E333" s="92" t="s">
        <v>194</v>
      </c>
      <c r="F333" s="93" t="s">
        <v>245</v>
      </c>
      <c r="G333" s="93"/>
      <c r="H333" s="94">
        <v>43510</v>
      </c>
      <c r="I333" s="95" t="s">
        <v>1178</v>
      </c>
      <c r="J333" s="95">
        <v>100</v>
      </c>
      <c r="K333" s="96">
        <v>4.179</v>
      </c>
      <c r="L333" s="97">
        <v>41.2176</v>
      </c>
      <c r="M333" s="97">
        <v>48.5</v>
      </c>
      <c r="N333" s="97">
        <v>45.5</v>
      </c>
      <c r="O333" s="96" t="s">
        <v>198</v>
      </c>
      <c r="P333" s="96" t="s">
        <v>198</v>
      </c>
      <c r="Q333" s="98" t="s">
        <v>381</v>
      </c>
      <c r="R333" s="99">
        <v>25.9336044737236</v>
      </c>
      <c r="S333" s="100">
        <v>0.024</v>
      </c>
      <c r="T333" s="100">
        <v>28.0978127460992</v>
      </c>
      <c r="U333" s="97">
        <v>29.1539226778767</v>
      </c>
      <c r="V333" s="97">
        <v>2.84754147176221</v>
      </c>
      <c r="W333" s="97">
        <v>25.7432862514783</v>
      </c>
      <c r="X333" s="97">
        <v>0.56309495463626</v>
      </c>
      <c r="Y333" s="97">
        <v>9.76726700974291</v>
      </c>
      <c r="Z333" s="97">
        <v>88.3012777934456</v>
      </c>
      <c r="AA333" s="97">
        <v>1.93145519681151</v>
      </c>
      <c r="AB333" s="97">
        <v>1.05610993177757</v>
      </c>
      <c r="AC333" s="97">
        <v>0</v>
      </c>
      <c r="AD333" s="120">
        <v>2</v>
      </c>
      <c r="AE333" s="120">
        <v>2</v>
      </c>
      <c r="AF333" s="120">
        <v>2</v>
      </c>
      <c r="AG333" s="97">
        <v>953.813344514425</v>
      </c>
      <c r="AH333" s="97">
        <v>150.1266</v>
      </c>
      <c r="AI333" s="97">
        <v>81.6618794005285</v>
      </c>
      <c r="AJ333" s="97"/>
      <c r="AK333" s="92">
        <v>221.57762</v>
      </c>
      <c r="AL333" s="97">
        <v>15.4</v>
      </c>
      <c r="AM333" s="97">
        <v>8.6</v>
      </c>
      <c r="AN333" s="97">
        <v>5.9</v>
      </c>
      <c r="AO333" s="97">
        <v>3</v>
      </c>
      <c r="AP333" s="97">
        <v>0</v>
      </c>
      <c r="AQ333" s="97">
        <v>0</v>
      </c>
      <c r="AR333" s="97">
        <v>0</v>
      </c>
      <c r="AS333" s="97">
        <v>8.3176</v>
      </c>
      <c r="AT333" s="97">
        <f t="shared" si="73"/>
        <v>25.8176</v>
      </c>
      <c r="AU333" s="97">
        <f t="shared" si="74"/>
        <v>62.6373199798145</v>
      </c>
      <c r="AV333" s="97">
        <v>0</v>
      </c>
      <c r="AW333" s="90" t="s">
        <v>1179</v>
      </c>
      <c r="AX333" s="90" t="s">
        <v>248</v>
      </c>
      <c r="AY333" s="90" t="s">
        <v>1180</v>
      </c>
      <c r="AZ333" s="90" t="s">
        <v>212</v>
      </c>
      <c r="BA333" s="90" t="s">
        <v>204</v>
      </c>
      <c r="BB333" s="90" t="s">
        <v>134</v>
      </c>
      <c r="BC333" s="93">
        <v>7</v>
      </c>
      <c r="BD333" s="93">
        <v>14</v>
      </c>
      <c r="BE333" s="59">
        <f>U333/((VLOOKUP(B333,'Cell-Characteristics'!$B$4:$E$34,3,FALSE)*VLOOKUP(B333,'Cell-Characteristics'!$B$4:$E$34,4,FALSE)*3600)/1000)</f>
        <v>1.0565312270014</v>
      </c>
      <c r="BF333" s="90">
        <f t="shared" ref="BF333:BF368" si="78">(1000*V333)/AD333</f>
        <v>1423.7707358811</v>
      </c>
      <c r="BG333" s="90">
        <f t="shared" si="76"/>
        <v>12871.6431257391</v>
      </c>
      <c r="BH333" s="90">
        <f t="shared" si="77"/>
        <v>281.54747731813</v>
      </c>
      <c r="BI333" s="90">
        <f t="shared" ref="BI333:BI368" si="79">(1000*U333)/AVERAGE(AD333:AF333)</f>
        <v>14576.9613389384</v>
      </c>
      <c r="BJ333" s="90">
        <f>BF333/((VLOOKUP(B333,'Cell-Characteristics'!$B$4:$Q$34,13,FALSE)))</f>
        <v>38.7547154412626</v>
      </c>
      <c r="BK333" s="90">
        <f>BG333/((VLOOKUP(B333,'Cell-Characteristics'!$B$4:$Q$34,14,FALSE)))</f>
        <v>5060.80173222424</v>
      </c>
      <c r="BL333" s="90">
        <f>BH333/((VLOOKUP(B333,'Cell-Characteristics'!$B$4:$Q$34,15,FALSE)))</f>
        <v>110.69728604157</v>
      </c>
      <c r="BM333" s="90">
        <f>BI333/((VLOOKUP(B333,'Cell-Characteristics'!$B$4:$Q$34,16,FALSE)))</f>
        <v>348.524352511868</v>
      </c>
      <c r="BN333" s="50">
        <f t="shared" si="75"/>
        <v>2</v>
      </c>
    </row>
    <row r="334" spans="2:66">
      <c r="B334" s="90" t="s">
        <v>18</v>
      </c>
      <c r="C334" s="90" t="s">
        <v>1181</v>
      </c>
      <c r="D334" s="90" t="s">
        <v>244</v>
      </c>
      <c r="E334" s="92" t="s">
        <v>228</v>
      </c>
      <c r="F334" s="93" t="s">
        <v>245</v>
      </c>
      <c r="G334" s="93"/>
      <c r="H334" s="94">
        <v>43510</v>
      </c>
      <c r="I334" s="95" t="s">
        <v>1182</v>
      </c>
      <c r="J334" s="95">
        <v>100</v>
      </c>
      <c r="K334" s="96">
        <v>4.128</v>
      </c>
      <c r="L334" s="97">
        <v>40.3829</v>
      </c>
      <c r="M334" s="97">
        <v>50.3</v>
      </c>
      <c r="N334" s="97">
        <v>47.5</v>
      </c>
      <c r="O334" s="96" t="s">
        <v>198</v>
      </c>
      <c r="P334" s="96" t="s">
        <v>198</v>
      </c>
      <c r="Q334" s="98" t="s">
        <v>381</v>
      </c>
      <c r="R334" s="99">
        <v>21.5469557182833</v>
      </c>
      <c r="S334" s="100">
        <v>0.024</v>
      </c>
      <c r="T334" s="100">
        <v>27.8564530967169</v>
      </c>
      <c r="U334" s="97">
        <v>28.398633142727</v>
      </c>
      <c r="V334" s="97" t="s">
        <v>134</v>
      </c>
      <c r="W334" s="97" t="s">
        <v>134</v>
      </c>
      <c r="X334" s="97" t="s">
        <v>134</v>
      </c>
      <c r="Y334" s="97" t="s">
        <v>134</v>
      </c>
      <c r="Z334" s="97" t="s">
        <v>134</v>
      </c>
      <c r="AA334" s="97" t="s">
        <v>134</v>
      </c>
      <c r="AB334" s="97">
        <v>0.542180046010146</v>
      </c>
      <c r="AC334" s="97">
        <v>0</v>
      </c>
      <c r="AD334" s="120">
        <v>2</v>
      </c>
      <c r="AE334" s="120">
        <v>2</v>
      </c>
      <c r="AF334" s="120">
        <v>2</v>
      </c>
      <c r="AG334" s="97">
        <v>949.270919777239</v>
      </c>
      <c r="AH334" s="97">
        <v>129.4659</v>
      </c>
      <c r="AI334" s="97">
        <v>88.3292801027349</v>
      </c>
      <c r="AJ334" s="97"/>
      <c r="AK334" s="92">
        <v>245.62439</v>
      </c>
      <c r="AL334" s="97">
        <v>11.8</v>
      </c>
      <c r="AM334" s="97">
        <v>15.3</v>
      </c>
      <c r="AN334" s="97">
        <v>4.4</v>
      </c>
      <c r="AO334" s="97">
        <v>0.7</v>
      </c>
      <c r="AP334" s="97">
        <v>0.1</v>
      </c>
      <c r="AQ334" s="97">
        <v>0.3</v>
      </c>
      <c r="AR334" s="97">
        <v>0.1</v>
      </c>
      <c r="AS334" s="97">
        <v>7.6829</v>
      </c>
      <c r="AT334" s="97">
        <f t="shared" si="73"/>
        <v>28.5829</v>
      </c>
      <c r="AU334" s="97">
        <f t="shared" si="74"/>
        <v>70.7797112144002</v>
      </c>
      <c r="AV334" s="97">
        <v>0</v>
      </c>
      <c r="AW334" s="90" t="s">
        <v>134</v>
      </c>
      <c r="AX334" s="90" t="s">
        <v>248</v>
      </c>
      <c r="AY334" s="90" t="s">
        <v>1183</v>
      </c>
      <c r="AZ334" s="90" t="s">
        <v>212</v>
      </c>
      <c r="BA334" s="106" t="s">
        <v>322</v>
      </c>
      <c r="BB334" s="90" t="s">
        <v>1184</v>
      </c>
      <c r="BC334" s="93">
        <v>5</v>
      </c>
      <c r="BD334" s="93">
        <v>10</v>
      </c>
      <c r="BE334" s="59">
        <f>U334/((VLOOKUP(B334,'Cell-Characteristics'!$B$4:$E$34,3,FALSE)*VLOOKUP(B334,'Cell-Characteristics'!$B$4:$E$34,4,FALSE)*3600)/1000)</f>
        <v>1.02915971380471</v>
      </c>
      <c r="BF334" s="90" t="s">
        <v>134</v>
      </c>
      <c r="BG334" s="90" t="s">
        <v>134</v>
      </c>
      <c r="BH334" s="90" t="s">
        <v>134</v>
      </c>
      <c r="BI334" s="90">
        <f t="shared" si="79"/>
        <v>14199.3165713635</v>
      </c>
      <c r="BJ334" s="90" t="s">
        <v>134</v>
      </c>
      <c r="BK334" s="90" t="s">
        <v>134</v>
      </c>
      <c r="BL334" s="90" t="s">
        <v>134</v>
      </c>
      <c r="BM334" s="90">
        <f>BI334/((VLOOKUP(B334,'Cell-Characteristics'!$B$4:$Q$34,16,FALSE)))</f>
        <v>339.495145735629</v>
      </c>
      <c r="BN334" s="50">
        <f t="shared" si="75"/>
        <v>2</v>
      </c>
    </row>
    <row r="335" spans="2:66">
      <c r="B335" s="90" t="s">
        <v>18</v>
      </c>
      <c r="C335" s="91" t="s">
        <v>1185</v>
      </c>
      <c r="D335" s="90" t="s">
        <v>244</v>
      </c>
      <c r="E335" s="92" t="s">
        <v>228</v>
      </c>
      <c r="F335" s="93" t="s">
        <v>245</v>
      </c>
      <c r="G335" s="93"/>
      <c r="H335" s="94">
        <v>43510</v>
      </c>
      <c r="I335" s="95" t="s">
        <v>1186</v>
      </c>
      <c r="J335" s="95">
        <v>100</v>
      </c>
      <c r="K335" s="96">
        <v>4.129</v>
      </c>
      <c r="L335" s="97">
        <v>40.4173</v>
      </c>
      <c r="M335" s="97">
        <v>50.7</v>
      </c>
      <c r="N335" s="97">
        <v>50.7</v>
      </c>
      <c r="O335" s="96" t="s">
        <v>198</v>
      </c>
      <c r="P335" s="96" t="s">
        <v>198</v>
      </c>
      <c r="Q335" s="98" t="s">
        <v>381</v>
      </c>
      <c r="R335" s="99">
        <v>22.1547015857161</v>
      </c>
      <c r="S335" s="100">
        <v>0.025</v>
      </c>
      <c r="T335" s="100">
        <v>25.2876121001649</v>
      </c>
      <c r="U335" s="97">
        <v>26.4286908135362</v>
      </c>
      <c r="V335" s="97">
        <v>0.557317782114223</v>
      </c>
      <c r="W335" s="97">
        <v>25.2134084973922</v>
      </c>
      <c r="X335" s="97">
        <v>0.657964534029877</v>
      </c>
      <c r="Y335" s="97">
        <v>2.10876046054001</v>
      </c>
      <c r="Z335" s="97">
        <v>95.4016552514147</v>
      </c>
      <c r="AA335" s="97">
        <v>2.48958428804533</v>
      </c>
      <c r="AB335" s="97">
        <v>1.14107871337136</v>
      </c>
      <c r="AC335" s="97">
        <v>0</v>
      </c>
      <c r="AD335" s="120">
        <v>2</v>
      </c>
      <c r="AE335" s="120">
        <v>2</v>
      </c>
      <c r="AF335" s="120">
        <v>2</v>
      </c>
      <c r="AG335" s="97">
        <v>950.298373604112</v>
      </c>
      <c r="AH335" s="97">
        <v>133.3877</v>
      </c>
      <c r="AI335" s="97">
        <v>89.7921909993916</v>
      </c>
      <c r="AJ335" s="97"/>
      <c r="AK335" s="92">
        <v>243.10553</v>
      </c>
      <c r="AL335" s="97">
        <v>9</v>
      </c>
      <c r="AM335" s="97">
        <v>14.2</v>
      </c>
      <c r="AN335" s="97">
        <v>4.4</v>
      </c>
      <c r="AO335" s="97">
        <v>2.9</v>
      </c>
      <c r="AP335" s="97">
        <v>0</v>
      </c>
      <c r="AQ335" s="97">
        <v>0</v>
      </c>
      <c r="AR335" s="97">
        <v>0</v>
      </c>
      <c r="AS335" s="97">
        <v>9.9173</v>
      </c>
      <c r="AT335" s="97">
        <f t="shared" si="73"/>
        <v>31.4173</v>
      </c>
      <c r="AU335" s="97">
        <f t="shared" si="74"/>
        <v>77.7323076999206</v>
      </c>
      <c r="AV335" s="97">
        <v>0</v>
      </c>
      <c r="AW335" s="90" t="s">
        <v>1187</v>
      </c>
      <c r="AX335" s="90" t="s">
        <v>248</v>
      </c>
      <c r="AY335" s="90" t="s">
        <v>1188</v>
      </c>
      <c r="AZ335" s="90" t="s">
        <v>212</v>
      </c>
      <c r="BA335" s="90" t="s">
        <v>204</v>
      </c>
      <c r="BB335" s="90" t="s">
        <v>1189</v>
      </c>
      <c r="BC335" s="93">
        <v>9</v>
      </c>
      <c r="BD335" s="93">
        <v>18</v>
      </c>
      <c r="BE335" s="59">
        <f>U335/((VLOOKUP(B335,'Cell-Characteristics'!$B$4:$E$34,3,FALSE)*VLOOKUP(B335,'Cell-Characteristics'!$B$4:$E$34,4,FALSE)*3600)/1000)</f>
        <v>0.957769472114816</v>
      </c>
      <c r="BF335" s="90">
        <f t="shared" si="78"/>
        <v>278.658891057111</v>
      </c>
      <c r="BG335" s="90">
        <f t="shared" si="76"/>
        <v>12606.7042486961</v>
      </c>
      <c r="BH335" s="90">
        <f t="shared" si="77"/>
        <v>328.982267014939</v>
      </c>
      <c r="BI335" s="90">
        <f t="shared" si="79"/>
        <v>13214.3454067681</v>
      </c>
      <c r="BJ335" s="90">
        <f>BF335/((VLOOKUP(B335,'Cell-Characteristics'!$B$4:$Q$34,13,FALSE)))</f>
        <v>7.58503160371036</v>
      </c>
      <c r="BK335" s="90">
        <f>BG335/((VLOOKUP(B335,'Cell-Characteristics'!$B$4:$Q$34,14,FALSE)))</f>
        <v>4956.63452413937</v>
      </c>
      <c r="BL335" s="90">
        <f>BH335/((VLOOKUP(B335,'Cell-Characteristics'!$B$4:$Q$34,15,FALSE)))</f>
        <v>129.34743532867</v>
      </c>
      <c r="BM335" s="90">
        <f>BI335/((VLOOKUP(B335,'Cell-Characteristics'!$B$4:$Q$34,16,FALSE)))</f>
        <v>315.945214484424</v>
      </c>
      <c r="BN335" s="50">
        <f t="shared" si="75"/>
        <v>2</v>
      </c>
    </row>
    <row r="336" spans="2:66">
      <c r="B336" s="90" t="s">
        <v>18</v>
      </c>
      <c r="C336" s="91" t="s">
        <v>1190</v>
      </c>
      <c r="D336" s="90" t="s">
        <v>244</v>
      </c>
      <c r="E336" s="92" t="s">
        <v>265</v>
      </c>
      <c r="F336" s="93" t="s">
        <v>245</v>
      </c>
      <c r="G336" s="93"/>
      <c r="H336" s="94">
        <v>43511</v>
      </c>
      <c r="I336" s="95" t="s">
        <v>1191</v>
      </c>
      <c r="J336" s="95">
        <v>100</v>
      </c>
      <c r="K336" s="96">
        <v>4.158</v>
      </c>
      <c r="L336" s="97">
        <v>40.5854</v>
      </c>
      <c r="M336" s="97">
        <v>48.6</v>
      </c>
      <c r="N336" s="97">
        <v>45.5</v>
      </c>
      <c r="O336" s="96" t="s">
        <v>198</v>
      </c>
      <c r="P336" s="96" t="s">
        <v>198</v>
      </c>
      <c r="Q336" s="98" t="s">
        <v>381</v>
      </c>
      <c r="R336" s="99">
        <v>31.0313246102567</v>
      </c>
      <c r="S336" s="100">
        <v>0.007</v>
      </c>
      <c r="T336" s="100">
        <v>32.4883740130175</v>
      </c>
      <c r="U336" s="97">
        <v>32.8352337450094</v>
      </c>
      <c r="V336" s="97">
        <v>16.7866811325252</v>
      </c>
      <c r="W336" s="97">
        <v>15.934054476366</v>
      </c>
      <c r="X336" s="97">
        <v>0.1144981361182</v>
      </c>
      <c r="Y336" s="97">
        <v>51.1239885267349</v>
      </c>
      <c r="Z336" s="97">
        <v>48.5273063688417</v>
      </c>
      <c r="AA336" s="97">
        <v>0.348705104423394</v>
      </c>
      <c r="AB336" s="97">
        <v>0.346859731991928</v>
      </c>
      <c r="AC336" s="97">
        <v>0</v>
      </c>
      <c r="AD336" s="120">
        <v>2</v>
      </c>
      <c r="AE336" s="120">
        <v>2</v>
      </c>
      <c r="AF336" s="120">
        <v>2</v>
      </c>
      <c r="AG336" s="97" t="s">
        <v>134</v>
      </c>
      <c r="AH336" s="97" t="s">
        <v>134</v>
      </c>
      <c r="AI336" s="97" t="s">
        <v>134</v>
      </c>
      <c r="AJ336" s="97"/>
      <c r="AK336" s="92" t="s">
        <v>134</v>
      </c>
      <c r="AL336" s="97">
        <v>28.9</v>
      </c>
      <c r="AM336" s="97">
        <v>0.5</v>
      </c>
      <c r="AN336" s="97">
        <v>1.8</v>
      </c>
      <c r="AO336" s="97">
        <v>0.1</v>
      </c>
      <c r="AP336" s="97">
        <v>0</v>
      </c>
      <c r="AQ336" s="97">
        <v>0</v>
      </c>
      <c r="AR336" s="97">
        <v>0</v>
      </c>
      <c r="AS336" s="97">
        <v>9.2854</v>
      </c>
      <c r="AT336" s="97">
        <f t="shared" si="73"/>
        <v>11.6854</v>
      </c>
      <c r="AU336" s="97">
        <f t="shared" si="74"/>
        <v>28.7921272181622</v>
      </c>
      <c r="AV336" s="97">
        <v>0</v>
      </c>
      <c r="AW336" s="90" t="s">
        <v>1192</v>
      </c>
      <c r="AX336" s="90" t="s">
        <v>248</v>
      </c>
      <c r="AY336" s="90" t="s">
        <v>1193</v>
      </c>
      <c r="AZ336" s="90" t="s">
        <v>212</v>
      </c>
      <c r="BA336" s="90" t="s">
        <v>204</v>
      </c>
      <c r="BB336" s="90" t="s">
        <v>1194</v>
      </c>
      <c r="BC336" s="93">
        <v>6</v>
      </c>
      <c r="BD336" s="93">
        <v>12</v>
      </c>
      <c r="BE336" s="59">
        <f>U336/((VLOOKUP(B336,'Cell-Characteristics'!$B$4:$E$34,3,FALSE)*VLOOKUP(B336,'Cell-Characteristics'!$B$4:$E$34,4,FALSE)*3600)/1000)</f>
        <v>1.18994106490576</v>
      </c>
      <c r="BF336" s="90">
        <f t="shared" si="78"/>
        <v>8393.3405662626</v>
      </c>
      <c r="BG336" s="90">
        <f t="shared" si="76"/>
        <v>7967.02723818301</v>
      </c>
      <c r="BH336" s="90">
        <f t="shared" si="77"/>
        <v>57.2490680591002</v>
      </c>
      <c r="BI336" s="90">
        <f t="shared" si="79"/>
        <v>16417.6168725047</v>
      </c>
      <c r="BJ336" s="90">
        <f>BF336/((VLOOKUP(B336,'Cell-Characteristics'!$B$4:$Q$34,13,FALSE)))</f>
        <v>228.464820247771</v>
      </c>
      <c r="BK336" s="90">
        <f>BG336/((VLOOKUP(B336,'Cell-Characteristics'!$B$4:$Q$34,14,FALSE)))</f>
        <v>3132.43187787332</v>
      </c>
      <c r="BL336" s="90">
        <f>BH336/((VLOOKUP(B336,'Cell-Characteristics'!$B$4:$Q$34,15,FALSE)))</f>
        <v>22.5088731851459</v>
      </c>
      <c r="BM336" s="90">
        <f>BI336/((VLOOKUP(B336,'Cell-Characteristics'!$B$4:$Q$34,16,FALSE)))</f>
        <v>392.533063457678</v>
      </c>
      <c r="BN336" s="50">
        <f t="shared" si="75"/>
        <v>2</v>
      </c>
    </row>
    <row r="337" spans="2:66">
      <c r="B337" s="90" t="s">
        <v>8</v>
      </c>
      <c r="C337" s="90" t="s">
        <v>1195</v>
      </c>
      <c r="D337" s="90" t="s">
        <v>227</v>
      </c>
      <c r="E337" s="92" t="s">
        <v>194</v>
      </c>
      <c r="F337" s="93" t="s">
        <v>229</v>
      </c>
      <c r="G337" s="93"/>
      <c r="H337" s="94">
        <v>43400</v>
      </c>
      <c r="I337" s="95" t="s">
        <v>1196</v>
      </c>
      <c r="J337" s="95">
        <v>100</v>
      </c>
      <c r="K337" s="96">
        <v>4.162</v>
      </c>
      <c r="L337" s="97">
        <v>40.8879</v>
      </c>
      <c r="M337" s="97">
        <v>45.1</v>
      </c>
      <c r="N337" s="97">
        <v>0</v>
      </c>
      <c r="O337" s="92" t="s">
        <v>198</v>
      </c>
      <c r="P337" s="92" t="s">
        <v>198</v>
      </c>
      <c r="Q337" s="98" t="s">
        <v>381</v>
      </c>
      <c r="R337" s="99">
        <v>34.3082597471674</v>
      </c>
      <c r="S337" s="100">
        <v>0.017</v>
      </c>
      <c r="T337" s="100">
        <v>38.3749301196299</v>
      </c>
      <c r="U337" s="97">
        <v>39.1155551655224</v>
      </c>
      <c r="V337" s="97">
        <v>19.0915079914807</v>
      </c>
      <c r="W337" s="97">
        <v>19.5323380191144</v>
      </c>
      <c r="X337" s="97">
        <v>0.491709154927295</v>
      </c>
      <c r="Y337" s="97">
        <v>48.8079688775798</v>
      </c>
      <c r="Z337" s="97">
        <v>49.9349630510441</v>
      </c>
      <c r="AA337" s="97">
        <v>1.25706807137612</v>
      </c>
      <c r="AB337" s="97">
        <v>0.740625045892578</v>
      </c>
      <c r="AC337" s="97">
        <v>0</v>
      </c>
      <c r="AD337" s="120">
        <v>2</v>
      </c>
      <c r="AE337" s="120">
        <v>2</v>
      </c>
      <c r="AF337" s="120">
        <v>2</v>
      </c>
      <c r="AG337" s="97">
        <v>962.113388096986</v>
      </c>
      <c r="AH337" s="97">
        <v>48.2851</v>
      </c>
      <c r="AI337" s="97">
        <v>46.6621846027236</v>
      </c>
      <c r="AJ337" s="97"/>
      <c r="AK337" s="92">
        <v>96.08643</v>
      </c>
      <c r="AL337" s="97">
        <v>27.04</v>
      </c>
      <c r="AM337" s="97">
        <v>1.02</v>
      </c>
      <c r="AN337" s="97">
        <v>1.39</v>
      </c>
      <c r="AO337" s="97">
        <v>1.62</v>
      </c>
      <c r="AP337" s="97">
        <v>0.12</v>
      </c>
      <c r="AQ337" s="97">
        <v>0.17</v>
      </c>
      <c r="AR337" s="97">
        <v>0</v>
      </c>
      <c r="AS337" s="97">
        <v>9.5279</v>
      </c>
      <c r="AT337" s="97">
        <f t="shared" si="73"/>
        <v>13.8479</v>
      </c>
      <c r="AU337" s="97">
        <f t="shared" si="74"/>
        <v>33.8679658285214</v>
      </c>
      <c r="AV337" s="97">
        <v>0</v>
      </c>
      <c r="AW337" s="90" t="s">
        <v>1197</v>
      </c>
      <c r="AX337" s="90" t="s">
        <v>564</v>
      </c>
      <c r="AY337" s="90" t="s">
        <v>564</v>
      </c>
      <c r="AZ337" s="90" t="s">
        <v>212</v>
      </c>
      <c r="BA337" s="106" t="s">
        <v>322</v>
      </c>
      <c r="BB337" s="90" t="s">
        <v>1198</v>
      </c>
      <c r="BC337" s="93">
        <v>6</v>
      </c>
      <c r="BD337" s="93">
        <v>12</v>
      </c>
      <c r="BE337" s="59">
        <f>U337/((VLOOKUP(B337,'Cell-Characteristics'!$B$4:$E$34,3,FALSE)*VLOOKUP(B337,'Cell-Characteristics'!$B$4:$E$34,4,FALSE)*3600)/1000)</f>
        <v>1.4175384201465</v>
      </c>
      <c r="BF337" s="90">
        <f t="shared" si="78"/>
        <v>9545.75399574038</v>
      </c>
      <c r="BG337" s="90">
        <f t="shared" si="76"/>
        <v>9766.16900955719</v>
      </c>
      <c r="BH337" s="90">
        <f t="shared" si="77"/>
        <v>245.854577463647</v>
      </c>
      <c r="BI337" s="90">
        <f t="shared" si="79"/>
        <v>19557.7775827612</v>
      </c>
      <c r="BJ337" s="90">
        <f>BF337/((VLOOKUP(B337,'Cell-Characteristics'!$B$4:$Q$34,13,FALSE)))</f>
        <v>259.83325155807</v>
      </c>
      <c r="BK337" s="90">
        <f>BG337/((VLOOKUP(B337,'Cell-Characteristics'!$B$4:$Q$34,14,FALSE)))</f>
        <v>3839.8085277806</v>
      </c>
      <c r="BL337" s="90">
        <f>BH337/((VLOOKUP(B337,'Cell-Characteristics'!$B$4:$Q$34,15,FALSE)))</f>
        <v>96.6637483147154</v>
      </c>
      <c r="BM337" s="90">
        <f>BI337/((VLOOKUP(B337,'Cell-Characteristics'!$B$4:$Q$34,16,FALSE)))</f>
        <v>467.611980995993</v>
      </c>
      <c r="BN337" s="50">
        <f t="shared" si="75"/>
        <v>2</v>
      </c>
    </row>
    <row r="338" spans="2:66">
      <c r="B338" s="90" t="s">
        <v>8</v>
      </c>
      <c r="C338" s="91" t="s">
        <v>1199</v>
      </c>
      <c r="D338" s="90" t="s">
        <v>227</v>
      </c>
      <c r="E338" s="92" t="s">
        <v>194</v>
      </c>
      <c r="F338" s="93" t="s">
        <v>229</v>
      </c>
      <c r="G338" s="93"/>
      <c r="H338" s="94">
        <v>43400</v>
      </c>
      <c r="I338" s="95" t="s">
        <v>1200</v>
      </c>
      <c r="J338" s="95">
        <v>100</v>
      </c>
      <c r="K338" s="96">
        <v>4.15</v>
      </c>
      <c r="L338" s="97">
        <v>40.7395</v>
      </c>
      <c r="M338" s="97">
        <v>49.3</v>
      </c>
      <c r="N338" s="97">
        <v>47.7</v>
      </c>
      <c r="O338" s="92" t="s">
        <v>198</v>
      </c>
      <c r="P338" s="92" t="s">
        <v>198</v>
      </c>
      <c r="Q338" s="98" t="s">
        <v>381</v>
      </c>
      <c r="R338" s="99">
        <v>34.2796949039989</v>
      </c>
      <c r="S338" s="100">
        <v>0.017</v>
      </c>
      <c r="T338" s="100">
        <v>39.7892313968593</v>
      </c>
      <c r="U338" s="97">
        <v>40.1959230787928</v>
      </c>
      <c r="V338" s="97">
        <v>18.5255523337087</v>
      </c>
      <c r="W338" s="97">
        <v>21.2337989621922</v>
      </c>
      <c r="X338" s="97">
        <v>0.436571782891858</v>
      </c>
      <c r="Y338" s="97">
        <v>46.0881375889653</v>
      </c>
      <c r="Z338" s="97">
        <v>52.8257528022664</v>
      </c>
      <c r="AA338" s="97">
        <v>1.08610960876824</v>
      </c>
      <c r="AB338" s="97">
        <v>0.40669168193346</v>
      </c>
      <c r="AC338" s="97">
        <v>0</v>
      </c>
      <c r="AD338" s="120">
        <v>2</v>
      </c>
      <c r="AE338" s="120">
        <v>2</v>
      </c>
      <c r="AF338" s="120">
        <v>2</v>
      </c>
      <c r="AG338" s="97">
        <v>960.854359778656</v>
      </c>
      <c r="AH338" s="97">
        <v>53.4293</v>
      </c>
      <c r="AI338" s="97">
        <v>51.4993256956802</v>
      </c>
      <c r="AJ338" s="97"/>
      <c r="AK338" s="92">
        <v>117.78091</v>
      </c>
      <c r="AL338" s="97">
        <v>28.02</v>
      </c>
      <c r="AM338" s="97">
        <v>0.48</v>
      </c>
      <c r="AN338" s="97">
        <v>3.28</v>
      </c>
      <c r="AO338" s="97">
        <v>1.578</v>
      </c>
      <c r="AP338" s="97">
        <v>0.5</v>
      </c>
      <c r="AQ338" s="97">
        <v>0.38</v>
      </c>
      <c r="AR338" s="97">
        <v>0</v>
      </c>
      <c r="AS338" s="97">
        <v>6.50149999999999</v>
      </c>
      <c r="AT338" s="97">
        <f t="shared" si="73"/>
        <v>12.7195</v>
      </c>
      <c r="AU338" s="97">
        <f t="shared" si="74"/>
        <v>31.2215417469532</v>
      </c>
      <c r="AV338" s="97">
        <v>0</v>
      </c>
      <c r="AW338" s="90" t="s">
        <v>1201</v>
      </c>
      <c r="AX338" s="90" t="s">
        <v>1202</v>
      </c>
      <c r="AY338" s="90" t="s">
        <v>1202</v>
      </c>
      <c r="AZ338" s="90" t="s">
        <v>212</v>
      </c>
      <c r="BA338" s="90" t="s">
        <v>204</v>
      </c>
      <c r="BB338" s="90" t="s">
        <v>1203</v>
      </c>
      <c r="BC338" s="93">
        <v>9</v>
      </c>
      <c r="BD338" s="93">
        <v>18</v>
      </c>
      <c r="BE338" s="59">
        <f>U338/((VLOOKUP(B338,'Cell-Characteristics'!$B$4:$E$34,3,FALSE)*VLOOKUP(B338,'Cell-Characteristics'!$B$4:$E$34,4,FALSE)*3600)/1000)</f>
        <v>1.45669069648448</v>
      </c>
      <c r="BF338" s="90">
        <f t="shared" si="78"/>
        <v>9262.77616685434</v>
      </c>
      <c r="BG338" s="90">
        <f t="shared" si="76"/>
        <v>10616.8994810961</v>
      </c>
      <c r="BH338" s="90">
        <f t="shared" si="77"/>
        <v>218.285891445929</v>
      </c>
      <c r="BI338" s="90">
        <f t="shared" si="79"/>
        <v>20097.9615393964</v>
      </c>
      <c r="BJ338" s="90">
        <f>BF338/((VLOOKUP(B338,'Cell-Characteristics'!$B$4:$Q$34,13,FALSE)))</f>
        <v>252.130659449462</v>
      </c>
      <c r="BK338" s="90">
        <f>BG338/((VLOOKUP(B338,'Cell-Characteristics'!$B$4:$Q$34,14,FALSE)))</f>
        <v>4174.29404776917</v>
      </c>
      <c r="BL338" s="90">
        <f>BH338/((VLOOKUP(B338,'Cell-Characteristics'!$B$4:$Q$34,15,FALSE)))</f>
        <v>85.8244442265979</v>
      </c>
      <c r="BM338" s="90">
        <f>BI338/((VLOOKUP(B338,'Cell-Characteristics'!$B$4:$Q$34,16,FALSE)))</f>
        <v>480.527379435081</v>
      </c>
      <c r="BN338" s="50">
        <f t="shared" si="75"/>
        <v>2</v>
      </c>
    </row>
    <row r="339" spans="2:66">
      <c r="B339" s="90" t="s">
        <v>8</v>
      </c>
      <c r="C339" s="91" t="s">
        <v>1204</v>
      </c>
      <c r="D339" s="90" t="s">
        <v>227</v>
      </c>
      <c r="E339" s="92" t="s">
        <v>194</v>
      </c>
      <c r="F339" s="93" t="s">
        <v>229</v>
      </c>
      <c r="G339" s="93"/>
      <c r="H339" s="94">
        <v>43400</v>
      </c>
      <c r="I339" s="95" t="s">
        <v>1205</v>
      </c>
      <c r="J339" s="95">
        <v>100</v>
      </c>
      <c r="K339" s="96">
        <v>4.159</v>
      </c>
      <c r="L339" s="97">
        <v>40.9359</v>
      </c>
      <c r="M339" s="97">
        <v>46.8</v>
      </c>
      <c r="N339" s="97">
        <v>47.6</v>
      </c>
      <c r="O339" s="92" t="s">
        <v>197</v>
      </c>
      <c r="P339" s="92" t="s">
        <v>198</v>
      </c>
      <c r="Q339" s="98" t="s">
        <v>381</v>
      </c>
      <c r="R339" s="99">
        <v>30.8143902003228</v>
      </c>
      <c r="S339" s="100">
        <v>0.015</v>
      </c>
      <c r="T339" s="100">
        <v>33.7086758895425</v>
      </c>
      <c r="U339" s="97">
        <v>34.214316920551</v>
      </c>
      <c r="V339" s="97">
        <v>15.8431720294814</v>
      </c>
      <c r="W339" s="97">
        <v>18.0777627219003</v>
      </c>
      <c r="X339" s="97">
        <v>0.293382169169429</v>
      </c>
      <c r="Y339" s="97">
        <v>46.3056797722157</v>
      </c>
      <c r="Z339" s="97">
        <v>52.8368365905962</v>
      </c>
      <c r="AA339" s="97">
        <v>0.857483637188172</v>
      </c>
      <c r="AB339" s="97">
        <v>0.50564103100851</v>
      </c>
      <c r="AC339" s="97">
        <v>0</v>
      </c>
      <c r="AD339" s="120">
        <v>2</v>
      </c>
      <c r="AE339" s="120">
        <v>2</v>
      </c>
      <c r="AF339" s="120">
        <v>2</v>
      </c>
      <c r="AG339" s="97">
        <v>950.131728600798</v>
      </c>
      <c r="AH339" s="97">
        <v>70.1737</v>
      </c>
      <c r="AI339" s="97">
        <v>66.8346364079045</v>
      </c>
      <c r="AJ339" s="97"/>
      <c r="AK339" s="92">
        <v>162.09552</v>
      </c>
      <c r="AL339" s="97">
        <v>23.74</v>
      </c>
      <c r="AM339" s="97">
        <v>1.2</v>
      </c>
      <c r="AN339" s="97">
        <v>7.3</v>
      </c>
      <c r="AO339" s="97">
        <v>1.52</v>
      </c>
      <c r="AP339" s="97">
        <v>0</v>
      </c>
      <c r="AQ339" s="97">
        <v>0</v>
      </c>
      <c r="AR339" s="97">
        <v>0</v>
      </c>
      <c r="AS339" s="97">
        <v>7.1759</v>
      </c>
      <c r="AT339" s="97">
        <f t="shared" si="73"/>
        <v>17.1959</v>
      </c>
      <c r="AU339" s="97">
        <f t="shared" si="74"/>
        <v>42.0068937045478</v>
      </c>
      <c r="AV339" s="97">
        <v>0</v>
      </c>
      <c r="AW339" s="90" t="s">
        <v>1206</v>
      </c>
      <c r="AX339" s="90" t="s">
        <v>564</v>
      </c>
      <c r="AY339" s="90" t="s">
        <v>564</v>
      </c>
      <c r="AZ339" s="90" t="s">
        <v>203</v>
      </c>
      <c r="BA339" s="90" t="s">
        <v>204</v>
      </c>
      <c r="BB339" s="90" t="s">
        <v>1207</v>
      </c>
      <c r="BC339" s="93">
        <v>8</v>
      </c>
      <c r="BD339" s="93">
        <v>16</v>
      </c>
      <c r="BE339" s="59">
        <f>U339/((VLOOKUP(B339,'Cell-Characteristics'!$B$4:$E$34,3,FALSE)*VLOOKUP(B339,'Cell-Characteristics'!$B$4:$E$34,4,FALSE)*3600)/1000)</f>
        <v>1.23991871133402</v>
      </c>
      <c r="BF339" s="90">
        <f t="shared" si="78"/>
        <v>7921.58601474068</v>
      </c>
      <c r="BG339" s="90">
        <f t="shared" si="76"/>
        <v>9038.88136095013</v>
      </c>
      <c r="BH339" s="90">
        <f t="shared" si="77"/>
        <v>146.691084584715</v>
      </c>
      <c r="BI339" s="90">
        <f t="shared" si="79"/>
        <v>17107.1584602755</v>
      </c>
      <c r="BJ339" s="90">
        <f>BF339/((VLOOKUP(B339,'Cell-Characteristics'!$B$4:$Q$34,13,FALSE)))</f>
        <v>215.623768706535</v>
      </c>
      <c r="BK339" s="90">
        <f>BG339/((VLOOKUP(B339,'Cell-Characteristics'!$B$4:$Q$34,14,FALSE)))</f>
        <v>3553.857576846</v>
      </c>
      <c r="BL339" s="90">
        <f>BH339/((VLOOKUP(B339,'Cell-Characteristics'!$B$4:$Q$34,15,FALSE)))</f>
        <v>57.6751924922208</v>
      </c>
      <c r="BM339" s="90">
        <f>BI339/((VLOOKUP(B339,'Cell-Characteristics'!$B$4:$Q$34,16,FALSE)))</f>
        <v>409.019492269551</v>
      </c>
      <c r="BN339" s="50">
        <f t="shared" si="75"/>
        <v>2</v>
      </c>
    </row>
    <row r="340" spans="2:66">
      <c r="B340" s="90" t="s">
        <v>8</v>
      </c>
      <c r="C340" s="91" t="s">
        <v>1208</v>
      </c>
      <c r="D340" s="90" t="s">
        <v>227</v>
      </c>
      <c r="E340" s="92" t="s">
        <v>194</v>
      </c>
      <c r="F340" s="93" t="s">
        <v>229</v>
      </c>
      <c r="G340" s="93"/>
      <c r="H340" s="94">
        <v>43400</v>
      </c>
      <c r="I340" s="95" t="s">
        <v>1209</v>
      </c>
      <c r="J340" s="95">
        <v>100</v>
      </c>
      <c r="K340" s="96">
        <v>4.218</v>
      </c>
      <c r="L340" s="97">
        <v>40.8817</v>
      </c>
      <c r="M340" s="97">
        <v>50.9</v>
      </c>
      <c r="N340" s="97">
        <v>45.6</v>
      </c>
      <c r="O340" s="92" t="s">
        <v>198</v>
      </c>
      <c r="P340" s="92" t="s">
        <v>197</v>
      </c>
      <c r="Q340" s="98" t="s">
        <v>381</v>
      </c>
      <c r="R340" s="99">
        <v>33.7043249365012</v>
      </c>
      <c r="S340" s="100">
        <v>0.018</v>
      </c>
      <c r="T340" s="100">
        <v>37.7670485629019</v>
      </c>
      <c r="U340" s="97">
        <v>38.452716162464</v>
      </c>
      <c r="V340" s="97">
        <v>18.4323649751531</v>
      </c>
      <c r="W340" s="97">
        <v>19.361016774436</v>
      </c>
      <c r="X340" s="97">
        <v>0.659334412874815</v>
      </c>
      <c r="Y340" s="97">
        <v>47.9351442880545</v>
      </c>
      <c r="Z340" s="97">
        <v>50.3501929295061</v>
      </c>
      <c r="AA340" s="97">
        <v>1.71466278243936</v>
      </c>
      <c r="AB340" s="97">
        <v>0.685667599562089</v>
      </c>
      <c r="AC340" s="97">
        <v>0</v>
      </c>
      <c r="AD340" s="120">
        <v>2</v>
      </c>
      <c r="AE340" s="120">
        <v>2</v>
      </c>
      <c r="AF340" s="120">
        <v>2</v>
      </c>
      <c r="AG340" s="97">
        <v>949.021352000087</v>
      </c>
      <c r="AH340" s="97">
        <v>55.1316</v>
      </c>
      <c r="AI340" s="97">
        <v>52.4292624815144</v>
      </c>
      <c r="AJ340" s="97"/>
      <c r="AK340" s="92">
        <v>118.29442</v>
      </c>
      <c r="AL340" s="97">
        <v>26.58</v>
      </c>
      <c r="AM340" s="97">
        <v>0.24</v>
      </c>
      <c r="AN340" s="97">
        <v>1.77</v>
      </c>
      <c r="AO340" s="97">
        <v>1.48</v>
      </c>
      <c r="AP340" s="97">
        <v>0.06</v>
      </c>
      <c r="AQ340" s="97">
        <v>0.33</v>
      </c>
      <c r="AR340" s="97">
        <v>0.14</v>
      </c>
      <c r="AS340" s="97">
        <v>10.2817</v>
      </c>
      <c r="AT340" s="97">
        <f t="shared" ref="AT340:AT368" si="80">L340-AL340</f>
        <v>14.3017</v>
      </c>
      <c r="AU340" s="97">
        <f t="shared" ref="AU340:AU368" si="81">100*(AT340/L340)</f>
        <v>34.9831342630077</v>
      </c>
      <c r="AV340" s="97">
        <v>0</v>
      </c>
      <c r="AW340" s="90" t="s">
        <v>1210</v>
      </c>
      <c r="AX340" s="90" t="s">
        <v>564</v>
      </c>
      <c r="AY340" s="90" t="s">
        <v>564</v>
      </c>
      <c r="AZ340" s="90" t="s">
        <v>203</v>
      </c>
      <c r="BA340" s="90" t="s">
        <v>204</v>
      </c>
      <c r="BB340" s="90" t="s">
        <v>1211</v>
      </c>
      <c r="BC340" s="93">
        <v>6</v>
      </c>
      <c r="BD340" s="93">
        <v>12</v>
      </c>
      <c r="BE340" s="59">
        <f>U340/((VLOOKUP(B340,'Cell-Characteristics'!$B$4:$E$34,3,FALSE)*VLOOKUP(B340,'Cell-Characteristics'!$B$4:$E$34,4,FALSE)*3600)/1000)</f>
        <v>1.39351729225426</v>
      </c>
      <c r="BF340" s="90">
        <f t="shared" si="78"/>
        <v>9216.18248757657</v>
      </c>
      <c r="BG340" s="90">
        <f t="shared" si="76"/>
        <v>9680.50838721799</v>
      </c>
      <c r="BH340" s="90">
        <f t="shared" si="77"/>
        <v>329.667206437407</v>
      </c>
      <c r="BI340" s="90">
        <f t="shared" si="79"/>
        <v>19226.358081232</v>
      </c>
      <c r="BJ340" s="90">
        <f>BF340/((VLOOKUP(B340,'Cell-Characteristics'!$B$4:$Q$34,13,FALSE)))</f>
        <v>250.862390102253</v>
      </c>
      <c r="BK340" s="90">
        <f>BG340/((VLOOKUP(B340,'Cell-Characteristics'!$B$4:$Q$34,14,FALSE)))</f>
        <v>3806.12895620744</v>
      </c>
      <c r="BL340" s="90">
        <f>BH340/((VLOOKUP(B340,'Cell-Characteristics'!$B$4:$Q$34,15,FALSE)))</f>
        <v>129.616736037354</v>
      </c>
      <c r="BM340" s="90">
        <f>BI340/((VLOOKUP(B340,'Cell-Characteristics'!$B$4:$Q$34,16,FALSE)))</f>
        <v>459.687986104703</v>
      </c>
      <c r="BN340" s="50">
        <f t="shared" si="75"/>
        <v>2</v>
      </c>
    </row>
    <row r="341" spans="2:66">
      <c r="B341" s="90" t="s">
        <v>8</v>
      </c>
      <c r="C341" s="91" t="s">
        <v>1212</v>
      </c>
      <c r="D341" s="90" t="s">
        <v>227</v>
      </c>
      <c r="E341" s="92" t="s">
        <v>228</v>
      </c>
      <c r="F341" s="93" t="s">
        <v>229</v>
      </c>
      <c r="G341" s="93"/>
      <c r="H341" s="94">
        <v>43400</v>
      </c>
      <c r="I341" s="95" t="s">
        <v>1213</v>
      </c>
      <c r="J341" s="95">
        <v>100</v>
      </c>
      <c r="K341" s="96">
        <v>4.158</v>
      </c>
      <c r="L341" s="97">
        <v>40.997</v>
      </c>
      <c r="M341" s="97">
        <v>48.3</v>
      </c>
      <c r="N341" s="97">
        <v>50.3</v>
      </c>
      <c r="O341" s="96" t="s">
        <v>198</v>
      </c>
      <c r="P341" s="96" t="s">
        <v>198</v>
      </c>
      <c r="Q341" s="98" t="s">
        <v>381</v>
      </c>
      <c r="R341" s="99">
        <v>34.8447085938426</v>
      </c>
      <c r="S341" s="100">
        <v>0.022</v>
      </c>
      <c r="T341" s="100">
        <v>36.6482810170242</v>
      </c>
      <c r="U341" s="97">
        <v>37.5805346629044</v>
      </c>
      <c r="V341" s="97">
        <v>7.50243075267342</v>
      </c>
      <c r="W341" s="97">
        <v>29.5818432936032</v>
      </c>
      <c r="X341" s="97">
        <v>0.496260616627717</v>
      </c>
      <c r="Y341" s="97">
        <v>19.9636083413125</v>
      </c>
      <c r="Z341" s="97">
        <v>78.7158659634595</v>
      </c>
      <c r="AA341" s="97">
        <v>1.320525695228</v>
      </c>
      <c r="AB341" s="97">
        <v>0.9322536458802</v>
      </c>
      <c r="AC341" s="97">
        <v>0</v>
      </c>
      <c r="AD341" s="120">
        <v>2</v>
      </c>
      <c r="AE341" s="120">
        <v>2</v>
      </c>
      <c r="AF341" s="120">
        <v>2</v>
      </c>
      <c r="AG341" s="97">
        <v>961.886604070351</v>
      </c>
      <c r="AH341" s="97">
        <v>96.6896</v>
      </c>
      <c r="AI341" s="97">
        <v>93.0719089317907</v>
      </c>
      <c r="AJ341" s="97"/>
      <c r="AK341" s="92">
        <v>182.02908</v>
      </c>
      <c r="AL341" s="97">
        <v>18.3725</v>
      </c>
      <c r="AM341" s="97">
        <v>6.1226</v>
      </c>
      <c r="AN341" s="97">
        <v>7.5865</v>
      </c>
      <c r="AO341" s="97">
        <v>1.6459</v>
      </c>
      <c r="AP341" s="97">
        <v>0</v>
      </c>
      <c r="AQ341" s="97">
        <v>0</v>
      </c>
      <c r="AR341" s="97">
        <v>0</v>
      </c>
      <c r="AS341" s="97">
        <v>7.2695</v>
      </c>
      <c r="AT341" s="97">
        <f t="shared" si="80"/>
        <v>22.6245</v>
      </c>
      <c r="AU341" s="97">
        <f t="shared" si="81"/>
        <v>55.1857452984365</v>
      </c>
      <c r="AV341" s="97">
        <v>0</v>
      </c>
      <c r="AW341" s="90" t="s">
        <v>1214</v>
      </c>
      <c r="AX341" s="90" t="s">
        <v>1215</v>
      </c>
      <c r="AY341" s="90" t="s">
        <v>1215</v>
      </c>
      <c r="AZ341" s="90" t="s">
        <v>212</v>
      </c>
      <c r="BA341" s="90" t="s">
        <v>204</v>
      </c>
      <c r="BB341" s="90" t="s">
        <v>1216</v>
      </c>
      <c r="BC341" s="93">
        <v>8</v>
      </c>
      <c r="BD341" s="93">
        <v>16</v>
      </c>
      <c r="BE341" s="59">
        <f>U341/((VLOOKUP(B341,'Cell-Characteristics'!$B$4:$E$34,3,FALSE)*VLOOKUP(B341,'Cell-Characteristics'!$B$4:$E$34,4,FALSE)*3600)/1000)</f>
        <v>1.3619096420564</v>
      </c>
      <c r="BF341" s="90">
        <f t="shared" si="78"/>
        <v>3751.21537633671</v>
      </c>
      <c r="BG341" s="90">
        <f t="shared" si="76"/>
        <v>14790.9216468016</v>
      </c>
      <c r="BH341" s="90">
        <f t="shared" si="77"/>
        <v>248.130308313858</v>
      </c>
      <c r="BI341" s="90">
        <f t="shared" si="79"/>
        <v>18790.2673314522</v>
      </c>
      <c r="BJ341" s="90">
        <f>BF341/((VLOOKUP(B341,'Cell-Characteristics'!$B$4:$Q$34,13,FALSE)))</f>
        <v>102.107228927451</v>
      </c>
      <c r="BK341" s="90">
        <f>BG341/((VLOOKUP(B341,'Cell-Characteristics'!$B$4:$Q$34,14,FALSE)))</f>
        <v>5815.41308752128</v>
      </c>
      <c r="BL341" s="90">
        <f>BH341/((VLOOKUP(B341,'Cell-Characteristics'!$B$4:$Q$34,15,FALSE)))</f>
        <v>97.5585076330338</v>
      </c>
      <c r="BM341" s="90">
        <f>BI341/((VLOOKUP(B341,'Cell-Characteristics'!$B$4:$Q$34,16,FALSE)))</f>
        <v>449.261379168632</v>
      </c>
      <c r="BN341" s="50">
        <f t="shared" si="75"/>
        <v>2</v>
      </c>
    </row>
    <row r="342" spans="2:66">
      <c r="B342" s="90" t="s">
        <v>8</v>
      </c>
      <c r="C342" s="91" t="s">
        <v>1217</v>
      </c>
      <c r="D342" s="90" t="s">
        <v>227</v>
      </c>
      <c r="E342" s="92" t="s">
        <v>228</v>
      </c>
      <c r="F342" s="93" t="s">
        <v>229</v>
      </c>
      <c r="G342" s="93"/>
      <c r="H342" s="94">
        <v>43400</v>
      </c>
      <c r="I342" s="95" t="s">
        <v>1218</v>
      </c>
      <c r="J342" s="95">
        <v>100</v>
      </c>
      <c r="K342" s="96">
        <v>4.164</v>
      </c>
      <c r="L342" s="97">
        <v>40.9183</v>
      </c>
      <c r="M342" s="97">
        <v>45.6</v>
      </c>
      <c r="N342" s="97">
        <v>47.9</v>
      </c>
      <c r="O342" s="96" t="s">
        <v>198</v>
      </c>
      <c r="P342" s="96" t="s">
        <v>198</v>
      </c>
      <c r="Q342" s="98" t="s">
        <v>381</v>
      </c>
      <c r="R342" s="99">
        <v>36.7679375923828</v>
      </c>
      <c r="S342" s="100">
        <v>0.034</v>
      </c>
      <c r="T342" s="100">
        <v>42.4721510953749</v>
      </c>
      <c r="U342" s="97">
        <v>44.2713689352369</v>
      </c>
      <c r="V342" s="97">
        <v>7.80551225835686</v>
      </c>
      <c r="W342" s="97">
        <v>35.3986545819149</v>
      </c>
      <c r="X342" s="97">
        <v>1.06720209496516</v>
      </c>
      <c r="Y342" s="97">
        <v>17.6310614423857</v>
      </c>
      <c r="Z342" s="97">
        <v>79.9583465189396</v>
      </c>
      <c r="AA342" s="97">
        <v>2.41059203867479</v>
      </c>
      <c r="AB342" s="97">
        <v>1.79921783986195</v>
      </c>
      <c r="AC342" s="97">
        <v>0</v>
      </c>
      <c r="AD342" s="120">
        <v>2</v>
      </c>
      <c r="AE342" s="120">
        <v>2</v>
      </c>
      <c r="AF342" s="120">
        <v>2</v>
      </c>
      <c r="AG342" s="97">
        <v>955.2837082327</v>
      </c>
      <c r="AH342" s="97">
        <v>135.6241</v>
      </c>
      <c r="AI342" s="97">
        <v>129.578270902873</v>
      </c>
      <c r="AJ342" s="97"/>
      <c r="AK342" s="92">
        <v>294.98272</v>
      </c>
      <c r="AL342" s="97">
        <v>12.6521</v>
      </c>
      <c r="AM342" s="97">
        <v>9.091</v>
      </c>
      <c r="AN342" s="97">
        <v>6.2449</v>
      </c>
      <c r="AO342" s="97">
        <v>1.4885</v>
      </c>
      <c r="AP342" s="97">
        <v>0</v>
      </c>
      <c r="AQ342" s="97">
        <v>0</v>
      </c>
      <c r="AR342" s="97">
        <v>0</v>
      </c>
      <c r="AS342" s="97">
        <v>11.4418</v>
      </c>
      <c r="AT342" s="97">
        <f t="shared" si="80"/>
        <v>28.2662</v>
      </c>
      <c r="AU342" s="97">
        <f t="shared" si="81"/>
        <v>69.0796049689259</v>
      </c>
      <c r="AV342" s="97">
        <v>0</v>
      </c>
      <c r="AW342" s="90" t="s">
        <v>1219</v>
      </c>
      <c r="AX342" s="90" t="s">
        <v>1215</v>
      </c>
      <c r="AY342" s="90" t="s">
        <v>1215</v>
      </c>
      <c r="AZ342" s="90" t="s">
        <v>212</v>
      </c>
      <c r="BA342" s="90" t="s">
        <v>204</v>
      </c>
      <c r="BB342" s="90" t="s">
        <v>1220</v>
      </c>
      <c r="BC342" s="93">
        <v>7</v>
      </c>
      <c r="BD342" s="93">
        <v>14</v>
      </c>
      <c r="BE342" s="59">
        <f>U342/((VLOOKUP(B342,'Cell-Characteristics'!$B$4:$E$34,3,FALSE)*VLOOKUP(B342,'Cell-Characteristics'!$B$4:$E$34,4,FALSE)*3600)/1000)</f>
        <v>1.60438388545469</v>
      </c>
      <c r="BF342" s="90">
        <f t="shared" si="78"/>
        <v>3902.75612917843</v>
      </c>
      <c r="BG342" s="90">
        <f t="shared" si="76"/>
        <v>17699.3272909574</v>
      </c>
      <c r="BH342" s="90">
        <f t="shared" si="77"/>
        <v>533.601047482581</v>
      </c>
      <c r="BI342" s="90">
        <f t="shared" si="79"/>
        <v>22135.6844676184</v>
      </c>
      <c r="BJ342" s="90">
        <f>BF342/((VLOOKUP(B342,'Cell-Characteristics'!$B$4:$Q$34,13,FALSE)))</f>
        <v>106.232133735599</v>
      </c>
      <c r="BK342" s="90">
        <f>BG342/((VLOOKUP(B342,'Cell-Characteristics'!$B$4:$Q$34,14,FALSE)))</f>
        <v>6958.92399581561</v>
      </c>
      <c r="BL342" s="90">
        <f>BH342/((VLOOKUP(B342,'Cell-Characteristics'!$B$4:$Q$34,15,FALSE)))</f>
        <v>209.798320155139</v>
      </c>
      <c r="BM342" s="90">
        <f>BI342/((VLOOKUP(B342,'Cell-Characteristics'!$B$4:$Q$34,16,FALSE)))</f>
        <v>529.247825874085</v>
      </c>
      <c r="BN342" s="50">
        <f t="shared" si="75"/>
        <v>2</v>
      </c>
    </row>
    <row r="343" spans="2:66">
      <c r="B343" s="90" t="s">
        <v>8</v>
      </c>
      <c r="C343" s="90" t="s">
        <v>1221</v>
      </c>
      <c r="D343" s="90" t="s">
        <v>227</v>
      </c>
      <c r="E343" s="92" t="s">
        <v>228</v>
      </c>
      <c r="F343" s="93" t="s">
        <v>229</v>
      </c>
      <c r="G343" s="93"/>
      <c r="H343" s="94">
        <v>43400</v>
      </c>
      <c r="I343" s="95" t="s">
        <v>1222</v>
      </c>
      <c r="J343" s="95">
        <v>100</v>
      </c>
      <c r="K343" s="96">
        <v>4.17</v>
      </c>
      <c r="L343" s="97">
        <v>41.0083</v>
      </c>
      <c r="M343" s="97">
        <v>47.3</v>
      </c>
      <c r="N343" s="97">
        <v>46.4</v>
      </c>
      <c r="O343" s="96" t="s">
        <v>197</v>
      </c>
      <c r="P343" s="96" t="s">
        <v>198</v>
      </c>
      <c r="Q343" s="98" t="s">
        <v>381</v>
      </c>
      <c r="R343" s="99">
        <v>36.4920675135928</v>
      </c>
      <c r="S343" s="100">
        <v>0.03</v>
      </c>
      <c r="T343" s="100">
        <v>40.6121533740617</v>
      </c>
      <c r="U343" s="97">
        <v>42.8254232267861</v>
      </c>
      <c r="V343" s="97">
        <v>6.2301876919317</v>
      </c>
      <c r="W343" s="97">
        <v>35.5994752563274</v>
      </c>
      <c r="X343" s="97">
        <v>0.995760278527001</v>
      </c>
      <c r="Y343" s="97">
        <v>14.5478718539199</v>
      </c>
      <c r="Z343" s="97">
        <v>83.1269665866628</v>
      </c>
      <c r="AA343" s="97">
        <v>2.3251615594173</v>
      </c>
      <c r="AB343" s="97">
        <v>2.21326985272442</v>
      </c>
      <c r="AC343" s="97">
        <v>0</v>
      </c>
      <c r="AD343" s="120">
        <v>2</v>
      </c>
      <c r="AE343" s="120">
        <v>2</v>
      </c>
      <c r="AF343" s="120">
        <v>2</v>
      </c>
      <c r="AG343" s="97">
        <v>971.8311657911</v>
      </c>
      <c r="AH343" s="97">
        <v>108.4563</v>
      </c>
      <c r="AI343" s="97">
        <v>105.553422355305</v>
      </c>
      <c r="AJ343" s="97"/>
      <c r="AK343" s="92">
        <v>143.76541</v>
      </c>
      <c r="AL343" s="97">
        <v>10.4758</v>
      </c>
      <c r="AM343" s="97">
        <v>6.8709</v>
      </c>
      <c r="AN343" s="97">
        <v>9.0585</v>
      </c>
      <c r="AO343" s="97">
        <v>2.1309</v>
      </c>
      <c r="AP343" s="97">
        <v>0</v>
      </c>
      <c r="AQ343" s="97">
        <v>0</v>
      </c>
      <c r="AR343" s="97">
        <v>0</v>
      </c>
      <c r="AS343" s="97">
        <v>12.4722</v>
      </c>
      <c r="AT343" s="97">
        <f t="shared" si="80"/>
        <v>30.5325</v>
      </c>
      <c r="AU343" s="97">
        <f t="shared" si="81"/>
        <v>74.4544397109853</v>
      </c>
      <c r="AV343" s="97">
        <v>0</v>
      </c>
      <c r="AW343" s="90" t="s">
        <v>1223</v>
      </c>
      <c r="AX343" s="90" t="s">
        <v>1215</v>
      </c>
      <c r="AY343" s="90" t="s">
        <v>1215</v>
      </c>
      <c r="AZ343" s="90" t="s">
        <v>203</v>
      </c>
      <c r="BA343" s="106" t="s">
        <v>322</v>
      </c>
      <c r="BB343" s="90" t="s">
        <v>1224</v>
      </c>
      <c r="BC343" s="93">
        <v>5</v>
      </c>
      <c r="BD343" s="93">
        <v>10</v>
      </c>
      <c r="BE343" s="59">
        <f>U343/((VLOOKUP(B343,'Cell-Characteristics'!$B$4:$E$34,3,FALSE)*VLOOKUP(B343,'Cell-Characteristics'!$B$4:$E$34,4,FALSE)*3600)/1000)</f>
        <v>1.55198315672922</v>
      </c>
      <c r="BF343" s="90">
        <f t="shared" si="78"/>
        <v>3115.09384596585</v>
      </c>
      <c r="BG343" s="90">
        <f t="shared" si="76"/>
        <v>17799.7376281637</v>
      </c>
      <c r="BH343" s="90">
        <f t="shared" si="77"/>
        <v>497.8801392635</v>
      </c>
      <c r="BI343" s="90">
        <f t="shared" si="79"/>
        <v>21412.7116133931</v>
      </c>
      <c r="BJ343" s="90">
        <f>BF343/((VLOOKUP(B343,'Cell-Characteristics'!$B$4:$Q$34,13,FALSE)))</f>
        <v>84.792145624853</v>
      </c>
      <c r="BK343" s="90">
        <f>BG343/((VLOOKUP(B343,'Cell-Characteristics'!$B$4:$Q$34,14,FALSE)))</f>
        <v>6998.40277902167</v>
      </c>
      <c r="BL343" s="90">
        <f>BH343/((VLOOKUP(B343,'Cell-Characteristics'!$B$4:$Q$34,15,FALSE)))</f>
        <v>195.753770253794</v>
      </c>
      <c r="BM343" s="90">
        <f>BI343/((VLOOKUP(B343,'Cell-Characteristics'!$B$4:$Q$34,16,FALSE)))</f>
        <v>511.962080234528</v>
      </c>
      <c r="BN343" s="50">
        <f t="shared" si="75"/>
        <v>2</v>
      </c>
    </row>
    <row r="344" spans="2:66">
      <c r="B344" s="90" t="s">
        <v>8</v>
      </c>
      <c r="C344" s="91" t="s">
        <v>1225</v>
      </c>
      <c r="D344" s="90" t="s">
        <v>227</v>
      </c>
      <c r="E344" s="92" t="s">
        <v>228</v>
      </c>
      <c r="F344" s="93" t="s">
        <v>229</v>
      </c>
      <c r="G344" s="93"/>
      <c r="H344" s="94">
        <v>43400</v>
      </c>
      <c r="I344" s="95" t="s">
        <v>1226</v>
      </c>
      <c r="J344" s="95">
        <v>100</v>
      </c>
      <c r="K344" s="96">
        <v>4.164</v>
      </c>
      <c r="L344" s="97">
        <v>41.4121</v>
      </c>
      <c r="M344" s="97">
        <v>47.6</v>
      </c>
      <c r="N344" s="97">
        <v>50.3</v>
      </c>
      <c r="O344" s="96" t="s">
        <v>197</v>
      </c>
      <c r="P344" s="96" t="s">
        <v>198</v>
      </c>
      <c r="Q344" s="98" t="s">
        <v>381</v>
      </c>
      <c r="R344" s="99">
        <v>34.548415370102</v>
      </c>
      <c r="S344" s="100">
        <v>0.028</v>
      </c>
      <c r="T344" s="100">
        <v>37.7402462396699</v>
      </c>
      <c r="U344" s="97">
        <v>39.3673636088507</v>
      </c>
      <c r="V344" s="97">
        <v>7.87216219995754</v>
      </c>
      <c r="W344" s="97">
        <v>30.566600420843</v>
      </c>
      <c r="X344" s="97">
        <v>0.92860098805019</v>
      </c>
      <c r="Y344" s="97">
        <v>19.9966710450168</v>
      </c>
      <c r="Z344" s="97">
        <v>77.6445197716285</v>
      </c>
      <c r="AA344" s="97">
        <v>2.35880918335466</v>
      </c>
      <c r="AB344" s="97">
        <v>1.62711736918081</v>
      </c>
      <c r="AC344" s="97">
        <v>0</v>
      </c>
      <c r="AD344" s="120">
        <v>2</v>
      </c>
      <c r="AE344" s="120">
        <v>2</v>
      </c>
      <c r="AF344" s="120">
        <v>2</v>
      </c>
      <c r="AG344" s="97">
        <v>955.600110035095</v>
      </c>
      <c r="AH344" s="97">
        <v>127.5472</v>
      </c>
      <c r="AI344" s="97">
        <v>121.881232032721</v>
      </c>
      <c r="AJ344" s="97"/>
      <c r="AK344" s="92">
        <v>302.89048</v>
      </c>
      <c r="AL344" s="97">
        <v>13.8601</v>
      </c>
      <c r="AM344" s="97">
        <v>8.4178</v>
      </c>
      <c r="AN344" s="97">
        <v>4.4354</v>
      </c>
      <c r="AO344" s="97">
        <v>2.6646</v>
      </c>
      <c r="AP344" s="97">
        <v>0</v>
      </c>
      <c r="AQ344" s="97">
        <v>0</v>
      </c>
      <c r="AR344" s="97">
        <v>0.0889</v>
      </c>
      <c r="AS344" s="97">
        <v>11.9453</v>
      </c>
      <c r="AT344" s="97">
        <f t="shared" si="80"/>
        <v>27.552</v>
      </c>
      <c r="AU344" s="97">
        <f t="shared" si="81"/>
        <v>66.5312795052654</v>
      </c>
      <c r="AV344" s="97">
        <v>0</v>
      </c>
      <c r="AW344" s="90" t="s">
        <v>1227</v>
      </c>
      <c r="AX344" s="90" t="s">
        <v>1215</v>
      </c>
      <c r="AY344" s="90" t="s">
        <v>1215</v>
      </c>
      <c r="AZ344" s="90" t="s">
        <v>203</v>
      </c>
      <c r="BA344" s="90" t="s">
        <v>204</v>
      </c>
      <c r="BB344" s="90" t="s">
        <v>1228</v>
      </c>
      <c r="BC344" s="93">
        <v>7</v>
      </c>
      <c r="BD344" s="93">
        <v>14</v>
      </c>
      <c r="BE344" s="59">
        <f>U344/((VLOOKUP(B344,'Cell-Characteristics'!$B$4:$E$34,3,FALSE)*VLOOKUP(B344,'Cell-Characteristics'!$B$4:$E$34,4,FALSE)*3600)/1000)</f>
        <v>1.42666389826958</v>
      </c>
      <c r="BF344" s="90">
        <f t="shared" si="78"/>
        <v>3936.08109997877</v>
      </c>
      <c r="BG344" s="90">
        <f t="shared" si="76"/>
        <v>15283.3002104215</v>
      </c>
      <c r="BH344" s="90">
        <f t="shared" si="77"/>
        <v>464.300494025095</v>
      </c>
      <c r="BI344" s="90">
        <f t="shared" si="79"/>
        <v>19683.6818044254</v>
      </c>
      <c r="BJ344" s="90">
        <f>BF344/((VLOOKUP(B344,'Cell-Characteristics'!$B$4:$Q$34,13,FALSE)))</f>
        <v>107.139231857444</v>
      </c>
      <c r="BK344" s="90">
        <f>BG344/((VLOOKUP(B344,'Cell-Characteristics'!$B$4:$Q$34,14,FALSE)))</f>
        <v>6009.00377857257</v>
      </c>
      <c r="BL344" s="90">
        <f>BH344/((VLOOKUP(B344,'Cell-Characteristics'!$B$4:$Q$34,15,FALSE)))</f>
        <v>182.551110334629</v>
      </c>
      <c r="BM344" s="90">
        <f>BI344/((VLOOKUP(B344,'Cell-Characteristics'!$B$4:$Q$34,16,FALSE)))</f>
        <v>470.622257713734</v>
      </c>
      <c r="BN344" s="50">
        <f t="shared" si="75"/>
        <v>2</v>
      </c>
    </row>
    <row r="345" spans="2:66">
      <c r="B345" s="90" t="s">
        <v>8</v>
      </c>
      <c r="C345" s="91" t="s">
        <v>1229</v>
      </c>
      <c r="D345" s="90" t="s">
        <v>227</v>
      </c>
      <c r="E345" s="92" t="s">
        <v>228</v>
      </c>
      <c r="F345" s="93" t="s">
        <v>229</v>
      </c>
      <c r="G345" s="93"/>
      <c r="H345" s="94">
        <v>43402</v>
      </c>
      <c r="I345" s="95" t="s">
        <v>1230</v>
      </c>
      <c r="J345" s="95">
        <v>100</v>
      </c>
      <c r="K345" s="96">
        <v>4.166</v>
      </c>
      <c r="L345" s="97">
        <v>41.0541</v>
      </c>
      <c r="M345" s="97">
        <v>50.7</v>
      </c>
      <c r="N345" s="97">
        <v>51.5</v>
      </c>
      <c r="O345" s="92" t="s">
        <v>198</v>
      </c>
      <c r="P345" s="92" t="s">
        <v>198</v>
      </c>
      <c r="Q345" s="98" t="s">
        <v>381</v>
      </c>
      <c r="R345" s="99">
        <v>31.2725575361594</v>
      </c>
      <c r="S345" s="100">
        <v>0.026</v>
      </c>
      <c r="T345" s="100">
        <v>39.2344349995575</v>
      </c>
      <c r="U345" s="97">
        <v>40.3759361758703</v>
      </c>
      <c r="V345" s="97">
        <v>11.3416871005281</v>
      </c>
      <c r="W345" s="97">
        <v>27.9621771262977</v>
      </c>
      <c r="X345" s="97">
        <v>1.07207194904452</v>
      </c>
      <c r="Y345" s="97">
        <v>28.0902145553375</v>
      </c>
      <c r="Z345" s="97">
        <v>69.2545604503125</v>
      </c>
      <c r="AA345" s="97">
        <v>2.65522499435003</v>
      </c>
      <c r="AB345" s="97">
        <v>1.14150117631286</v>
      </c>
      <c r="AC345" s="97">
        <v>0</v>
      </c>
      <c r="AD345" s="120">
        <v>2</v>
      </c>
      <c r="AE345" s="120">
        <v>2</v>
      </c>
      <c r="AF345" s="120">
        <v>2</v>
      </c>
      <c r="AG345" s="97">
        <v>968.520754502897</v>
      </c>
      <c r="AH345" s="97">
        <v>110.4033</v>
      </c>
      <c r="AI345" s="97">
        <v>106.997098554453</v>
      </c>
      <c r="AJ345" s="97"/>
      <c r="AK345" s="92">
        <v>232.29741</v>
      </c>
      <c r="AL345" s="97">
        <v>27.25</v>
      </c>
      <c r="AM345" s="97">
        <v>0</v>
      </c>
      <c r="AN345" s="97">
        <v>1.95</v>
      </c>
      <c r="AO345" s="97">
        <v>1.42</v>
      </c>
      <c r="AP345" s="97">
        <v>0</v>
      </c>
      <c r="AQ345" s="97">
        <v>0</v>
      </c>
      <c r="AR345" s="97">
        <v>0</v>
      </c>
      <c r="AS345" s="97">
        <v>10.4341</v>
      </c>
      <c r="AT345" s="97">
        <f t="shared" si="80"/>
        <v>13.8041</v>
      </c>
      <c r="AU345" s="97">
        <f t="shared" si="81"/>
        <v>33.6241690842084</v>
      </c>
      <c r="AV345" s="97">
        <v>0</v>
      </c>
      <c r="AW345" s="90" t="s">
        <v>1231</v>
      </c>
      <c r="AX345" s="90" t="s">
        <v>1215</v>
      </c>
      <c r="AY345" s="90" t="s">
        <v>1215</v>
      </c>
      <c r="AZ345" s="90" t="s">
        <v>212</v>
      </c>
      <c r="BA345" s="90" t="s">
        <v>204</v>
      </c>
      <c r="BB345" s="90" t="s">
        <v>1232</v>
      </c>
      <c r="BC345" s="93">
        <v>7</v>
      </c>
      <c r="BD345" s="93">
        <v>14</v>
      </c>
      <c r="BE345" s="59">
        <f>U345/((VLOOKUP(B345,'Cell-Characteristics'!$B$4:$E$34,3,FALSE)*VLOOKUP(B345,'Cell-Characteristics'!$B$4:$E$34,4,FALSE)*3600)/1000)</f>
        <v>1.46321432832755</v>
      </c>
      <c r="BF345" s="90">
        <f t="shared" si="78"/>
        <v>5670.84355026405</v>
      </c>
      <c r="BG345" s="90">
        <f t="shared" si="76"/>
        <v>13981.0885631489</v>
      </c>
      <c r="BH345" s="90">
        <f t="shared" si="77"/>
        <v>536.035974522262</v>
      </c>
      <c r="BI345" s="90">
        <f t="shared" si="79"/>
        <v>20187.9680879352</v>
      </c>
      <c r="BJ345" s="90">
        <f>BF345/((VLOOKUP(B345,'Cell-Characteristics'!$B$4:$Q$34,13,FALSE)))</f>
        <v>154.359070996354</v>
      </c>
      <c r="BK345" s="90">
        <f>BG345/((VLOOKUP(B345,'Cell-Characteristics'!$B$4:$Q$34,14,FALSE)))</f>
        <v>5497.0073771915</v>
      </c>
      <c r="BL345" s="90">
        <f>BH345/((VLOOKUP(B345,'Cell-Characteristics'!$B$4:$Q$34,15,FALSE)))</f>
        <v>210.755671354196</v>
      </c>
      <c r="BM345" s="90">
        <f>BI345/((VLOOKUP(B345,'Cell-Characteristics'!$B$4:$Q$34,16,FALSE)))</f>
        <v>482.679369367819</v>
      </c>
      <c r="BN345" s="50">
        <f t="shared" si="75"/>
        <v>2</v>
      </c>
    </row>
    <row r="346" spans="2:66">
      <c r="B346" s="90" t="s">
        <v>8</v>
      </c>
      <c r="C346" s="91" t="s">
        <v>1233</v>
      </c>
      <c r="D346" s="90" t="s">
        <v>244</v>
      </c>
      <c r="E346" s="92" t="s">
        <v>228</v>
      </c>
      <c r="F346" s="93" t="s">
        <v>245</v>
      </c>
      <c r="G346" s="93"/>
      <c r="H346" s="94">
        <v>43510</v>
      </c>
      <c r="I346" s="95" t="s">
        <v>1234</v>
      </c>
      <c r="J346" s="95">
        <v>100</v>
      </c>
      <c r="K346" s="96">
        <v>4.165</v>
      </c>
      <c r="L346" s="97">
        <v>41.1697</v>
      </c>
      <c r="M346" s="97">
        <v>48.8</v>
      </c>
      <c r="N346" s="97">
        <v>51</v>
      </c>
      <c r="O346" s="96" t="s">
        <v>198</v>
      </c>
      <c r="P346" s="96" t="s">
        <v>198</v>
      </c>
      <c r="Q346" s="98" t="s">
        <v>381</v>
      </c>
      <c r="R346" s="99">
        <v>33.1490350247878</v>
      </c>
      <c r="S346" s="100">
        <v>0.027</v>
      </c>
      <c r="T346" s="100">
        <v>34.8480730118023</v>
      </c>
      <c r="U346" s="97">
        <v>37.2045240379196</v>
      </c>
      <c r="V346" s="97">
        <v>5.60517435035677</v>
      </c>
      <c r="W346" s="97">
        <v>30.3014848876023</v>
      </c>
      <c r="X346" s="97">
        <v>1.2978647999605</v>
      </c>
      <c r="Y346" s="97">
        <v>15.0658407688373</v>
      </c>
      <c r="Z346" s="97">
        <v>81.4456996055599</v>
      </c>
      <c r="AA346" s="97">
        <v>3.48845962560277</v>
      </c>
      <c r="AB346" s="97">
        <v>2.35645102611731</v>
      </c>
      <c r="AC346" s="97">
        <v>0</v>
      </c>
      <c r="AD346" s="120">
        <v>2</v>
      </c>
      <c r="AE346" s="120">
        <v>2</v>
      </c>
      <c r="AF346" s="120">
        <v>2</v>
      </c>
      <c r="AG346" s="97">
        <v>952.788915772826</v>
      </c>
      <c r="AH346" s="97">
        <v>144.8232</v>
      </c>
      <c r="AI346" s="97">
        <v>94.034091411214</v>
      </c>
      <c r="AJ346" s="97"/>
      <c r="AK346" s="92">
        <v>253.18239</v>
      </c>
      <c r="AL346" s="97">
        <v>19.7</v>
      </c>
      <c r="AM346" s="97">
        <v>1</v>
      </c>
      <c r="AN346" s="97">
        <v>6.8</v>
      </c>
      <c r="AO346" s="97">
        <v>1.3</v>
      </c>
      <c r="AP346" s="97">
        <v>0</v>
      </c>
      <c r="AQ346" s="97">
        <v>0</v>
      </c>
      <c r="AR346" s="97">
        <v>0</v>
      </c>
      <c r="AS346" s="97">
        <v>12.3697</v>
      </c>
      <c r="AT346" s="97">
        <f t="shared" si="80"/>
        <v>21.4697</v>
      </c>
      <c r="AU346" s="97">
        <f t="shared" si="81"/>
        <v>52.1492748307615</v>
      </c>
      <c r="AV346" s="97">
        <v>0</v>
      </c>
      <c r="AW346" s="90" t="s">
        <v>1235</v>
      </c>
      <c r="AX346" s="90" t="s">
        <v>248</v>
      </c>
      <c r="AY346" s="90" t="s">
        <v>1236</v>
      </c>
      <c r="AZ346" s="90" t="s">
        <v>212</v>
      </c>
      <c r="BA346" s="90" t="s">
        <v>204</v>
      </c>
      <c r="BB346" s="90" t="s">
        <v>1237</v>
      </c>
      <c r="BC346" s="93">
        <v>9</v>
      </c>
      <c r="BD346" s="93">
        <v>18</v>
      </c>
      <c r="BE346" s="59">
        <f>U346/((VLOOKUP(B346,'Cell-Characteristics'!$B$4:$E$34,3,FALSE)*VLOOKUP(B346,'Cell-Characteristics'!$B$4:$E$34,4,FALSE)*3600)/1000)</f>
        <v>1.34828310639703</v>
      </c>
      <c r="BF346" s="90">
        <f t="shared" si="78"/>
        <v>2802.58717517839</v>
      </c>
      <c r="BG346" s="90">
        <f t="shared" si="76"/>
        <v>15150.7424438012</v>
      </c>
      <c r="BH346" s="90">
        <f t="shared" si="77"/>
        <v>648.932399980252</v>
      </c>
      <c r="BI346" s="90">
        <f t="shared" si="79"/>
        <v>18602.2620189598</v>
      </c>
      <c r="BJ346" s="90">
        <f>BF346/((VLOOKUP(B346,'Cell-Characteristics'!$B$4:$Q$34,13,FALSE)))</f>
        <v>76.2857851591918</v>
      </c>
      <c r="BK346" s="90">
        <f>BG346/((VLOOKUP(B346,'Cell-Characteristics'!$B$4:$Q$34,14,FALSE)))</f>
        <v>5956.88544617487</v>
      </c>
      <c r="BL346" s="90">
        <f>BH346/((VLOOKUP(B346,'Cell-Characteristics'!$B$4:$Q$34,15,FALSE)))</f>
        <v>255.143665951188</v>
      </c>
      <c r="BM346" s="90">
        <f>BI346/((VLOOKUP(B346,'Cell-Characteristics'!$B$4:$Q$34,16,FALSE)))</f>
        <v>444.766311350199</v>
      </c>
      <c r="BN346" s="50">
        <f t="shared" si="75"/>
        <v>2</v>
      </c>
    </row>
    <row r="347" spans="2:66">
      <c r="B347" s="96" t="s">
        <v>8</v>
      </c>
      <c r="C347" s="128" t="s">
        <v>1238</v>
      </c>
      <c r="D347" s="96" t="s">
        <v>227</v>
      </c>
      <c r="E347" s="96" t="s">
        <v>265</v>
      </c>
      <c r="F347" s="96" t="s">
        <v>229</v>
      </c>
      <c r="G347" s="96"/>
      <c r="H347" s="94">
        <v>43402</v>
      </c>
      <c r="I347" s="95" t="s">
        <v>1239</v>
      </c>
      <c r="J347" s="95">
        <v>100</v>
      </c>
      <c r="K347" s="96">
        <v>4.166</v>
      </c>
      <c r="L347" s="97">
        <v>41.2351</v>
      </c>
      <c r="M347" s="97">
        <v>49.3</v>
      </c>
      <c r="N347" s="97">
        <v>47.9</v>
      </c>
      <c r="O347" s="96" t="s">
        <v>198</v>
      </c>
      <c r="P347" s="96" t="s">
        <v>198</v>
      </c>
      <c r="Q347" s="100" t="s">
        <v>381</v>
      </c>
      <c r="R347" s="99">
        <v>41.4104335320216</v>
      </c>
      <c r="S347" s="100">
        <v>0.019</v>
      </c>
      <c r="T347" s="100">
        <v>42.5275010605289</v>
      </c>
      <c r="U347" s="97">
        <v>44.5450238794138</v>
      </c>
      <c r="V347" s="97">
        <v>7.85120714895686</v>
      </c>
      <c r="W347" s="97">
        <v>36.6263208600106</v>
      </c>
      <c r="X347" s="97">
        <v>0.0674958704462884</v>
      </c>
      <c r="Y347" s="97">
        <v>17.6253293077372</v>
      </c>
      <c r="Z347" s="97">
        <v>82.2231478855201</v>
      </c>
      <c r="AA347" s="97">
        <v>0.151522806742688</v>
      </c>
      <c r="AB347" s="97">
        <v>2.01752281888492</v>
      </c>
      <c r="AC347" s="97">
        <v>0</v>
      </c>
      <c r="AD347" s="120">
        <v>2</v>
      </c>
      <c r="AE347" s="120">
        <v>2</v>
      </c>
      <c r="AF347" s="120">
        <v>2</v>
      </c>
      <c r="AG347" s="97" t="s">
        <v>134</v>
      </c>
      <c r="AH347" s="97" t="s">
        <v>134</v>
      </c>
      <c r="AI347" s="97" t="s">
        <v>134</v>
      </c>
      <c r="AJ347" s="97"/>
      <c r="AK347" s="97" t="s">
        <v>134</v>
      </c>
      <c r="AL347" s="97">
        <v>10.38</v>
      </c>
      <c r="AM347" s="97">
        <v>7.68</v>
      </c>
      <c r="AN347" s="97">
        <v>10.21</v>
      </c>
      <c r="AO347" s="97">
        <v>2.19</v>
      </c>
      <c r="AP347" s="97">
        <v>0</v>
      </c>
      <c r="AQ347" s="97">
        <v>0</v>
      </c>
      <c r="AR347" s="97">
        <v>0</v>
      </c>
      <c r="AS347" s="97">
        <v>10.7751</v>
      </c>
      <c r="AT347" s="97">
        <f t="shared" si="80"/>
        <v>30.8551</v>
      </c>
      <c r="AU347" s="97">
        <f t="shared" si="81"/>
        <v>74.8272709415037</v>
      </c>
      <c r="AV347" s="97">
        <v>0</v>
      </c>
      <c r="AW347" s="96" t="s">
        <v>1240</v>
      </c>
      <c r="AX347" s="96" t="s">
        <v>1215</v>
      </c>
      <c r="AY347" s="96" t="s">
        <v>1215</v>
      </c>
      <c r="AZ347" s="96" t="s">
        <v>212</v>
      </c>
      <c r="BA347" s="96" t="s">
        <v>204</v>
      </c>
      <c r="BB347" s="96" t="s">
        <v>1241</v>
      </c>
      <c r="BC347" s="93">
        <v>8</v>
      </c>
      <c r="BD347" s="93">
        <v>16</v>
      </c>
      <c r="BE347" s="59">
        <f>U347/((VLOOKUP(B347,'Cell-Characteristics'!$B$4:$E$34,3,FALSE)*VLOOKUP(B347,'Cell-Characteristics'!$B$4:$E$34,4,FALSE)*3600)/1000)</f>
        <v>1.6143010755749</v>
      </c>
      <c r="BF347" s="90">
        <f t="shared" si="78"/>
        <v>3925.60357447843</v>
      </c>
      <c r="BG347" s="90">
        <f t="shared" si="76"/>
        <v>18313.1604300053</v>
      </c>
      <c r="BH347" s="90">
        <f t="shared" si="77"/>
        <v>33.7479352231442</v>
      </c>
      <c r="BI347" s="90">
        <f t="shared" si="79"/>
        <v>22272.5119397069</v>
      </c>
      <c r="BJ347" s="90">
        <f>BF347/((VLOOKUP(B347,'Cell-Characteristics'!$B$4:$Q$34,13,FALSE)))</f>
        <v>106.854035997562</v>
      </c>
      <c r="BK347" s="90">
        <f>BG347/((VLOOKUP(B347,'Cell-Characteristics'!$B$4:$Q$34,14,FALSE)))</f>
        <v>7200.26752772089</v>
      </c>
      <c r="BL347" s="90">
        <f>BH347/((VLOOKUP(B347,'Cell-Characteristics'!$B$4:$Q$34,15,FALSE)))</f>
        <v>13.2688272482284</v>
      </c>
      <c r="BM347" s="90">
        <f>BI347/((VLOOKUP(B347,'Cell-Characteristics'!$B$4:$Q$34,16,FALSE)))</f>
        <v>532.519269421656</v>
      </c>
      <c r="BN347" s="50">
        <f t="shared" si="75"/>
        <v>2</v>
      </c>
    </row>
    <row r="348" spans="2:66">
      <c r="B348" s="90" t="s">
        <v>8</v>
      </c>
      <c r="C348" s="91" t="s">
        <v>1242</v>
      </c>
      <c r="D348" s="90" t="s">
        <v>227</v>
      </c>
      <c r="E348" s="92" t="s">
        <v>265</v>
      </c>
      <c r="F348" s="93" t="s">
        <v>229</v>
      </c>
      <c r="G348" s="93"/>
      <c r="H348" s="94">
        <v>43402</v>
      </c>
      <c r="I348" s="95" t="s">
        <v>1243</v>
      </c>
      <c r="J348" s="95">
        <v>100</v>
      </c>
      <c r="K348" s="96">
        <v>4.152</v>
      </c>
      <c r="L348" s="97">
        <v>41.2962</v>
      </c>
      <c r="M348" s="97">
        <v>48.8</v>
      </c>
      <c r="N348" s="97">
        <v>45.9</v>
      </c>
      <c r="O348" s="96" t="s">
        <v>198</v>
      </c>
      <c r="P348" s="96" t="s">
        <v>198</v>
      </c>
      <c r="Q348" s="98" t="s">
        <v>381</v>
      </c>
      <c r="R348" s="99">
        <v>37.8571110726345</v>
      </c>
      <c r="S348" s="100">
        <v>0.01</v>
      </c>
      <c r="T348" s="100">
        <v>39.7284245033003</v>
      </c>
      <c r="U348" s="97">
        <v>40.1756245577935</v>
      </c>
      <c r="V348" s="97">
        <v>20.3784321768899</v>
      </c>
      <c r="W348" s="97">
        <v>19.575054261329</v>
      </c>
      <c r="X348" s="97">
        <v>0.22213811957458</v>
      </c>
      <c r="Y348" s="97">
        <v>50.7233736903706</v>
      </c>
      <c r="Z348" s="97">
        <v>48.7237086586417</v>
      </c>
      <c r="AA348" s="97">
        <v>0.552917650987676</v>
      </c>
      <c r="AB348" s="97">
        <v>0.447200054493192</v>
      </c>
      <c r="AC348" s="97">
        <v>0</v>
      </c>
      <c r="AD348" s="120">
        <v>2</v>
      </c>
      <c r="AE348" s="120">
        <v>2</v>
      </c>
      <c r="AF348" s="120">
        <v>2</v>
      </c>
      <c r="AG348" s="97" t="s">
        <v>134</v>
      </c>
      <c r="AH348" s="97" t="s">
        <v>134</v>
      </c>
      <c r="AI348" s="97" t="s">
        <v>134</v>
      </c>
      <c r="AJ348" s="97"/>
      <c r="AK348" s="97" t="s">
        <v>134</v>
      </c>
      <c r="AL348" s="97">
        <v>29.44</v>
      </c>
      <c r="AM348" s="97">
        <v>1.27</v>
      </c>
      <c r="AN348" s="97">
        <v>3.63</v>
      </c>
      <c r="AO348" s="97">
        <v>1.66</v>
      </c>
      <c r="AP348" s="97">
        <v>0</v>
      </c>
      <c r="AQ348" s="97">
        <v>0</v>
      </c>
      <c r="AR348" s="97">
        <v>0</v>
      </c>
      <c r="AS348" s="97">
        <v>5.2962</v>
      </c>
      <c r="AT348" s="97">
        <f t="shared" si="80"/>
        <v>11.8562</v>
      </c>
      <c r="AU348" s="97">
        <f t="shared" si="81"/>
        <v>28.7101476649183</v>
      </c>
      <c r="AV348" s="97">
        <v>0</v>
      </c>
      <c r="AW348" s="90" t="s">
        <v>1244</v>
      </c>
      <c r="AX348" s="90" t="s">
        <v>1215</v>
      </c>
      <c r="AY348" s="90" t="s">
        <v>1215</v>
      </c>
      <c r="AZ348" s="90" t="s">
        <v>212</v>
      </c>
      <c r="BA348" s="90" t="s">
        <v>204</v>
      </c>
      <c r="BB348" s="90" t="s">
        <v>1245</v>
      </c>
      <c r="BC348" s="93">
        <v>7</v>
      </c>
      <c r="BD348" s="93">
        <v>14</v>
      </c>
      <c r="BE348" s="59">
        <f>U348/((VLOOKUP(B348,'Cell-Characteristics'!$B$4:$E$34,3,FALSE)*VLOOKUP(B348,'Cell-Characteristics'!$B$4:$E$34,4,FALSE)*3600)/1000)</f>
        <v>1.45595508290909</v>
      </c>
      <c r="BF348" s="90">
        <f t="shared" si="78"/>
        <v>10189.216088445</v>
      </c>
      <c r="BG348" s="90">
        <f t="shared" si="76"/>
        <v>9787.52713066452</v>
      </c>
      <c r="BH348" s="90">
        <f t="shared" si="77"/>
        <v>111.06905978729</v>
      </c>
      <c r="BI348" s="90">
        <f t="shared" si="79"/>
        <v>20087.8122788968</v>
      </c>
      <c r="BJ348" s="90">
        <f>BF348/((VLOOKUP(B348,'Cell-Characteristics'!$B$4:$Q$34,13,FALSE)))</f>
        <v>277.348143296994</v>
      </c>
      <c r="BK348" s="90">
        <f>BG348/((VLOOKUP(B348,'Cell-Characteristics'!$B$4:$Q$34,14,FALSE)))</f>
        <v>3848.20599617226</v>
      </c>
      <c r="BL348" s="90">
        <f>BH348/((VLOOKUP(B348,'Cell-Characteristics'!$B$4:$Q$34,15,FALSE)))</f>
        <v>43.669521029838</v>
      </c>
      <c r="BM348" s="90">
        <f>BI348/((VLOOKUP(B348,'Cell-Characteristics'!$B$4:$Q$34,16,FALSE)))</f>
        <v>480.28471813127</v>
      </c>
      <c r="BN348" s="50">
        <f t="shared" si="75"/>
        <v>2</v>
      </c>
    </row>
    <row r="349" spans="2:66">
      <c r="B349" s="90" t="s">
        <v>12</v>
      </c>
      <c r="C349" s="91" t="s">
        <v>1246</v>
      </c>
      <c r="D349" s="90" t="s">
        <v>227</v>
      </c>
      <c r="E349" s="92" t="s">
        <v>194</v>
      </c>
      <c r="F349" s="93" t="s">
        <v>229</v>
      </c>
      <c r="G349" s="93"/>
      <c r="H349" s="94">
        <v>43400</v>
      </c>
      <c r="I349" s="95" t="s">
        <v>1247</v>
      </c>
      <c r="J349" s="95">
        <v>100</v>
      </c>
      <c r="K349" s="96">
        <v>4.163</v>
      </c>
      <c r="L349" s="97">
        <v>39.3154</v>
      </c>
      <c r="M349" s="97">
        <v>48.2</v>
      </c>
      <c r="N349" s="97">
        <v>47.4</v>
      </c>
      <c r="O349" s="92" t="s">
        <v>198</v>
      </c>
      <c r="P349" s="92" t="s">
        <v>198</v>
      </c>
      <c r="Q349" s="98" t="s">
        <v>381</v>
      </c>
      <c r="R349" s="99">
        <v>30.4713781003682</v>
      </c>
      <c r="S349" s="100">
        <v>0.018</v>
      </c>
      <c r="T349" s="100">
        <v>35.0824866670183</v>
      </c>
      <c r="U349" s="97">
        <v>35.7061319702763</v>
      </c>
      <c r="V349" s="97">
        <v>15.3982401190855</v>
      </c>
      <c r="W349" s="97">
        <v>20.0742001058824</v>
      </c>
      <c r="X349" s="97">
        <v>0.233691745308427</v>
      </c>
      <c r="Y349" s="97">
        <v>43.1249179606007</v>
      </c>
      <c r="Z349" s="97">
        <v>56.2205957301487</v>
      </c>
      <c r="AA349" s="97">
        <v>0.65448630925065</v>
      </c>
      <c r="AB349" s="97">
        <v>0.623645303257944</v>
      </c>
      <c r="AC349" s="97">
        <v>0</v>
      </c>
      <c r="AD349" s="120">
        <v>2</v>
      </c>
      <c r="AE349" s="120">
        <v>2</v>
      </c>
      <c r="AF349" s="120">
        <v>2</v>
      </c>
      <c r="AG349" s="97">
        <v>964.029725805329</v>
      </c>
      <c r="AH349" s="97">
        <v>48.1615</v>
      </c>
      <c r="AI349" s="97">
        <v>46.2886615807554</v>
      </c>
      <c r="AJ349" s="97"/>
      <c r="AK349" s="92">
        <v>106.0247</v>
      </c>
      <c r="AL349" s="97">
        <v>24.04</v>
      </c>
      <c r="AM349" s="97">
        <v>1.16</v>
      </c>
      <c r="AN349" s="97">
        <v>2.81</v>
      </c>
      <c r="AO349" s="97">
        <v>0.817</v>
      </c>
      <c r="AP349" s="97">
        <v>0.3</v>
      </c>
      <c r="AQ349" s="97">
        <v>2.52</v>
      </c>
      <c r="AR349" s="97">
        <v>0</v>
      </c>
      <c r="AS349" s="97">
        <v>7.6684</v>
      </c>
      <c r="AT349" s="97">
        <f t="shared" si="80"/>
        <v>15.2754</v>
      </c>
      <c r="AU349" s="97">
        <f t="shared" si="81"/>
        <v>38.8534772633624</v>
      </c>
      <c r="AV349" s="97">
        <v>0</v>
      </c>
      <c r="AW349" s="90" t="s">
        <v>1248</v>
      </c>
      <c r="AX349" s="90" t="s">
        <v>134</v>
      </c>
      <c r="AY349" s="90" t="s">
        <v>134</v>
      </c>
      <c r="AZ349" s="90" t="s">
        <v>212</v>
      </c>
      <c r="BA349" s="90" t="s">
        <v>204</v>
      </c>
      <c r="BB349" s="90" t="s">
        <v>134</v>
      </c>
      <c r="BC349" s="93">
        <v>6</v>
      </c>
      <c r="BD349" s="93">
        <v>12</v>
      </c>
      <c r="BE349" s="59">
        <f>U349/((VLOOKUP(B349,'Cell-Characteristics'!$B$4:$E$34,3,FALSE)*VLOOKUP(B349,'Cell-Characteristics'!$B$4:$E$34,4,FALSE)*3600)/1000)</f>
        <v>1.29398173408264</v>
      </c>
      <c r="BF349" s="90">
        <f t="shared" si="78"/>
        <v>7699.12005954273</v>
      </c>
      <c r="BG349" s="90">
        <f t="shared" si="76"/>
        <v>10037.1000529412</v>
      </c>
      <c r="BH349" s="90">
        <f t="shared" si="77"/>
        <v>116.845872654214</v>
      </c>
      <c r="BI349" s="90">
        <f t="shared" si="79"/>
        <v>17853.0659851381</v>
      </c>
      <c r="BJ349" s="90">
        <f>BF349/((VLOOKUP(B349,'Cell-Characteristics'!$B$4:$Q$34,13,FALSE)))</f>
        <v>209.568296029798</v>
      </c>
      <c r="BK349" s="90">
        <f>BG349/((VLOOKUP(B349,'Cell-Characteristics'!$B$4:$Q$34,14,FALSE)))</f>
        <v>3946.3317028156</v>
      </c>
      <c r="BL349" s="90">
        <f>BH349/((VLOOKUP(B349,'Cell-Characteristics'!$B$4:$Q$34,15,FALSE)))</f>
        <v>45.9408164874631</v>
      </c>
      <c r="BM349" s="90">
        <f>BI349/((VLOOKUP(B349,'Cell-Characteristics'!$B$4:$Q$34,16,FALSE)))</f>
        <v>426.853588902712</v>
      </c>
      <c r="BN349" s="50">
        <f t="shared" si="75"/>
        <v>2</v>
      </c>
    </row>
    <row r="350" spans="2:66">
      <c r="B350" s="90" t="s">
        <v>12</v>
      </c>
      <c r="C350" s="91" t="s">
        <v>1249</v>
      </c>
      <c r="D350" s="90" t="s">
        <v>227</v>
      </c>
      <c r="E350" s="92" t="s">
        <v>194</v>
      </c>
      <c r="F350" s="93" t="s">
        <v>229</v>
      </c>
      <c r="G350" s="93"/>
      <c r="H350" s="94">
        <v>43400</v>
      </c>
      <c r="I350" s="95" t="s">
        <v>1250</v>
      </c>
      <c r="J350" s="95">
        <v>100</v>
      </c>
      <c r="K350" s="96">
        <v>4.156</v>
      </c>
      <c r="L350" s="97">
        <v>39.5757</v>
      </c>
      <c r="M350" s="97">
        <v>47.1</v>
      </c>
      <c r="N350" s="97">
        <v>47.6</v>
      </c>
      <c r="O350" s="92" t="s">
        <v>198</v>
      </c>
      <c r="P350" s="92" t="s">
        <v>198</v>
      </c>
      <c r="Q350" s="98" t="s">
        <v>381</v>
      </c>
      <c r="R350" s="99">
        <v>29.9898461029286</v>
      </c>
      <c r="S350" s="100">
        <v>0.015</v>
      </c>
      <c r="T350" s="100">
        <v>32.1944198515334</v>
      </c>
      <c r="U350" s="97">
        <v>32.7642190739411</v>
      </c>
      <c r="V350" s="97">
        <v>10.2583214183885</v>
      </c>
      <c r="W350" s="97">
        <v>22.3717350346569</v>
      </c>
      <c r="X350" s="97">
        <v>0.134162620895723</v>
      </c>
      <c r="Y350" s="97">
        <v>31.3095251720722</v>
      </c>
      <c r="Z350" s="97">
        <v>68.280995753841</v>
      </c>
      <c r="AA350" s="97">
        <v>0.409479074086735</v>
      </c>
      <c r="AB350" s="97">
        <v>0.569799222407706</v>
      </c>
      <c r="AC350" s="97">
        <v>0</v>
      </c>
      <c r="AD350" s="120">
        <v>2</v>
      </c>
      <c r="AE350" s="120">
        <v>2</v>
      </c>
      <c r="AF350" s="120">
        <v>2</v>
      </c>
      <c r="AG350" s="97">
        <v>950.899767563765</v>
      </c>
      <c r="AH350" s="97">
        <v>55.2454</v>
      </c>
      <c r="AI350" s="97">
        <v>52.5696564342364</v>
      </c>
      <c r="AJ350" s="97"/>
      <c r="AK350" s="92">
        <v>128.55859</v>
      </c>
      <c r="AL350" s="97">
        <v>22.68</v>
      </c>
      <c r="AM350" s="97">
        <v>0.84</v>
      </c>
      <c r="AN350" s="97">
        <v>6.8</v>
      </c>
      <c r="AO350" s="97">
        <v>1.67</v>
      </c>
      <c r="AP350" s="97">
        <v>0.17</v>
      </c>
      <c r="AQ350" s="97">
        <v>0.29</v>
      </c>
      <c r="AR350" s="97">
        <v>0</v>
      </c>
      <c r="AS350" s="97">
        <v>7.12569999999999</v>
      </c>
      <c r="AT350" s="97">
        <f t="shared" si="80"/>
        <v>16.8957</v>
      </c>
      <c r="AU350" s="97">
        <f t="shared" si="81"/>
        <v>42.6921065199099</v>
      </c>
      <c r="AV350" s="97">
        <v>0</v>
      </c>
      <c r="AW350" s="90" t="s">
        <v>1251</v>
      </c>
      <c r="AX350" s="90" t="s">
        <v>134</v>
      </c>
      <c r="AY350" s="90" t="s">
        <v>134</v>
      </c>
      <c r="AZ350" s="90" t="s">
        <v>212</v>
      </c>
      <c r="BA350" s="90" t="s">
        <v>204</v>
      </c>
      <c r="BB350" s="90" t="s">
        <v>134</v>
      </c>
      <c r="BC350" s="93">
        <v>9</v>
      </c>
      <c r="BD350" s="93">
        <v>18</v>
      </c>
      <c r="BE350" s="59">
        <f>U350/((VLOOKUP(B350,'Cell-Characteristics'!$B$4:$E$34,3,FALSE)*VLOOKUP(B350,'Cell-Characteristics'!$B$4:$E$34,4,FALSE)*3600)/1000)</f>
        <v>1.18736751010876</v>
      </c>
      <c r="BF350" s="90">
        <f t="shared" si="78"/>
        <v>5129.16070919424</v>
      </c>
      <c r="BG350" s="90">
        <f t="shared" si="76"/>
        <v>11185.8675173285</v>
      </c>
      <c r="BH350" s="90">
        <f t="shared" si="77"/>
        <v>67.0813104478617</v>
      </c>
      <c r="BI350" s="90">
        <f t="shared" si="79"/>
        <v>16382.1095369706</v>
      </c>
      <c r="BJ350" s="90">
        <f>BF350/((VLOOKUP(B350,'Cell-Characteristics'!$B$4:$Q$34,13,FALSE)))</f>
        <v>139.614587326317</v>
      </c>
      <c r="BK350" s="90">
        <f>BG350/((VLOOKUP(B350,'Cell-Characteristics'!$B$4:$Q$34,14,FALSE)))</f>
        <v>4397.99776571851</v>
      </c>
      <c r="BL350" s="90">
        <f>BH350/((VLOOKUP(B350,'Cell-Characteristics'!$B$4:$Q$34,15,FALSE)))</f>
        <v>26.3746600801532</v>
      </c>
      <c r="BM350" s="90">
        <f>BI350/((VLOOKUP(B350,'Cell-Characteristics'!$B$4:$Q$34,16,FALSE)))</f>
        <v>391.684109355468</v>
      </c>
      <c r="BN350" s="50">
        <f t="shared" si="75"/>
        <v>2</v>
      </c>
    </row>
    <row r="351" spans="2:66">
      <c r="B351" s="90" t="s">
        <v>12</v>
      </c>
      <c r="C351" s="91" t="s">
        <v>1252</v>
      </c>
      <c r="D351" s="90" t="s">
        <v>227</v>
      </c>
      <c r="E351" s="92" t="s">
        <v>194</v>
      </c>
      <c r="F351" s="93" t="s">
        <v>229</v>
      </c>
      <c r="G351" s="93"/>
      <c r="H351" s="94">
        <v>43400</v>
      </c>
      <c r="I351" s="95" t="s">
        <v>1253</v>
      </c>
      <c r="J351" s="95">
        <v>100</v>
      </c>
      <c r="K351" s="100" t="s">
        <v>134</v>
      </c>
      <c r="L351" s="97">
        <v>39.4589</v>
      </c>
      <c r="M351" s="97">
        <v>48.2</v>
      </c>
      <c r="N351" s="97">
        <v>47.4</v>
      </c>
      <c r="O351" s="92" t="s">
        <v>197</v>
      </c>
      <c r="P351" s="92" t="s">
        <v>198</v>
      </c>
      <c r="Q351" s="98" t="s">
        <v>381</v>
      </c>
      <c r="R351" s="99">
        <v>32.2214955249018</v>
      </c>
      <c r="S351" s="100">
        <v>0.019</v>
      </c>
      <c r="T351" s="100">
        <v>36.1629574554423</v>
      </c>
      <c r="U351" s="97">
        <v>36.7113580528155</v>
      </c>
      <c r="V351" s="97">
        <v>10.9089833500435</v>
      </c>
      <c r="W351" s="97">
        <v>25.3096989709275</v>
      </c>
      <c r="X351" s="97">
        <v>0.492675731844482</v>
      </c>
      <c r="Y351" s="97">
        <v>29.7155537922327</v>
      </c>
      <c r="Z351" s="97">
        <v>68.9424208565513</v>
      </c>
      <c r="AA351" s="97">
        <v>1.34202535121606</v>
      </c>
      <c r="AB351" s="97">
        <v>0.548400597373199</v>
      </c>
      <c r="AC351" s="97">
        <v>0</v>
      </c>
      <c r="AD351" s="120">
        <v>2</v>
      </c>
      <c r="AE351" s="120">
        <v>2</v>
      </c>
      <c r="AF351" s="120">
        <v>2</v>
      </c>
      <c r="AG351" s="97">
        <v>957.541853897351</v>
      </c>
      <c r="AH351" s="97">
        <v>56.3501</v>
      </c>
      <c r="AI351" s="97">
        <v>53.9475498553209</v>
      </c>
      <c r="AJ351" s="97"/>
      <c r="AK351" s="92">
        <v>118.19776</v>
      </c>
      <c r="AL351" s="97">
        <v>21.445</v>
      </c>
      <c r="AM351" s="97">
        <v>1.38</v>
      </c>
      <c r="AN351" s="97">
        <v>6.8</v>
      </c>
      <c r="AO351" s="97">
        <v>2.67</v>
      </c>
      <c r="AP351" s="97">
        <v>1.1</v>
      </c>
      <c r="AQ351" s="97">
        <v>0.6</v>
      </c>
      <c r="AR351" s="97">
        <v>0.13</v>
      </c>
      <c r="AS351" s="97">
        <v>5.33389999999999</v>
      </c>
      <c r="AT351" s="97">
        <f t="shared" si="80"/>
        <v>18.0139</v>
      </c>
      <c r="AU351" s="97">
        <f t="shared" si="81"/>
        <v>45.6523116457884</v>
      </c>
      <c r="AV351" s="97">
        <v>0</v>
      </c>
      <c r="AW351" s="90" t="s">
        <v>1254</v>
      </c>
      <c r="AX351" s="90" t="s">
        <v>134</v>
      </c>
      <c r="AY351" s="90" t="s">
        <v>134</v>
      </c>
      <c r="AZ351" s="90" t="s">
        <v>203</v>
      </c>
      <c r="BA351" s="90" t="s">
        <v>204</v>
      </c>
      <c r="BB351" s="90" t="s">
        <v>134</v>
      </c>
      <c r="BC351" s="93">
        <v>6</v>
      </c>
      <c r="BD351" s="93">
        <v>12</v>
      </c>
      <c r="BE351" s="59">
        <f>U351/((VLOOKUP(B351,'Cell-Characteristics'!$B$4:$E$34,3,FALSE)*VLOOKUP(B351,'Cell-Characteristics'!$B$4:$E$34,4,FALSE)*3600)/1000)</f>
        <v>1.33041088833861</v>
      </c>
      <c r="BF351" s="90">
        <f t="shared" si="78"/>
        <v>5454.49167502177</v>
      </c>
      <c r="BG351" s="90">
        <f t="shared" si="76"/>
        <v>12654.8494854637</v>
      </c>
      <c r="BH351" s="90">
        <f t="shared" si="77"/>
        <v>246.337865922241</v>
      </c>
      <c r="BI351" s="90">
        <f t="shared" si="79"/>
        <v>18355.6790264077</v>
      </c>
      <c r="BJ351" s="90">
        <f>BF351/((VLOOKUP(B351,'Cell-Characteristics'!$B$4:$Q$34,13,FALSE)))</f>
        <v>148.470022184707</v>
      </c>
      <c r="BK351" s="90">
        <f>BG351/((VLOOKUP(B351,'Cell-Characteristics'!$B$4:$Q$34,14,FALSE)))</f>
        <v>4975.56400309182</v>
      </c>
      <c r="BL351" s="90">
        <f>BH351/((VLOOKUP(B351,'Cell-Characteristics'!$B$4:$Q$34,15,FALSE)))</f>
        <v>96.8537650083515</v>
      </c>
      <c r="BM351" s="90">
        <f>BI351/((VLOOKUP(B351,'Cell-Characteristics'!$B$4:$Q$34,16,FALSE)))</f>
        <v>438.87069457374</v>
      </c>
      <c r="BN351" s="50">
        <f t="shared" si="75"/>
        <v>2</v>
      </c>
    </row>
    <row r="352" spans="2:66">
      <c r="B352" s="90" t="s">
        <v>12</v>
      </c>
      <c r="C352" s="91" t="s">
        <v>1255</v>
      </c>
      <c r="D352" s="90" t="s">
        <v>244</v>
      </c>
      <c r="E352" s="92" t="s">
        <v>194</v>
      </c>
      <c r="F352" s="93" t="s">
        <v>245</v>
      </c>
      <c r="G352" s="93"/>
      <c r="H352" s="94">
        <v>43509</v>
      </c>
      <c r="I352" s="95" t="s">
        <v>1256</v>
      </c>
      <c r="J352" s="95">
        <v>100</v>
      </c>
      <c r="K352" s="96">
        <v>4.159</v>
      </c>
      <c r="L352" s="97">
        <v>39.5815</v>
      </c>
      <c r="M352" s="97">
        <v>50.7</v>
      </c>
      <c r="N352" s="97">
        <v>51</v>
      </c>
      <c r="O352" s="96" t="s">
        <v>197</v>
      </c>
      <c r="P352" s="96" t="s">
        <v>198</v>
      </c>
      <c r="Q352" s="98" t="s">
        <v>381</v>
      </c>
      <c r="R352" s="99">
        <v>29.1013836692757</v>
      </c>
      <c r="S352" s="100">
        <v>0.02</v>
      </c>
      <c r="T352" s="100">
        <v>30.8499809025311</v>
      </c>
      <c r="U352" s="97">
        <v>32.2715907653409</v>
      </c>
      <c r="V352" s="97">
        <v>8.16884323301519</v>
      </c>
      <c r="W352" s="97">
        <v>23.7542424595549</v>
      </c>
      <c r="X352" s="97">
        <v>0.348505072770799</v>
      </c>
      <c r="Y352" s="97">
        <v>25.312800017867</v>
      </c>
      <c r="Z352" s="97">
        <v>73.6072870788463</v>
      </c>
      <c r="AA352" s="97">
        <v>1.07991290328671</v>
      </c>
      <c r="AB352" s="97">
        <v>1.42160986280985</v>
      </c>
      <c r="AC352" s="97">
        <v>0</v>
      </c>
      <c r="AD352" s="120">
        <v>2</v>
      </c>
      <c r="AE352" s="120">
        <v>2</v>
      </c>
      <c r="AF352" s="120">
        <v>2</v>
      </c>
      <c r="AG352" s="97">
        <v>952.653347980123</v>
      </c>
      <c r="AH352" s="97">
        <v>100.0047</v>
      </c>
      <c r="AI352" s="97">
        <v>65.0666292551274</v>
      </c>
      <c r="AJ352" s="97"/>
      <c r="AK352" s="92">
        <v>201.47652</v>
      </c>
      <c r="AL352" s="97">
        <v>19.8</v>
      </c>
      <c r="AM352" s="97">
        <v>0.9</v>
      </c>
      <c r="AN352" s="97">
        <v>6.5</v>
      </c>
      <c r="AO352" s="97">
        <v>1.3</v>
      </c>
      <c r="AP352" s="97">
        <v>0</v>
      </c>
      <c r="AQ352" s="97">
        <v>0</v>
      </c>
      <c r="AR352" s="97">
        <v>0</v>
      </c>
      <c r="AS352" s="97">
        <v>11.0815</v>
      </c>
      <c r="AT352" s="97">
        <f t="shared" si="80"/>
        <v>19.7815</v>
      </c>
      <c r="AU352" s="97">
        <f t="shared" si="81"/>
        <v>49.9766304965704</v>
      </c>
      <c r="AV352" s="97">
        <v>0</v>
      </c>
      <c r="AW352" s="90" t="s">
        <v>1257</v>
      </c>
      <c r="AX352" s="90" t="s">
        <v>248</v>
      </c>
      <c r="AY352" s="90" t="s">
        <v>1258</v>
      </c>
      <c r="AZ352" s="90" t="s">
        <v>203</v>
      </c>
      <c r="BA352" s="90" t="s">
        <v>204</v>
      </c>
      <c r="BB352" s="90" t="s">
        <v>1259</v>
      </c>
      <c r="BC352" s="93">
        <v>3</v>
      </c>
      <c r="BD352" s="93">
        <v>6</v>
      </c>
      <c r="BE352" s="59">
        <f>U352/((VLOOKUP(B352,'Cell-Characteristics'!$B$4:$E$34,3,FALSE)*VLOOKUP(B352,'Cell-Characteristics'!$B$4:$E$34,4,FALSE)*3600)/1000)</f>
        <v>1.16951477731902</v>
      </c>
      <c r="BF352" s="90">
        <f t="shared" si="78"/>
        <v>4084.42161650759</v>
      </c>
      <c r="BG352" s="90">
        <f t="shared" si="76"/>
        <v>11877.1212297775</v>
      </c>
      <c r="BH352" s="90">
        <f t="shared" si="77"/>
        <v>174.2525363854</v>
      </c>
      <c r="BI352" s="90">
        <f t="shared" si="79"/>
        <v>16135.7953826705</v>
      </c>
      <c r="BJ352" s="90">
        <f>BF352/((VLOOKUP(B352,'Cell-Characteristics'!$B$4:$Q$34,13,FALSE)))</f>
        <v>111.177026961391</v>
      </c>
      <c r="BK352" s="90">
        <f>BG352/((VLOOKUP(B352,'Cell-Characteristics'!$B$4:$Q$34,14,FALSE)))</f>
        <v>4669.78109215124</v>
      </c>
      <c r="BL352" s="90">
        <f>BH352/((VLOOKUP(B352,'Cell-Characteristics'!$B$4:$Q$34,15,FALSE)))</f>
        <v>68.5116522707398</v>
      </c>
      <c r="BM352" s="90">
        <f>BI352/((VLOOKUP(B352,'Cell-Characteristics'!$B$4:$Q$34,16,FALSE)))</f>
        <v>385.794920302559</v>
      </c>
      <c r="BN352" s="50">
        <f t="shared" si="75"/>
        <v>2</v>
      </c>
    </row>
    <row r="353" spans="2:66">
      <c r="B353" s="90" t="s">
        <v>12</v>
      </c>
      <c r="C353" s="91" t="s">
        <v>1260</v>
      </c>
      <c r="D353" s="90" t="s">
        <v>227</v>
      </c>
      <c r="E353" s="92" t="s">
        <v>228</v>
      </c>
      <c r="F353" s="93" t="s">
        <v>229</v>
      </c>
      <c r="G353" s="93"/>
      <c r="H353" s="94">
        <v>43399</v>
      </c>
      <c r="I353" s="95" t="s">
        <v>1261</v>
      </c>
      <c r="J353" s="95">
        <v>100</v>
      </c>
      <c r="K353" s="96">
        <v>4.158</v>
      </c>
      <c r="L353" s="97">
        <v>38.9986</v>
      </c>
      <c r="M353" s="97">
        <v>48.2</v>
      </c>
      <c r="N353" s="97">
        <v>47.7</v>
      </c>
      <c r="O353" s="96" t="s">
        <v>198</v>
      </c>
      <c r="P353" s="96" t="s">
        <v>198</v>
      </c>
      <c r="Q353" s="98" t="s">
        <v>381</v>
      </c>
      <c r="R353" s="99">
        <v>32.8025583152475</v>
      </c>
      <c r="S353" s="100">
        <v>0.032</v>
      </c>
      <c r="T353" s="100">
        <v>41.4021111503385</v>
      </c>
      <c r="U353" s="97">
        <v>41.4021111503385</v>
      </c>
      <c r="V353" s="97">
        <v>5.5304376478182</v>
      </c>
      <c r="W353" s="97">
        <v>34.7642550471334</v>
      </c>
      <c r="X353" s="97">
        <v>1.10741845538692</v>
      </c>
      <c r="Y353" s="97">
        <v>13.3578638725359</v>
      </c>
      <c r="Z353" s="97">
        <v>83.9673487202093</v>
      </c>
      <c r="AA353" s="97">
        <v>2.67478740725488</v>
      </c>
      <c r="AB353" s="97">
        <v>0</v>
      </c>
      <c r="AC353" s="97">
        <v>0</v>
      </c>
      <c r="AD353" s="120">
        <v>2</v>
      </c>
      <c r="AE353" s="120">
        <v>2</v>
      </c>
      <c r="AF353" s="120">
        <v>2</v>
      </c>
      <c r="AG353" s="97">
        <v>955.21329626159</v>
      </c>
      <c r="AH353" s="97">
        <v>108.4256</v>
      </c>
      <c r="AI353" s="97">
        <v>103.780498481612</v>
      </c>
      <c r="AJ353" s="97"/>
      <c r="AK353" s="92">
        <v>284.28119</v>
      </c>
      <c r="AL353" s="97">
        <v>18.9882</v>
      </c>
      <c r="AM353" s="97">
        <v>14.856</v>
      </c>
      <c r="AN353" s="97">
        <v>7.0676</v>
      </c>
      <c r="AO353" s="97">
        <v>1.6322</v>
      </c>
      <c r="AP353" s="97">
        <v>0.1969</v>
      </c>
      <c r="AQ353" s="97">
        <v>0</v>
      </c>
      <c r="AR353" s="97">
        <v>0.0996</v>
      </c>
      <c r="AS353" s="97">
        <v>-3.8419</v>
      </c>
      <c r="AT353" s="97">
        <f t="shared" si="80"/>
        <v>20.0104</v>
      </c>
      <c r="AU353" s="97">
        <f t="shared" si="81"/>
        <v>51.3105598662516</v>
      </c>
      <c r="AV353" s="97">
        <v>0</v>
      </c>
      <c r="AW353" s="90" t="s">
        <v>1262</v>
      </c>
      <c r="AX353" s="90" t="s">
        <v>134</v>
      </c>
      <c r="AY353" s="90" t="s">
        <v>134</v>
      </c>
      <c r="AZ353" s="90" t="s">
        <v>212</v>
      </c>
      <c r="BA353" s="90" t="s">
        <v>204</v>
      </c>
      <c r="BB353" s="90" t="s">
        <v>1263</v>
      </c>
      <c r="BC353" s="93">
        <v>7</v>
      </c>
      <c r="BD353" s="93">
        <v>14</v>
      </c>
      <c r="BE353" s="59">
        <f>U353/((VLOOKUP(B353,'Cell-Characteristics'!$B$4:$E$34,3,FALSE)*VLOOKUP(B353,'Cell-Characteristics'!$B$4:$E$34,4,FALSE)*3600)/1000)</f>
        <v>1.50040266544678</v>
      </c>
      <c r="BF353" s="90">
        <f t="shared" si="78"/>
        <v>2765.2188239091</v>
      </c>
      <c r="BG353" s="90">
        <f t="shared" si="76"/>
        <v>17382.1275235667</v>
      </c>
      <c r="BH353" s="90">
        <f t="shared" si="77"/>
        <v>553.709227693461</v>
      </c>
      <c r="BI353" s="90">
        <f t="shared" si="79"/>
        <v>20701.0555751692</v>
      </c>
      <c r="BJ353" s="90">
        <f>BF353/((VLOOKUP(B353,'Cell-Characteristics'!$B$4:$Q$34,13,FALSE)))</f>
        <v>75.2686271410829</v>
      </c>
      <c r="BK353" s="90">
        <f>BG353/((VLOOKUP(B353,'Cell-Characteristics'!$B$4:$Q$34,14,FALSE)))</f>
        <v>6834.20913877749</v>
      </c>
      <c r="BL353" s="90">
        <f>BH353/((VLOOKUP(B353,'Cell-Characteristics'!$B$4:$Q$34,15,FALSE)))</f>
        <v>217.704343671251</v>
      </c>
      <c r="BM353" s="90">
        <f>BI353/((VLOOKUP(B353,'Cell-Characteristics'!$B$4:$Q$34,16,FALSE)))</f>
        <v>494.946911286348</v>
      </c>
      <c r="BN353" s="50">
        <f t="shared" si="75"/>
        <v>2</v>
      </c>
    </row>
    <row r="354" spans="2:66">
      <c r="B354" s="90" t="s">
        <v>12</v>
      </c>
      <c r="C354" s="91" t="s">
        <v>1264</v>
      </c>
      <c r="D354" s="90" t="s">
        <v>227</v>
      </c>
      <c r="E354" s="92" t="s">
        <v>228</v>
      </c>
      <c r="F354" s="93" t="s">
        <v>229</v>
      </c>
      <c r="G354" s="93"/>
      <c r="H354" s="94">
        <v>43399</v>
      </c>
      <c r="I354" s="95" t="s">
        <v>1265</v>
      </c>
      <c r="J354" s="95">
        <v>100</v>
      </c>
      <c r="K354" s="96">
        <v>4.157</v>
      </c>
      <c r="L354" s="97">
        <v>39.1385</v>
      </c>
      <c r="M354" s="97">
        <v>52</v>
      </c>
      <c r="N354" s="97">
        <v>50.3</v>
      </c>
      <c r="O354" s="96" t="s">
        <v>198</v>
      </c>
      <c r="P354" s="96" t="s">
        <v>198</v>
      </c>
      <c r="Q354" s="98" t="s">
        <v>381</v>
      </c>
      <c r="R354" s="99">
        <v>27.5952148937998</v>
      </c>
      <c r="S354" s="100">
        <v>0.028</v>
      </c>
      <c r="T354" s="100">
        <v>33.2867618353142</v>
      </c>
      <c r="U354" s="97">
        <v>33.8247143392881</v>
      </c>
      <c r="V354" s="97">
        <v>12.1606958260656</v>
      </c>
      <c r="W354" s="97">
        <v>20.9320623496188</v>
      </c>
      <c r="X354" s="97">
        <v>0.7319561636037</v>
      </c>
      <c r="Y354" s="97">
        <v>35.9521020756727</v>
      </c>
      <c r="Z354" s="97">
        <v>61.8839294240714</v>
      </c>
      <c r="AA354" s="97">
        <v>2.1639685002558</v>
      </c>
      <c r="AB354" s="97">
        <v>0.53795250397392</v>
      </c>
      <c r="AC354" s="97">
        <v>0</v>
      </c>
      <c r="AD354" s="120">
        <v>2</v>
      </c>
      <c r="AE354" s="120">
        <v>2</v>
      </c>
      <c r="AF354" s="120">
        <v>2</v>
      </c>
      <c r="AG354" s="97">
        <v>959.320963198251</v>
      </c>
      <c r="AH354" s="97">
        <v>106.1546</v>
      </c>
      <c r="AI354" s="97">
        <v>101.942399815954</v>
      </c>
      <c r="AJ354" s="97"/>
      <c r="AK354" s="92">
        <v>252.34997</v>
      </c>
      <c r="AL354" s="97">
        <v>24.7193</v>
      </c>
      <c r="AM354" s="97">
        <v>0.9327</v>
      </c>
      <c r="AN354" s="97">
        <v>4.8325</v>
      </c>
      <c r="AO354" s="97">
        <v>0.8156</v>
      </c>
      <c r="AP354" s="97">
        <v>0.1923</v>
      </c>
      <c r="AQ354" s="97">
        <v>0.343</v>
      </c>
      <c r="AR354" s="97">
        <v>0</v>
      </c>
      <c r="AS354" s="97">
        <v>7.3031</v>
      </c>
      <c r="AT354" s="97">
        <f t="shared" si="80"/>
        <v>14.4192</v>
      </c>
      <c r="AU354" s="97">
        <f t="shared" si="81"/>
        <v>36.8414732296843</v>
      </c>
      <c r="AV354" s="97">
        <v>0</v>
      </c>
      <c r="AW354" s="90" t="s">
        <v>1266</v>
      </c>
      <c r="AX354" s="90" t="s">
        <v>134</v>
      </c>
      <c r="AY354" s="90" t="s">
        <v>134</v>
      </c>
      <c r="AZ354" s="90" t="s">
        <v>212</v>
      </c>
      <c r="BA354" s="90" t="s">
        <v>204</v>
      </c>
      <c r="BB354" s="90" t="s">
        <v>134</v>
      </c>
      <c r="BC354" s="93">
        <v>6</v>
      </c>
      <c r="BD354" s="93">
        <v>12</v>
      </c>
      <c r="BE354" s="59">
        <f>U354/((VLOOKUP(B354,'Cell-Characteristics'!$B$4:$E$34,3,FALSE)*VLOOKUP(B354,'Cell-Characteristics'!$B$4:$E$34,4,FALSE)*3600)/1000)</f>
        <v>1.22579960641038</v>
      </c>
      <c r="BF354" s="90">
        <f t="shared" si="78"/>
        <v>6080.34791303278</v>
      </c>
      <c r="BG354" s="90">
        <f t="shared" si="76"/>
        <v>10466.0311748094</v>
      </c>
      <c r="BH354" s="90">
        <f t="shared" si="77"/>
        <v>365.97808180185</v>
      </c>
      <c r="BI354" s="90">
        <f t="shared" si="79"/>
        <v>16912.357169644</v>
      </c>
      <c r="BJ354" s="90">
        <f>BF354/((VLOOKUP(B354,'Cell-Characteristics'!$B$4:$Q$34,13,FALSE)))</f>
        <v>165.505686565213</v>
      </c>
      <c r="BK354" s="90">
        <f>BG354/((VLOOKUP(B354,'Cell-Characteristics'!$B$4:$Q$34,14,FALSE)))</f>
        <v>4114.97647826115</v>
      </c>
      <c r="BL354" s="90">
        <f>BH354/((VLOOKUP(B354,'Cell-Characteristics'!$B$4:$Q$34,15,FALSE)))</f>
        <v>143.893245970689</v>
      </c>
      <c r="BM354" s="90">
        <f>BI354/((VLOOKUP(B354,'Cell-Characteristics'!$B$4:$Q$34,16,FALSE)))</f>
        <v>404.361937645704</v>
      </c>
      <c r="BN354" s="50">
        <f t="shared" si="75"/>
        <v>2</v>
      </c>
    </row>
    <row r="355" spans="2:66">
      <c r="B355" s="90" t="s">
        <v>12</v>
      </c>
      <c r="C355" s="91" t="s">
        <v>1267</v>
      </c>
      <c r="D355" s="90" t="s">
        <v>227</v>
      </c>
      <c r="E355" s="92" t="s">
        <v>228</v>
      </c>
      <c r="F355" s="93" t="s">
        <v>229</v>
      </c>
      <c r="G355" s="93"/>
      <c r="H355" s="94">
        <v>43400</v>
      </c>
      <c r="I355" s="95" t="s">
        <v>1268</v>
      </c>
      <c r="J355" s="95">
        <v>100</v>
      </c>
      <c r="K355" s="96">
        <v>4.158</v>
      </c>
      <c r="L355" s="97">
        <v>39.4601</v>
      </c>
      <c r="M355" s="97">
        <v>48.4</v>
      </c>
      <c r="N355" s="97">
        <v>47.9</v>
      </c>
      <c r="O355" s="96" t="s">
        <v>197</v>
      </c>
      <c r="P355" s="96" t="s">
        <v>198</v>
      </c>
      <c r="Q355" s="98" t="s">
        <v>381</v>
      </c>
      <c r="R355" s="99">
        <v>25.070720835933</v>
      </c>
      <c r="S355" s="100">
        <v>0.025</v>
      </c>
      <c r="T355" s="100">
        <v>29.6769044364333</v>
      </c>
      <c r="U355" s="97">
        <v>30.4262144718448</v>
      </c>
      <c r="V355" s="97">
        <v>10.3992204271781</v>
      </c>
      <c r="W355" s="97">
        <v>19.5620782127507</v>
      </c>
      <c r="X355" s="97">
        <v>0.464915831916053</v>
      </c>
      <c r="Y355" s="97">
        <v>34.1784891998349</v>
      </c>
      <c r="Z355" s="97">
        <v>64.293500037123</v>
      </c>
      <c r="AA355" s="97">
        <v>1.52801076304207</v>
      </c>
      <c r="AB355" s="97">
        <v>0.74931003541152</v>
      </c>
      <c r="AC355" s="97">
        <v>0</v>
      </c>
      <c r="AD355" s="120">
        <v>2</v>
      </c>
      <c r="AE355" s="120">
        <v>2</v>
      </c>
      <c r="AF355" s="120">
        <v>2</v>
      </c>
      <c r="AG355" s="97">
        <v>969.672595595495</v>
      </c>
      <c r="AH355" s="97">
        <v>88.4879</v>
      </c>
      <c r="AI355" s="97">
        <v>86.0084124450226</v>
      </c>
      <c r="AJ355" s="97"/>
      <c r="AK355" s="92">
        <v>221.00571</v>
      </c>
      <c r="AL355" s="97">
        <v>24.6102</v>
      </c>
      <c r="AM355" s="97">
        <v>0.5945</v>
      </c>
      <c r="AN355" s="97">
        <v>5.194</v>
      </c>
      <c r="AO355" s="97">
        <v>0.7994</v>
      </c>
      <c r="AP355" s="97">
        <v>0</v>
      </c>
      <c r="AQ355" s="97">
        <v>0</v>
      </c>
      <c r="AR355" s="97">
        <v>0</v>
      </c>
      <c r="AS355" s="97">
        <v>8.262</v>
      </c>
      <c r="AT355" s="97">
        <f t="shared" si="80"/>
        <v>14.8499</v>
      </c>
      <c r="AU355" s="97">
        <f t="shared" si="81"/>
        <v>37.6326973322419</v>
      </c>
      <c r="AV355" s="97">
        <v>0</v>
      </c>
      <c r="AW355" s="90" t="s">
        <v>1269</v>
      </c>
      <c r="AX355" s="90" t="s">
        <v>134</v>
      </c>
      <c r="AY355" s="90" t="s">
        <v>134</v>
      </c>
      <c r="AZ355" s="90" t="s">
        <v>203</v>
      </c>
      <c r="BA355" s="90" t="s">
        <v>204</v>
      </c>
      <c r="BB355" s="90" t="s">
        <v>1270</v>
      </c>
      <c r="BC355" s="93">
        <v>7</v>
      </c>
      <c r="BD355" s="93">
        <v>14</v>
      </c>
      <c r="BE355" s="59">
        <f>U355/((VLOOKUP(B355,'Cell-Characteristics'!$B$4:$E$34,3,FALSE)*VLOOKUP(B355,'Cell-Characteristics'!$B$4:$E$34,4,FALSE)*3600)/1000)</f>
        <v>1.10263877914927</v>
      </c>
      <c r="BF355" s="90">
        <f t="shared" si="78"/>
        <v>5199.61021358905</v>
      </c>
      <c r="BG355" s="90">
        <f t="shared" si="76"/>
        <v>9781.03910637534</v>
      </c>
      <c r="BH355" s="90">
        <f t="shared" si="77"/>
        <v>232.457915958027</v>
      </c>
      <c r="BI355" s="90">
        <f t="shared" si="79"/>
        <v>15213.1072359224</v>
      </c>
      <c r="BJ355" s="90">
        <f>BF355/((VLOOKUP(B355,'Cell-Characteristics'!$B$4:$Q$34,13,FALSE)))</f>
        <v>141.532206804645</v>
      </c>
      <c r="BK355" s="90">
        <f>BG355/((VLOOKUP(B355,'Cell-Characteristics'!$B$4:$Q$34,14,FALSE)))</f>
        <v>3845.65507052581</v>
      </c>
      <c r="BL355" s="90">
        <f>BH355/((VLOOKUP(B355,'Cell-Characteristics'!$B$4:$Q$34,15,FALSE)))</f>
        <v>91.3965227483001</v>
      </c>
      <c r="BM355" s="90">
        <f>BI355/((VLOOKUP(B355,'Cell-Characteristics'!$B$4:$Q$34,16,FALSE)))</f>
        <v>363.73412989237</v>
      </c>
      <c r="BN355" s="50">
        <f t="shared" si="75"/>
        <v>2</v>
      </c>
    </row>
    <row r="356" spans="2:66">
      <c r="B356" s="90" t="s">
        <v>12</v>
      </c>
      <c r="C356" s="91" t="s">
        <v>1271</v>
      </c>
      <c r="D356" s="90" t="s">
        <v>227</v>
      </c>
      <c r="E356" s="92" t="s">
        <v>228</v>
      </c>
      <c r="F356" s="93" t="s">
        <v>229</v>
      </c>
      <c r="G356" s="93"/>
      <c r="H356" s="94">
        <v>43400</v>
      </c>
      <c r="I356" s="95" t="s">
        <v>1272</v>
      </c>
      <c r="J356" s="95">
        <v>100</v>
      </c>
      <c r="K356" s="96">
        <v>4.145</v>
      </c>
      <c r="L356" s="97">
        <v>39.3493</v>
      </c>
      <c r="M356" s="97">
        <v>46.1</v>
      </c>
      <c r="N356" s="97">
        <v>46.4</v>
      </c>
      <c r="O356" s="96" t="s">
        <v>197</v>
      </c>
      <c r="P356" s="96" t="s">
        <v>198</v>
      </c>
      <c r="Q356" s="98" t="s">
        <v>381</v>
      </c>
      <c r="R356" s="99">
        <v>29.9893157579102</v>
      </c>
      <c r="S356" s="100">
        <v>0.03</v>
      </c>
      <c r="T356" s="100">
        <v>35.8564126607624</v>
      </c>
      <c r="U356" s="97">
        <v>36.6673273596171</v>
      </c>
      <c r="V356" s="97">
        <v>13.0489205193616</v>
      </c>
      <c r="W356" s="97">
        <v>22.7069493223449</v>
      </c>
      <c r="X356" s="97">
        <v>0.91145751791063</v>
      </c>
      <c r="Y356" s="97">
        <v>35.5873238084235</v>
      </c>
      <c r="Z356" s="97">
        <v>61.9269277513604</v>
      </c>
      <c r="AA356" s="97">
        <v>2.48574844021614</v>
      </c>
      <c r="AB356" s="97">
        <v>0.810914698854702</v>
      </c>
      <c r="AC356" s="97">
        <v>0</v>
      </c>
      <c r="AD356" s="120">
        <v>2</v>
      </c>
      <c r="AE356" s="120">
        <v>2</v>
      </c>
      <c r="AF356" s="120">
        <v>2</v>
      </c>
      <c r="AG356" s="97">
        <v>943.83756910864</v>
      </c>
      <c r="AH356" s="97">
        <v>97.5843</v>
      </c>
      <c r="AI356" s="97">
        <v>92.1765016978892</v>
      </c>
      <c r="AJ356" s="97"/>
      <c r="AK356" s="92">
        <v>218.08862</v>
      </c>
      <c r="AL356" s="97">
        <v>23.85</v>
      </c>
      <c r="AM356" s="97">
        <v>0.8215</v>
      </c>
      <c r="AN356" s="97">
        <v>5.4248</v>
      </c>
      <c r="AO356" s="97">
        <v>1.2437</v>
      </c>
      <c r="AP356" s="97">
        <v>0</v>
      </c>
      <c r="AQ356" s="97">
        <v>0</v>
      </c>
      <c r="AR356" s="97">
        <v>0</v>
      </c>
      <c r="AS356" s="97">
        <v>8.0093</v>
      </c>
      <c r="AT356" s="97">
        <f t="shared" si="80"/>
        <v>15.4993</v>
      </c>
      <c r="AU356" s="97">
        <f t="shared" si="81"/>
        <v>39.3890107320842</v>
      </c>
      <c r="AV356" s="97">
        <v>0</v>
      </c>
      <c r="AW356" s="90" t="s">
        <v>1273</v>
      </c>
      <c r="AX356" s="90" t="s">
        <v>134</v>
      </c>
      <c r="AY356" s="90" t="s">
        <v>134</v>
      </c>
      <c r="AZ356" s="90" t="s">
        <v>203</v>
      </c>
      <c r="BA356" s="90" t="s">
        <v>204</v>
      </c>
      <c r="BB356" s="90" t="s">
        <v>1270</v>
      </c>
      <c r="BC356" s="93">
        <v>6</v>
      </c>
      <c r="BD356" s="93">
        <v>12</v>
      </c>
      <c r="BE356" s="59">
        <f>U356/((VLOOKUP(B356,'Cell-Characteristics'!$B$4:$E$34,3,FALSE)*VLOOKUP(B356,'Cell-Characteristics'!$B$4:$E$34,4,FALSE)*3600)/1000)</f>
        <v>1.32881522648464</v>
      </c>
      <c r="BF356" s="90">
        <f t="shared" si="78"/>
        <v>6524.46025968081</v>
      </c>
      <c r="BG356" s="90">
        <f t="shared" si="76"/>
        <v>11353.4746611724</v>
      </c>
      <c r="BH356" s="90">
        <f t="shared" si="77"/>
        <v>455.728758955315</v>
      </c>
      <c r="BI356" s="90">
        <f t="shared" si="79"/>
        <v>18333.6636798086</v>
      </c>
      <c r="BJ356" s="90">
        <f>BF356/((VLOOKUP(B356,'Cell-Characteristics'!$B$4:$Q$34,13,FALSE)))</f>
        <v>177.594323579967</v>
      </c>
      <c r="BK356" s="90">
        <f>BG356/((VLOOKUP(B356,'Cell-Characteristics'!$B$4:$Q$34,14,FALSE)))</f>
        <v>4463.89661916035</v>
      </c>
      <c r="BL356" s="90">
        <f>BH356/((VLOOKUP(B356,'Cell-Characteristics'!$B$4:$Q$34,15,FALSE)))</f>
        <v>179.180922762961</v>
      </c>
      <c r="BM356" s="90">
        <f>BI356/((VLOOKUP(B356,'Cell-Characteristics'!$B$4:$Q$34,16,FALSE)))</f>
        <v>438.344323937199</v>
      </c>
      <c r="BN356" s="50">
        <f t="shared" si="75"/>
        <v>2</v>
      </c>
    </row>
    <row r="357" spans="2:66">
      <c r="B357" s="90" t="s">
        <v>12</v>
      </c>
      <c r="C357" s="91" t="s">
        <v>1274</v>
      </c>
      <c r="D357" s="90" t="s">
        <v>227</v>
      </c>
      <c r="E357" s="92" t="s">
        <v>265</v>
      </c>
      <c r="F357" s="93" t="s">
        <v>229</v>
      </c>
      <c r="G357" s="93"/>
      <c r="H357" s="94">
        <v>43402</v>
      </c>
      <c r="I357" s="95" t="s">
        <v>1275</v>
      </c>
      <c r="J357" s="95">
        <v>100</v>
      </c>
      <c r="K357" s="96">
        <v>4.158</v>
      </c>
      <c r="L357" s="97">
        <v>39.2274</v>
      </c>
      <c r="M357" s="97">
        <v>49.4</v>
      </c>
      <c r="N357" s="97">
        <v>48.3</v>
      </c>
      <c r="O357" s="96" t="s">
        <v>198</v>
      </c>
      <c r="P357" s="96" t="s">
        <v>198</v>
      </c>
      <c r="Q357" s="98" t="s">
        <v>381</v>
      </c>
      <c r="R357" s="99">
        <v>32.7923819285129</v>
      </c>
      <c r="S357" s="100">
        <v>0.011</v>
      </c>
      <c r="T357" s="100">
        <v>35.0430335730272</v>
      </c>
      <c r="U357" s="97">
        <v>36.2491417326427</v>
      </c>
      <c r="V357" s="97">
        <v>10.1009393120596</v>
      </c>
      <c r="W357" s="97">
        <v>26.0314870441581</v>
      </c>
      <c r="X357" s="97">
        <v>0.11671537642496</v>
      </c>
      <c r="Y357" s="97">
        <v>27.8653199200124</v>
      </c>
      <c r="Z357" s="97">
        <v>71.8126990044471</v>
      </c>
      <c r="AA357" s="97">
        <v>0.321981075540492</v>
      </c>
      <c r="AB357" s="97">
        <v>1.2061081596155</v>
      </c>
      <c r="AC357" s="97">
        <v>0</v>
      </c>
      <c r="AD357" s="120">
        <v>2</v>
      </c>
      <c r="AE357" s="120">
        <v>2</v>
      </c>
      <c r="AF357" s="120">
        <v>2</v>
      </c>
      <c r="AG357" s="97" t="s">
        <v>134</v>
      </c>
      <c r="AH357" s="97" t="s">
        <v>134</v>
      </c>
      <c r="AI357" s="97" t="s">
        <v>134</v>
      </c>
      <c r="AJ357" s="97"/>
      <c r="AK357" s="92" t="s">
        <v>134</v>
      </c>
      <c r="AL357" s="97">
        <v>21.88</v>
      </c>
      <c r="AM357" s="97">
        <v>0</v>
      </c>
      <c r="AN357" s="97">
        <v>5.57</v>
      </c>
      <c r="AO357" s="97">
        <v>1.88</v>
      </c>
      <c r="AP357" s="97">
        <v>0</v>
      </c>
      <c r="AQ357" s="97">
        <v>0</v>
      </c>
      <c r="AR357" s="97">
        <v>0</v>
      </c>
      <c r="AS357" s="97">
        <v>9.8974</v>
      </c>
      <c r="AT357" s="97">
        <f t="shared" si="80"/>
        <v>17.3474</v>
      </c>
      <c r="AU357" s="97">
        <f t="shared" si="81"/>
        <v>44.2226606912515</v>
      </c>
      <c r="AV357" s="97">
        <v>0</v>
      </c>
      <c r="AW357" s="90" t="s">
        <v>1276</v>
      </c>
      <c r="AX357" s="90" t="s">
        <v>134</v>
      </c>
      <c r="AY357" s="90" t="s">
        <v>134</v>
      </c>
      <c r="AZ357" s="90" t="s">
        <v>212</v>
      </c>
      <c r="BA357" s="90" t="s">
        <v>204</v>
      </c>
      <c r="BB357" s="90" t="s">
        <v>1277</v>
      </c>
      <c r="BC357" s="93">
        <v>9</v>
      </c>
      <c r="BD357" s="93">
        <v>18</v>
      </c>
      <c r="BE357" s="59">
        <f>U357/((VLOOKUP(B357,'Cell-Characteristics'!$B$4:$E$34,3,FALSE)*VLOOKUP(B357,'Cell-Characteristics'!$B$4:$E$34,4,FALSE)*3600)/1000)</f>
        <v>1.31366027877954</v>
      </c>
      <c r="BF357" s="90">
        <f t="shared" si="78"/>
        <v>5050.46965602982</v>
      </c>
      <c r="BG357" s="90">
        <f t="shared" si="76"/>
        <v>13015.7435220791</v>
      </c>
      <c r="BH357" s="90">
        <f t="shared" si="77"/>
        <v>58.3576882124802</v>
      </c>
      <c r="BI357" s="90">
        <f t="shared" si="79"/>
        <v>18124.5708663214</v>
      </c>
      <c r="BJ357" s="90">
        <f>BF357/((VLOOKUP(B357,'Cell-Characteristics'!$B$4:$Q$34,13,FALSE)))</f>
        <v>137.472634765905</v>
      </c>
      <c r="BK357" s="90">
        <f>BG357/((VLOOKUP(B357,'Cell-Characteristics'!$B$4:$Q$34,14,FALSE)))</f>
        <v>5117.4583321849</v>
      </c>
      <c r="BL357" s="90">
        <f>BH357/((VLOOKUP(B357,'Cell-Characteristics'!$B$4:$Q$34,15,FALSE)))</f>
        <v>22.944754349485</v>
      </c>
      <c r="BM357" s="90">
        <f>BI357/((VLOOKUP(B357,'Cell-Characteristics'!$B$4:$Q$34,16,FALSE)))</f>
        <v>433.345069583629</v>
      </c>
      <c r="BN357" s="50">
        <f t="shared" si="75"/>
        <v>2</v>
      </c>
    </row>
    <row r="358" spans="2:66">
      <c r="B358" s="90" t="s">
        <v>12</v>
      </c>
      <c r="C358" s="90" t="s">
        <v>1278</v>
      </c>
      <c r="D358" s="90" t="s">
        <v>227</v>
      </c>
      <c r="E358" s="92" t="s">
        <v>265</v>
      </c>
      <c r="F358" s="93" t="s">
        <v>229</v>
      </c>
      <c r="G358" s="93"/>
      <c r="H358" s="94">
        <v>43402</v>
      </c>
      <c r="I358" s="95" t="s">
        <v>1279</v>
      </c>
      <c r="J358" s="95">
        <v>100</v>
      </c>
      <c r="K358" s="96">
        <v>4.158</v>
      </c>
      <c r="L358" s="97">
        <v>39.3144</v>
      </c>
      <c r="M358" s="97">
        <v>48.2</v>
      </c>
      <c r="N358" s="97">
        <v>45.9</v>
      </c>
      <c r="O358" s="96" t="s">
        <v>198</v>
      </c>
      <c r="P358" s="96" t="s">
        <v>198</v>
      </c>
      <c r="Q358" s="98" t="s">
        <v>381</v>
      </c>
      <c r="R358" s="99">
        <v>33.968831823182</v>
      </c>
      <c r="S358" s="100">
        <v>0.007</v>
      </c>
      <c r="T358" s="100">
        <v>35.1497692936545</v>
      </c>
      <c r="U358" s="97">
        <v>35.5244003248216</v>
      </c>
      <c r="V358" s="97">
        <v>16.5871829404611</v>
      </c>
      <c r="W358" s="97">
        <v>18.857225423375</v>
      </c>
      <c r="X358" s="97">
        <v>0.079991960985551</v>
      </c>
      <c r="Y358" s="97">
        <v>46.6923657789975</v>
      </c>
      <c r="Z358" s="97">
        <v>53.082459523459</v>
      </c>
      <c r="AA358" s="97">
        <v>0.225174697543477</v>
      </c>
      <c r="AB358" s="97">
        <v>0.374631031167048</v>
      </c>
      <c r="AC358" s="97">
        <v>0</v>
      </c>
      <c r="AD358" s="120">
        <v>2</v>
      </c>
      <c r="AE358" s="120">
        <v>2</v>
      </c>
      <c r="AF358" s="120">
        <v>2</v>
      </c>
      <c r="AG358" s="97" t="s">
        <v>134</v>
      </c>
      <c r="AH358" s="97" t="s">
        <v>134</v>
      </c>
      <c r="AI358" s="97" t="s">
        <v>134</v>
      </c>
      <c r="AJ358" s="97"/>
      <c r="AK358" s="92" t="s">
        <v>134</v>
      </c>
      <c r="AL358" s="97">
        <v>26.44</v>
      </c>
      <c r="AM358" s="97">
        <v>1.03</v>
      </c>
      <c r="AN358" s="97">
        <v>3.91</v>
      </c>
      <c r="AO358" s="97">
        <v>0.95</v>
      </c>
      <c r="AP358" s="97">
        <v>0.27</v>
      </c>
      <c r="AQ358" s="97">
        <v>0.19</v>
      </c>
      <c r="AR358" s="97">
        <v>0</v>
      </c>
      <c r="AS358" s="97">
        <v>6.52439999999999</v>
      </c>
      <c r="AT358" s="97">
        <f t="shared" si="80"/>
        <v>12.8744</v>
      </c>
      <c r="AU358" s="97">
        <f t="shared" si="81"/>
        <v>32.747288525324</v>
      </c>
      <c r="AV358" s="97">
        <v>0</v>
      </c>
      <c r="AW358" s="90" t="s">
        <v>1280</v>
      </c>
      <c r="AX358" s="90" t="s">
        <v>134</v>
      </c>
      <c r="AY358" s="90" t="s">
        <v>134</v>
      </c>
      <c r="AZ358" s="90" t="s">
        <v>212</v>
      </c>
      <c r="BA358" s="106" t="s">
        <v>322</v>
      </c>
      <c r="BB358" s="90" t="s">
        <v>1281</v>
      </c>
      <c r="BC358" s="93">
        <v>11</v>
      </c>
      <c r="BD358" s="93">
        <v>22</v>
      </c>
      <c r="BE358" s="59">
        <f>U358/((VLOOKUP(B358,'Cell-Characteristics'!$B$4:$E$34,3,FALSE)*VLOOKUP(B358,'Cell-Characteristics'!$B$4:$E$34,4,FALSE)*3600)/1000)</f>
        <v>1.28739582245494</v>
      </c>
      <c r="BF358" s="90">
        <f t="shared" si="78"/>
        <v>8293.59147023054</v>
      </c>
      <c r="BG358" s="90">
        <f t="shared" si="76"/>
        <v>9428.61271168748</v>
      </c>
      <c r="BH358" s="90">
        <f t="shared" si="77"/>
        <v>39.9959804927755</v>
      </c>
      <c r="BI358" s="90">
        <f t="shared" si="79"/>
        <v>17762.2001624108</v>
      </c>
      <c r="BJ358" s="90">
        <f>BF358/((VLOOKUP(B358,'Cell-Characteristics'!$B$4:$Q$34,13,FALSE)))</f>
        <v>225.749672552413</v>
      </c>
      <c r="BK358" s="90">
        <f>BG358/((VLOOKUP(B358,'Cell-Characteristics'!$B$4:$Q$34,14,FALSE)))</f>
        <v>3707.09000223617</v>
      </c>
      <c r="BL358" s="90">
        <f>BH358/((VLOOKUP(B358,'Cell-Characteristics'!$B$4:$Q$34,15,FALSE)))</f>
        <v>15.7253992658549</v>
      </c>
      <c r="BM358" s="90">
        <f>BI358/((VLOOKUP(B358,'Cell-Characteristics'!$B$4:$Q$34,16,FALSE)))</f>
        <v>424.681054360351</v>
      </c>
      <c r="BN358" s="50">
        <f t="shared" si="75"/>
        <v>2</v>
      </c>
    </row>
    <row r="359" spans="2:66">
      <c r="B359" s="90" t="s">
        <v>12</v>
      </c>
      <c r="C359" s="91" t="s">
        <v>1282</v>
      </c>
      <c r="D359" s="90" t="s">
        <v>227</v>
      </c>
      <c r="E359" s="92" t="s">
        <v>265</v>
      </c>
      <c r="F359" s="93" t="s">
        <v>229</v>
      </c>
      <c r="G359" s="93"/>
      <c r="H359" s="94">
        <v>43402</v>
      </c>
      <c r="I359" s="95" t="s">
        <v>1283</v>
      </c>
      <c r="J359" s="95">
        <v>100</v>
      </c>
      <c r="K359" s="96">
        <v>4.165</v>
      </c>
      <c r="L359" s="97">
        <v>39.0459</v>
      </c>
      <c r="M359" s="97">
        <v>48.7</v>
      </c>
      <c r="N359" s="97">
        <v>47.8</v>
      </c>
      <c r="O359" s="96" t="s">
        <v>198</v>
      </c>
      <c r="P359" s="96" t="s">
        <v>198</v>
      </c>
      <c r="Q359" s="98" t="s">
        <v>381</v>
      </c>
      <c r="R359" s="99">
        <v>33.2029887139418</v>
      </c>
      <c r="S359" s="100">
        <v>0.01</v>
      </c>
      <c r="T359" s="100">
        <v>34.6832201402366</v>
      </c>
      <c r="U359" s="97">
        <v>35.0655506958425</v>
      </c>
      <c r="V359" s="97">
        <v>11.4005273885388</v>
      </c>
      <c r="W359" s="97">
        <v>23.6121505677443</v>
      </c>
      <c r="X359" s="97">
        <v>0.0528727395594671</v>
      </c>
      <c r="Y359" s="97">
        <v>32.5120443349845</v>
      </c>
      <c r="Z359" s="97">
        <v>67.3371730920621</v>
      </c>
      <c r="AA359" s="97">
        <v>0.150782572953391</v>
      </c>
      <c r="AB359" s="97">
        <v>0.382330555605978</v>
      </c>
      <c r="AC359" s="97">
        <v>0</v>
      </c>
      <c r="AD359" s="120">
        <v>2</v>
      </c>
      <c r="AE359" s="120">
        <v>2</v>
      </c>
      <c r="AF359" s="120">
        <v>2</v>
      </c>
      <c r="AG359" s="97" t="s">
        <v>134</v>
      </c>
      <c r="AH359" s="97" t="s">
        <v>134</v>
      </c>
      <c r="AI359" s="97" t="s">
        <v>134</v>
      </c>
      <c r="AJ359" s="97"/>
      <c r="AK359" s="92" t="s">
        <v>134</v>
      </c>
      <c r="AL359" s="97">
        <v>23.31</v>
      </c>
      <c r="AM359" s="97">
        <v>1.08</v>
      </c>
      <c r="AN359" s="97">
        <v>7.85</v>
      </c>
      <c r="AO359" s="97">
        <v>2.41</v>
      </c>
      <c r="AP359" s="97">
        <v>0.3</v>
      </c>
      <c r="AQ359" s="97">
        <v>0.61</v>
      </c>
      <c r="AR359" s="97">
        <v>0.03</v>
      </c>
      <c r="AS359" s="97">
        <v>3.4559</v>
      </c>
      <c r="AT359" s="97">
        <f t="shared" si="80"/>
        <v>15.7359</v>
      </c>
      <c r="AU359" s="97">
        <f t="shared" si="81"/>
        <v>40.3010303258473</v>
      </c>
      <c r="AV359" s="97">
        <v>0</v>
      </c>
      <c r="AW359" s="90" t="s">
        <v>1284</v>
      </c>
      <c r="AX359" s="90" t="s">
        <v>134</v>
      </c>
      <c r="AY359" s="90" t="s">
        <v>134</v>
      </c>
      <c r="AZ359" s="90" t="s">
        <v>212</v>
      </c>
      <c r="BA359" s="90" t="s">
        <v>204</v>
      </c>
      <c r="BB359" s="90" t="s">
        <v>1285</v>
      </c>
      <c r="BC359" s="93">
        <v>11</v>
      </c>
      <c r="BD359" s="93">
        <v>22</v>
      </c>
      <c r="BE359" s="59">
        <f>U359/((VLOOKUP(B359,'Cell-Characteristics'!$B$4:$E$34,3,FALSE)*VLOOKUP(B359,'Cell-Characteristics'!$B$4:$E$34,4,FALSE)*3600)/1000)</f>
        <v>1.27076722098436</v>
      </c>
      <c r="BF359" s="90">
        <f t="shared" si="78"/>
        <v>5700.2636942694</v>
      </c>
      <c r="BG359" s="90">
        <f t="shared" si="76"/>
        <v>11806.0752838721</v>
      </c>
      <c r="BH359" s="90">
        <f t="shared" si="77"/>
        <v>26.4363697797336</v>
      </c>
      <c r="BI359" s="90">
        <f t="shared" si="79"/>
        <v>17532.7753479213</v>
      </c>
      <c r="BJ359" s="90">
        <f>BF359/((VLOOKUP(B359,'Cell-Characteristics'!$B$4:$Q$34,13,FALSE)))</f>
        <v>155.159880621411</v>
      </c>
      <c r="BK359" s="90">
        <f>BG359/((VLOOKUP(B359,'Cell-Characteristics'!$B$4:$Q$34,14,FALSE)))</f>
        <v>4641.84763854374</v>
      </c>
      <c r="BL359" s="90">
        <f>BH359/((VLOOKUP(B359,'Cell-Characteristics'!$B$4:$Q$34,15,FALSE)))</f>
        <v>10.3941062277792</v>
      </c>
      <c r="BM359" s="90">
        <f>BI359/((VLOOKUP(B359,'Cell-Characteristics'!$B$4:$Q$34,16,FALSE)))</f>
        <v>419.195676917075</v>
      </c>
      <c r="BN359" s="50">
        <f t="shared" si="75"/>
        <v>2</v>
      </c>
    </row>
    <row r="360" spans="2:66">
      <c r="B360" s="90" t="s">
        <v>16</v>
      </c>
      <c r="C360" s="90" t="s">
        <v>1286</v>
      </c>
      <c r="D360" s="90" t="s">
        <v>244</v>
      </c>
      <c r="E360" s="92" t="s">
        <v>194</v>
      </c>
      <c r="F360" s="93" t="s">
        <v>245</v>
      </c>
      <c r="G360" s="93"/>
      <c r="H360" s="94">
        <v>43510</v>
      </c>
      <c r="I360" s="95" t="s">
        <v>1287</v>
      </c>
      <c r="J360" s="95">
        <v>100</v>
      </c>
      <c r="K360" s="96">
        <v>4.152</v>
      </c>
      <c r="L360" s="97">
        <v>41.2394</v>
      </c>
      <c r="M360" s="97">
        <v>45.5</v>
      </c>
      <c r="N360" s="97">
        <v>50</v>
      </c>
      <c r="O360" s="96" t="s">
        <v>198</v>
      </c>
      <c r="P360" s="96" t="s">
        <v>198</v>
      </c>
      <c r="Q360" s="98" t="s">
        <v>381</v>
      </c>
      <c r="R360" s="99">
        <v>25.6308450077953</v>
      </c>
      <c r="S360" s="100">
        <v>0.011</v>
      </c>
      <c r="T360" s="100">
        <v>29.3726058790786</v>
      </c>
      <c r="U360" s="97">
        <v>29.6005875870722</v>
      </c>
      <c r="V360" s="97">
        <v>12.2207024298991</v>
      </c>
      <c r="W360" s="97">
        <v>17.3175726213883</v>
      </c>
      <c r="X360" s="97">
        <v>0.062312535784872</v>
      </c>
      <c r="Y360" s="97">
        <v>41.285337306062</v>
      </c>
      <c r="Z360" s="97">
        <v>58.5041515491792</v>
      </c>
      <c r="AA360" s="97">
        <v>0.210511144758783</v>
      </c>
      <c r="AB360" s="97">
        <v>0.227981707993632</v>
      </c>
      <c r="AC360" s="97">
        <v>0</v>
      </c>
      <c r="AD360" s="120">
        <v>2</v>
      </c>
      <c r="AE360" s="120">
        <v>2</v>
      </c>
      <c r="AF360" s="120">
        <v>2</v>
      </c>
      <c r="AG360" s="97">
        <v>951.632371737628</v>
      </c>
      <c r="AH360" s="97">
        <v>30.7016</v>
      </c>
      <c r="AI360" s="97">
        <v>29.3198078100138</v>
      </c>
      <c r="AJ360" s="97"/>
      <c r="AK360" s="92">
        <v>51.729845</v>
      </c>
      <c r="AL360" s="97">
        <v>13</v>
      </c>
      <c r="AM360" s="97">
        <v>17</v>
      </c>
      <c r="AN360" s="97">
        <v>3.1</v>
      </c>
      <c r="AO360" s="97">
        <v>3.2</v>
      </c>
      <c r="AP360" s="97">
        <v>0</v>
      </c>
      <c r="AQ360" s="97">
        <v>0</v>
      </c>
      <c r="AR360" s="97">
        <v>0</v>
      </c>
      <c r="AS360" s="97">
        <v>4.9394</v>
      </c>
      <c r="AT360" s="97">
        <f t="shared" si="80"/>
        <v>28.2394</v>
      </c>
      <c r="AU360" s="97">
        <f t="shared" si="81"/>
        <v>68.4767479643254</v>
      </c>
      <c r="AV360" s="97">
        <v>0</v>
      </c>
      <c r="AW360" s="90" t="s">
        <v>1288</v>
      </c>
      <c r="AX360" s="90" t="s">
        <v>248</v>
      </c>
      <c r="AY360" s="90" t="s">
        <v>1289</v>
      </c>
      <c r="AZ360" s="90" t="s">
        <v>212</v>
      </c>
      <c r="BA360" s="106" t="s">
        <v>322</v>
      </c>
      <c r="BB360" s="90" t="s">
        <v>134</v>
      </c>
      <c r="BC360" s="93">
        <v>8</v>
      </c>
      <c r="BD360" s="93">
        <v>16</v>
      </c>
      <c r="BE360" s="59">
        <f>U360/((VLOOKUP(B360,'Cell-Characteristics'!$B$4:$E$34,3,FALSE)*VLOOKUP(B360,'Cell-Characteristics'!$B$4:$E$34,4,FALSE)*3600)/1000)</f>
        <v>1.07271825712373</v>
      </c>
      <c r="BF360" s="90">
        <f t="shared" si="78"/>
        <v>6110.35121494953</v>
      </c>
      <c r="BG360" s="90">
        <f t="shared" si="76"/>
        <v>8658.78631069413</v>
      </c>
      <c r="BH360" s="90">
        <f t="shared" si="77"/>
        <v>31.156267892436</v>
      </c>
      <c r="BI360" s="90">
        <f t="shared" si="79"/>
        <v>14800.2937935361</v>
      </c>
      <c r="BJ360" s="90">
        <f>BF360/((VLOOKUP(B360,'Cell-Characteristics'!$B$4:$Q$34,13,FALSE)))</f>
        <v>166.322369615916</v>
      </c>
      <c r="BK360" s="90">
        <f>BG360/((VLOOKUP(B360,'Cell-Characteristics'!$B$4:$Q$34,14,FALSE)))</f>
        <v>3404.41389899116</v>
      </c>
      <c r="BL360" s="90">
        <f>BH360/((VLOOKUP(B360,'Cell-Characteristics'!$B$4:$Q$34,15,FALSE)))</f>
        <v>12.2498497650531</v>
      </c>
      <c r="BM360" s="90">
        <f>BI360/((VLOOKUP(B360,'Cell-Characteristics'!$B$4:$Q$34,16,FALSE)))</f>
        <v>353.864066141048</v>
      </c>
      <c r="BN360" s="50">
        <f t="shared" si="75"/>
        <v>2</v>
      </c>
    </row>
    <row r="361" spans="2:66">
      <c r="B361" s="90" t="s">
        <v>16</v>
      </c>
      <c r="C361" s="91" t="s">
        <v>1290</v>
      </c>
      <c r="D361" s="90" t="s">
        <v>244</v>
      </c>
      <c r="E361" s="92" t="s">
        <v>194</v>
      </c>
      <c r="F361" s="93" t="s">
        <v>245</v>
      </c>
      <c r="G361" s="93"/>
      <c r="H361" s="94">
        <v>43510</v>
      </c>
      <c r="I361" s="95" t="s">
        <v>1291</v>
      </c>
      <c r="J361" s="95">
        <v>100</v>
      </c>
      <c r="K361" s="96">
        <v>4.164</v>
      </c>
      <c r="L361" s="97">
        <v>41.0943</v>
      </c>
      <c r="M361" s="97">
        <v>49.6</v>
      </c>
      <c r="N361" s="97">
        <v>55.5</v>
      </c>
      <c r="O361" s="96" t="s">
        <v>198</v>
      </c>
      <c r="P361" s="96" t="s">
        <v>198</v>
      </c>
      <c r="Q361" s="98" t="s">
        <v>381</v>
      </c>
      <c r="R361" s="99">
        <v>25.8413219392542</v>
      </c>
      <c r="S361" s="100">
        <v>0.02</v>
      </c>
      <c r="T361" s="100">
        <v>31.3596491738942</v>
      </c>
      <c r="U361" s="97">
        <v>32.198427642577</v>
      </c>
      <c r="V361" s="97">
        <v>6.55507482102855</v>
      </c>
      <c r="W361" s="97">
        <v>25.6027843062904</v>
      </c>
      <c r="X361" s="97">
        <v>0.0405685152579654</v>
      </c>
      <c r="Y361" s="97">
        <v>20.3583693396276</v>
      </c>
      <c r="Z361" s="97">
        <v>79.5156353300777</v>
      </c>
      <c r="AA361" s="97">
        <v>0.125995330294702</v>
      </c>
      <c r="AB361" s="97">
        <v>0.838778468682743</v>
      </c>
      <c r="AC361" s="97">
        <v>0</v>
      </c>
      <c r="AD361" s="120">
        <v>2</v>
      </c>
      <c r="AE361" s="120">
        <v>2</v>
      </c>
      <c r="AF361" s="120">
        <v>2</v>
      </c>
      <c r="AG361" s="97">
        <v>951.331225715361</v>
      </c>
      <c r="AH361" s="97">
        <v>37.1126</v>
      </c>
      <c r="AI361" s="97">
        <v>35.416673330281</v>
      </c>
      <c r="AJ361" s="97"/>
      <c r="AK361" s="92">
        <v>60.19159</v>
      </c>
      <c r="AL361" s="97">
        <v>8.3</v>
      </c>
      <c r="AM361" s="97">
        <v>15.1</v>
      </c>
      <c r="AN361" s="97">
        <v>7.6</v>
      </c>
      <c r="AO361" s="97">
        <v>1.7</v>
      </c>
      <c r="AP361" s="97">
        <v>0</v>
      </c>
      <c r="AQ361" s="97">
        <v>0</v>
      </c>
      <c r="AR361" s="97">
        <v>0</v>
      </c>
      <c r="AS361" s="97">
        <v>8.39429999999999</v>
      </c>
      <c r="AT361" s="97">
        <f t="shared" si="80"/>
        <v>32.7943</v>
      </c>
      <c r="AU361" s="97">
        <f t="shared" si="81"/>
        <v>79.8025516920838</v>
      </c>
      <c r="AV361" s="97">
        <v>0</v>
      </c>
      <c r="AW361" s="90" t="s">
        <v>1292</v>
      </c>
      <c r="AX361" s="90" t="s">
        <v>248</v>
      </c>
      <c r="AY361" s="90" t="s">
        <v>1293</v>
      </c>
      <c r="AZ361" s="90" t="s">
        <v>212</v>
      </c>
      <c r="BA361" s="90" t="s">
        <v>204</v>
      </c>
      <c r="BB361" s="90" t="s">
        <v>1294</v>
      </c>
      <c r="BC361" s="93">
        <v>2</v>
      </c>
      <c r="BD361" s="93">
        <v>4</v>
      </c>
      <c r="BE361" s="59">
        <f>U361/((VLOOKUP(B361,'Cell-Characteristics'!$B$4:$E$34,3,FALSE)*VLOOKUP(B361,'Cell-Characteristics'!$B$4:$E$34,4,FALSE)*3600)/1000)</f>
        <v>1.16686336314333</v>
      </c>
      <c r="BF361" s="90">
        <f t="shared" si="78"/>
        <v>3277.53741051428</v>
      </c>
      <c r="BG361" s="90">
        <f t="shared" si="76"/>
        <v>12801.3921531452</v>
      </c>
      <c r="BH361" s="90">
        <f t="shared" si="77"/>
        <v>20.2842576289827</v>
      </c>
      <c r="BI361" s="90">
        <f t="shared" si="79"/>
        <v>16099.2138212885</v>
      </c>
      <c r="BJ361" s="90">
        <f>BF361/((VLOOKUP(B361,'Cell-Characteristics'!$B$4:$Q$34,13,FALSE)))</f>
        <v>89.2138224866426</v>
      </c>
      <c r="BK361" s="90">
        <f>BG361/((VLOOKUP(B361,'Cell-Characteristics'!$B$4:$Q$34,14,FALSE)))</f>
        <v>5033.18084184368</v>
      </c>
      <c r="BL361" s="90">
        <f>BH361/((VLOOKUP(B361,'Cell-Characteristics'!$B$4:$Q$34,15,FALSE)))</f>
        <v>7.97525266532307</v>
      </c>
      <c r="BM361" s="90">
        <f>BI361/((VLOOKUP(B361,'Cell-Characteristics'!$B$4:$Q$34,16,FALSE)))</f>
        <v>384.920282255707</v>
      </c>
      <c r="BN361" s="50">
        <f t="shared" si="75"/>
        <v>2</v>
      </c>
    </row>
    <row r="362" spans="2:66">
      <c r="B362" s="90" t="s">
        <v>16</v>
      </c>
      <c r="C362" s="91" t="s">
        <v>1295</v>
      </c>
      <c r="D362" s="90" t="s">
        <v>244</v>
      </c>
      <c r="E362" s="92" t="s">
        <v>194</v>
      </c>
      <c r="F362" s="93" t="s">
        <v>245</v>
      </c>
      <c r="G362" s="93"/>
      <c r="H362" s="94">
        <v>43510</v>
      </c>
      <c r="I362" s="95" t="s">
        <v>1296</v>
      </c>
      <c r="J362" s="95">
        <v>100</v>
      </c>
      <c r="K362" s="96">
        <v>4.159</v>
      </c>
      <c r="L362" s="97">
        <v>41.4697</v>
      </c>
      <c r="M362" s="97">
        <v>50.8</v>
      </c>
      <c r="N362" s="97">
        <v>45.5</v>
      </c>
      <c r="O362" s="96" t="s">
        <v>198</v>
      </c>
      <c r="P362" s="96" t="s">
        <v>198</v>
      </c>
      <c r="Q362" s="98" t="s">
        <v>381</v>
      </c>
      <c r="R362" s="99">
        <v>26.5483298057841</v>
      </c>
      <c r="S362" s="100">
        <v>0.02</v>
      </c>
      <c r="T362" s="100">
        <v>28.5977998157754</v>
      </c>
      <c r="U362" s="97">
        <v>28.9436554126991</v>
      </c>
      <c r="V362" s="97">
        <v>16.5800239100968</v>
      </c>
      <c r="W362" s="97">
        <v>12.2362639687022</v>
      </c>
      <c r="X362" s="97">
        <v>0.127367533900116</v>
      </c>
      <c r="Y362" s="97">
        <v>57.283793887424</v>
      </c>
      <c r="Z362" s="97">
        <v>42.2761527327108</v>
      </c>
      <c r="AA362" s="97">
        <v>0.440053379865187</v>
      </c>
      <c r="AB362" s="97">
        <v>0.345855596923747</v>
      </c>
      <c r="AC362" s="97">
        <v>0</v>
      </c>
      <c r="AD362" s="120">
        <v>2</v>
      </c>
      <c r="AE362" s="120">
        <v>2</v>
      </c>
      <c r="AF362" s="120">
        <v>2</v>
      </c>
      <c r="AG362" s="97">
        <v>954.998033514469</v>
      </c>
      <c r="AH362" s="97">
        <v>56.3109</v>
      </c>
      <c r="AI362" s="97">
        <v>53.8644559260417</v>
      </c>
      <c r="AJ362" s="97"/>
      <c r="AK362" s="92">
        <v>97.965745</v>
      </c>
      <c r="AL362" s="97">
        <v>28.9</v>
      </c>
      <c r="AM362" s="97">
        <v>1.9</v>
      </c>
      <c r="AN362" s="97">
        <v>2.9</v>
      </c>
      <c r="AO362" s="97">
        <v>0.3</v>
      </c>
      <c r="AP362" s="97">
        <v>0</v>
      </c>
      <c r="AQ362" s="97">
        <v>0</v>
      </c>
      <c r="AR362" s="97">
        <v>0</v>
      </c>
      <c r="AS362" s="97">
        <v>7.46970000000001</v>
      </c>
      <c r="AT362" s="97">
        <f t="shared" si="80"/>
        <v>12.5697</v>
      </c>
      <c r="AU362" s="97">
        <f t="shared" si="81"/>
        <v>30.3105640986069</v>
      </c>
      <c r="AV362" s="97">
        <v>0</v>
      </c>
      <c r="AW362" s="90" t="s">
        <v>1297</v>
      </c>
      <c r="AX362" s="90" t="s">
        <v>248</v>
      </c>
      <c r="AY362" s="90" t="s">
        <v>1298</v>
      </c>
      <c r="AZ362" s="90" t="s">
        <v>296</v>
      </c>
      <c r="BA362" s="90" t="s">
        <v>204</v>
      </c>
      <c r="BB362" s="90" t="s">
        <v>134</v>
      </c>
      <c r="BC362" s="93">
        <v>3</v>
      </c>
      <c r="BD362" s="93">
        <v>6</v>
      </c>
      <c r="BE362" s="59">
        <f>U362/((VLOOKUP(B362,'Cell-Characteristics'!$B$4:$E$34,3,FALSE)*VLOOKUP(B362,'Cell-Characteristics'!$B$4:$E$34,4,FALSE)*3600)/1000)</f>
        <v>1.0489111912988</v>
      </c>
      <c r="BF362" s="90">
        <f t="shared" si="78"/>
        <v>8290.0119550484</v>
      </c>
      <c r="BG362" s="90">
        <f t="shared" si="76"/>
        <v>6118.1319843511</v>
      </c>
      <c r="BH362" s="90">
        <f t="shared" si="77"/>
        <v>63.6837669500578</v>
      </c>
      <c r="BI362" s="90">
        <f t="shared" si="79"/>
        <v>14471.8277063496</v>
      </c>
      <c r="BJ362" s="90">
        <f>BF362/((VLOOKUP(B362,'Cell-Characteristics'!$B$4:$Q$34,13,FALSE)))</f>
        <v>225.6522389637</v>
      </c>
      <c r="BK362" s="90">
        <f>BG362/((VLOOKUP(B362,'Cell-Characteristics'!$B$4:$Q$34,14,FALSE)))</f>
        <v>2405.49342783325</v>
      </c>
      <c r="BL362" s="90">
        <f>BH362/((VLOOKUP(B362,'Cell-Characteristics'!$B$4:$Q$34,15,FALSE)))</f>
        <v>25.0388326453007</v>
      </c>
      <c r="BM362" s="90">
        <f>BI362/((VLOOKUP(B362,'Cell-Characteristics'!$B$4:$Q$34,16,FALSE)))</f>
        <v>346.010685199919</v>
      </c>
      <c r="BN362" s="50">
        <f t="shared" si="75"/>
        <v>2</v>
      </c>
    </row>
    <row r="363" spans="2:66">
      <c r="B363" s="90" t="s">
        <v>16</v>
      </c>
      <c r="C363" s="91" t="s">
        <v>1299</v>
      </c>
      <c r="D363" s="90" t="s">
        <v>244</v>
      </c>
      <c r="E363" s="92" t="s">
        <v>194</v>
      </c>
      <c r="F363" s="93" t="s">
        <v>245</v>
      </c>
      <c r="G363" s="93"/>
      <c r="H363" s="94">
        <v>43510</v>
      </c>
      <c r="I363" s="95" t="s">
        <v>1300</v>
      </c>
      <c r="J363" s="95">
        <v>100</v>
      </c>
      <c r="K363" s="96">
        <v>4.165</v>
      </c>
      <c r="L363" s="97">
        <v>41.3281</v>
      </c>
      <c r="M363" s="97">
        <v>50.9</v>
      </c>
      <c r="N363" s="97">
        <v>50.1</v>
      </c>
      <c r="O363" s="96" t="s">
        <v>198</v>
      </c>
      <c r="P363" s="96" t="s">
        <v>198</v>
      </c>
      <c r="Q363" s="98" t="s">
        <v>381</v>
      </c>
      <c r="R363" s="99">
        <v>20.4832104149694</v>
      </c>
      <c r="S363" s="100">
        <v>0.015</v>
      </c>
      <c r="T363" s="100">
        <v>25.00009856774</v>
      </c>
      <c r="U363" s="97">
        <v>25.346334681186</v>
      </c>
      <c r="V363" s="97">
        <v>8.81588703548653</v>
      </c>
      <c r="W363" s="97">
        <v>16.3901442080851</v>
      </c>
      <c r="X363" s="97">
        <v>0.140303437614398</v>
      </c>
      <c r="Y363" s="97">
        <v>34.7817037310344</v>
      </c>
      <c r="Z363" s="97">
        <v>64.6647509955398</v>
      </c>
      <c r="AA363" s="97">
        <v>0.553545273425833</v>
      </c>
      <c r="AB363" s="97">
        <v>0.34623611344596</v>
      </c>
      <c r="AC363" s="97">
        <v>0</v>
      </c>
      <c r="AD363" s="120">
        <v>2</v>
      </c>
      <c r="AE363" s="120">
        <v>2</v>
      </c>
      <c r="AF363" s="120">
        <v>2</v>
      </c>
      <c r="AG363" s="97">
        <v>955.028505068586</v>
      </c>
      <c r="AH363" s="97">
        <v>50.7571</v>
      </c>
      <c r="AI363" s="97">
        <v>48.6155725103579</v>
      </c>
      <c r="AJ363" s="97"/>
      <c r="AK363" s="92">
        <v>92.655115</v>
      </c>
      <c r="AL363" s="97">
        <v>13.6</v>
      </c>
      <c r="AM363" s="97">
        <v>17.6</v>
      </c>
      <c r="AN363" s="97">
        <v>3.2</v>
      </c>
      <c r="AO363" s="97">
        <v>0.3</v>
      </c>
      <c r="AP363" s="97">
        <v>0</v>
      </c>
      <c r="AQ363" s="97">
        <v>0</v>
      </c>
      <c r="AR363" s="97">
        <v>0</v>
      </c>
      <c r="AS363" s="97">
        <v>6.6281</v>
      </c>
      <c r="AT363" s="97">
        <f t="shared" si="80"/>
        <v>27.7281</v>
      </c>
      <c r="AU363" s="97">
        <f t="shared" si="81"/>
        <v>67.0926076930708</v>
      </c>
      <c r="AV363" s="97">
        <v>0</v>
      </c>
      <c r="AW363" s="90" t="s">
        <v>1301</v>
      </c>
      <c r="AX363" s="90" t="s">
        <v>248</v>
      </c>
      <c r="AY363" s="90" t="s">
        <v>1302</v>
      </c>
      <c r="AZ363" s="90" t="s">
        <v>212</v>
      </c>
      <c r="BA363" s="90" t="s">
        <v>204</v>
      </c>
      <c r="BB363" s="90" t="s">
        <v>1303</v>
      </c>
      <c r="BC363" s="93">
        <v>6</v>
      </c>
      <c r="BD363" s="93">
        <v>12</v>
      </c>
      <c r="BE363" s="59">
        <f>U363/((VLOOKUP(B363,'Cell-Characteristics'!$B$4:$E$34,3,FALSE)*VLOOKUP(B363,'Cell-Characteristics'!$B$4:$E$34,4,FALSE)*3600)/1000)</f>
        <v>0.918545143190041</v>
      </c>
      <c r="BF363" s="90">
        <f t="shared" si="78"/>
        <v>4407.94351774326</v>
      </c>
      <c r="BG363" s="90">
        <f t="shared" si="76"/>
        <v>8195.07210404253</v>
      </c>
      <c r="BH363" s="90">
        <f t="shared" si="77"/>
        <v>70.1517188071988</v>
      </c>
      <c r="BI363" s="90">
        <f t="shared" si="79"/>
        <v>12673.167340593</v>
      </c>
      <c r="BJ363" s="90">
        <f>BF363/((VLOOKUP(B363,'Cell-Characteristics'!$B$4:$Q$34,13,FALSE)))</f>
        <v>119.983219493257</v>
      </c>
      <c r="BK363" s="90">
        <f>BG363/((VLOOKUP(B363,'Cell-Characteristics'!$B$4:$Q$34,14,FALSE)))</f>
        <v>3222.09330189609</v>
      </c>
      <c r="BL363" s="90">
        <f>BH363/((VLOOKUP(B363,'Cell-Characteristics'!$B$4:$Q$34,15,FALSE)))</f>
        <v>27.5818663235035</v>
      </c>
      <c r="BM363" s="90">
        <f>BI363/((VLOOKUP(B363,'Cell-Characteristics'!$B$4:$Q$34,16,FALSE)))</f>
        <v>303.006047622296</v>
      </c>
      <c r="BN363" s="50">
        <f t="shared" si="75"/>
        <v>2</v>
      </c>
    </row>
    <row r="364" spans="2:66">
      <c r="B364" s="90" t="s">
        <v>16</v>
      </c>
      <c r="C364" s="91" t="s">
        <v>1304</v>
      </c>
      <c r="D364" s="90" t="s">
        <v>244</v>
      </c>
      <c r="E364" s="92" t="s">
        <v>228</v>
      </c>
      <c r="F364" s="93" t="s">
        <v>245</v>
      </c>
      <c r="G364" s="93"/>
      <c r="H364" s="94">
        <v>43510</v>
      </c>
      <c r="I364" s="95" t="s">
        <v>1305</v>
      </c>
      <c r="J364" s="95">
        <v>100</v>
      </c>
      <c r="K364" s="96">
        <v>4.164</v>
      </c>
      <c r="L364" s="97">
        <v>41.4456</v>
      </c>
      <c r="M364" s="97">
        <v>50</v>
      </c>
      <c r="N364" s="97">
        <v>50.1</v>
      </c>
      <c r="O364" s="96" t="s">
        <v>198</v>
      </c>
      <c r="P364" s="96" t="s">
        <v>198</v>
      </c>
      <c r="Q364" s="98" t="s">
        <v>381</v>
      </c>
      <c r="R364" s="99">
        <v>21.6960080235338</v>
      </c>
      <c r="S364" s="100">
        <v>0.028</v>
      </c>
      <c r="T364" s="100">
        <v>22.2047133664251</v>
      </c>
      <c r="U364" s="97">
        <v>23.2258995281884</v>
      </c>
      <c r="V364" s="97">
        <v>2.69972607681371</v>
      </c>
      <c r="W364" s="97">
        <v>20.0607461205867</v>
      </c>
      <c r="X364" s="97">
        <v>0.465427330787916</v>
      </c>
      <c r="Y364" s="97">
        <v>11.6237740266514</v>
      </c>
      <c r="Z364" s="97">
        <v>86.3723107741846</v>
      </c>
      <c r="AA364" s="97">
        <v>2.00391519916396</v>
      </c>
      <c r="AB364" s="97">
        <v>1.02118616176325</v>
      </c>
      <c r="AC364" s="97">
        <v>0</v>
      </c>
      <c r="AD364" s="120">
        <v>2</v>
      </c>
      <c r="AE364" s="120">
        <v>2</v>
      </c>
      <c r="AF364" s="120">
        <v>2</v>
      </c>
      <c r="AG364" s="97">
        <v>954.537043605986</v>
      </c>
      <c r="AH364" s="97">
        <v>106.7808</v>
      </c>
      <c r="AI364" s="97">
        <v>102.051567670823</v>
      </c>
      <c r="AJ364" s="97"/>
      <c r="AK364" s="92">
        <v>233.081395</v>
      </c>
      <c r="AL364" s="97">
        <v>9.4</v>
      </c>
      <c r="AM364" s="97">
        <v>15.1</v>
      </c>
      <c r="AN364" s="97">
        <v>4.9</v>
      </c>
      <c r="AO364" s="97">
        <v>3</v>
      </c>
      <c r="AP364" s="97">
        <v>0.2</v>
      </c>
      <c r="AQ364" s="97">
        <v>0</v>
      </c>
      <c r="AR364" s="97">
        <v>0</v>
      </c>
      <c r="AS364" s="97">
        <v>8.8456</v>
      </c>
      <c r="AT364" s="97">
        <f t="shared" si="80"/>
        <v>32.0456</v>
      </c>
      <c r="AU364" s="97">
        <f t="shared" si="81"/>
        <v>77.3196672264366</v>
      </c>
      <c r="AV364" s="97">
        <v>0</v>
      </c>
      <c r="AW364" s="90" t="s">
        <v>1306</v>
      </c>
      <c r="AX364" s="90" t="s">
        <v>248</v>
      </c>
      <c r="AY364" s="90" t="s">
        <v>1307</v>
      </c>
      <c r="AZ364" s="90" t="s">
        <v>212</v>
      </c>
      <c r="BA364" s="90" t="s">
        <v>204</v>
      </c>
      <c r="BB364" s="90" t="s">
        <v>1308</v>
      </c>
      <c r="BC364" s="93">
        <v>8</v>
      </c>
      <c r="BD364" s="93">
        <v>16</v>
      </c>
      <c r="BE364" s="59">
        <f>U364/((VLOOKUP(B364,'Cell-Characteristics'!$B$4:$E$34,3,FALSE)*VLOOKUP(B364,'Cell-Characteristics'!$B$4:$E$34,4,FALSE)*3600)/1000)</f>
        <v>0.841701077342479</v>
      </c>
      <c r="BF364" s="90">
        <f t="shared" si="78"/>
        <v>1349.86303840685</v>
      </c>
      <c r="BG364" s="90">
        <f t="shared" si="76"/>
        <v>10030.3730602934</v>
      </c>
      <c r="BH364" s="90">
        <f t="shared" si="77"/>
        <v>232.713665393958</v>
      </c>
      <c r="BI364" s="90">
        <f t="shared" si="79"/>
        <v>11612.9497640942</v>
      </c>
      <c r="BJ364" s="90">
        <f>BF364/((VLOOKUP(B364,'Cell-Characteristics'!$B$4:$Q$34,13,FALSE)))</f>
        <v>36.7429647342494</v>
      </c>
      <c r="BK364" s="90">
        <f>BG364/((VLOOKUP(B364,'Cell-Characteristics'!$B$4:$Q$34,14,FALSE)))</f>
        <v>3943.68682090641</v>
      </c>
      <c r="BL364" s="90">
        <f>BH364/((VLOOKUP(B364,'Cell-Characteristics'!$B$4:$Q$34,15,FALSE)))</f>
        <v>91.4970769025549</v>
      </c>
      <c r="BM364" s="90">
        <f>BI364/((VLOOKUP(B364,'Cell-Characteristics'!$B$4:$Q$34,16,FALSE)))</f>
        <v>277.657030376575</v>
      </c>
      <c r="BN364" s="50">
        <f t="shared" si="75"/>
        <v>2</v>
      </c>
    </row>
    <row r="365" spans="2:66">
      <c r="B365" s="90" t="s">
        <v>16</v>
      </c>
      <c r="C365" s="90" t="s">
        <v>1309</v>
      </c>
      <c r="D365" s="90" t="s">
        <v>244</v>
      </c>
      <c r="E365" s="92" t="s">
        <v>228</v>
      </c>
      <c r="F365" s="93" t="s">
        <v>245</v>
      </c>
      <c r="G365" s="93"/>
      <c r="H365" s="94">
        <v>43510</v>
      </c>
      <c r="I365" s="95" t="s">
        <v>1310</v>
      </c>
      <c r="J365" s="95">
        <v>100</v>
      </c>
      <c r="K365" s="96">
        <v>4.18</v>
      </c>
      <c r="L365" s="97">
        <v>41.3352</v>
      </c>
      <c r="M365" s="97">
        <v>52.2</v>
      </c>
      <c r="N365" s="97">
        <v>45.5</v>
      </c>
      <c r="O365" s="96" t="s">
        <v>198</v>
      </c>
      <c r="P365" s="96" t="s">
        <v>198</v>
      </c>
      <c r="Q365" s="98" t="s">
        <v>381</v>
      </c>
      <c r="R365" s="99">
        <v>29.5580203450946</v>
      </c>
      <c r="S365" s="100">
        <v>0.036</v>
      </c>
      <c r="T365" s="100">
        <v>30.6988741635554</v>
      </c>
      <c r="U365" s="97">
        <v>32.1471423365105</v>
      </c>
      <c r="V365" s="97">
        <v>6.2844056558427</v>
      </c>
      <c r="W365" s="97">
        <v>25.2644883591384</v>
      </c>
      <c r="X365" s="97">
        <v>0.598248321529431</v>
      </c>
      <c r="Y365" s="97">
        <v>19.5488780621888</v>
      </c>
      <c r="Z365" s="97">
        <v>78.5901530365413</v>
      </c>
      <c r="AA365" s="97">
        <v>1.8609689012699</v>
      </c>
      <c r="AB365" s="97">
        <v>1.44826817295514</v>
      </c>
      <c r="AC365" s="97">
        <v>0</v>
      </c>
      <c r="AD365" s="120">
        <v>2</v>
      </c>
      <c r="AE365" s="120">
        <v>2</v>
      </c>
      <c r="AF365" s="120">
        <v>2</v>
      </c>
      <c r="AG365" s="97">
        <v>956.061371495268</v>
      </c>
      <c r="AH365" s="97">
        <v>126.0361</v>
      </c>
      <c r="AI365" s="97">
        <v>120.604420750819</v>
      </c>
      <c r="AJ365" s="97"/>
      <c r="AK365" s="92">
        <v>290.71864</v>
      </c>
      <c r="AL365" s="97">
        <v>16</v>
      </c>
      <c r="AM365" s="97">
        <v>6.8</v>
      </c>
      <c r="AN365" s="97">
        <v>6</v>
      </c>
      <c r="AO365" s="97">
        <v>1.7</v>
      </c>
      <c r="AP365" s="97">
        <v>0</v>
      </c>
      <c r="AQ365" s="97">
        <v>0</v>
      </c>
      <c r="AR365" s="97">
        <v>0</v>
      </c>
      <c r="AS365" s="97">
        <v>10.8352</v>
      </c>
      <c r="AT365" s="97">
        <f t="shared" si="80"/>
        <v>25.3352</v>
      </c>
      <c r="AU365" s="97">
        <f t="shared" si="81"/>
        <v>61.2920706806789</v>
      </c>
      <c r="AV365" s="97">
        <v>0</v>
      </c>
      <c r="AW365" s="90" t="s">
        <v>1311</v>
      </c>
      <c r="AX365" s="90" t="s">
        <v>248</v>
      </c>
      <c r="AY365" s="90" t="s">
        <v>1312</v>
      </c>
      <c r="AZ365" s="90" t="s">
        <v>212</v>
      </c>
      <c r="BA365" s="106" t="s">
        <v>322</v>
      </c>
      <c r="BB365" s="90" t="s">
        <v>134</v>
      </c>
      <c r="BC365" s="93">
        <v>5</v>
      </c>
      <c r="BD365" s="93">
        <v>10</v>
      </c>
      <c r="BE365" s="59">
        <f>U365/((VLOOKUP(B365,'Cell-Characteristics'!$B$4:$E$34,3,FALSE)*VLOOKUP(B365,'Cell-Characteristics'!$B$4:$E$34,4,FALSE)*3600)/1000)</f>
        <v>1.16500479584368</v>
      </c>
      <c r="BF365" s="90">
        <f t="shared" si="78"/>
        <v>3142.20282792135</v>
      </c>
      <c r="BG365" s="90">
        <f t="shared" si="76"/>
        <v>12632.2441795692</v>
      </c>
      <c r="BH365" s="90">
        <f t="shared" si="77"/>
        <v>299.124160764716</v>
      </c>
      <c r="BI365" s="90">
        <f t="shared" si="79"/>
        <v>16073.5711682553</v>
      </c>
      <c r="BJ365" s="90">
        <f>BF365/((VLOOKUP(B365,'Cell-Characteristics'!$B$4:$Q$34,13,FALSE)))</f>
        <v>85.5300459448351</v>
      </c>
      <c r="BK365" s="90">
        <f>BG365/((VLOOKUP(B365,'Cell-Characteristics'!$B$4:$Q$34,14,FALSE)))</f>
        <v>4966.67617345647</v>
      </c>
      <c r="BL365" s="90">
        <f>BH365/((VLOOKUP(B365,'Cell-Characteristics'!$B$4:$Q$34,15,FALSE)))</f>
        <v>117.607989606321</v>
      </c>
      <c r="BM365" s="90">
        <f>BI365/((VLOOKUP(B365,'Cell-Characteristics'!$B$4:$Q$34,16,FALSE)))</f>
        <v>384.307185408065</v>
      </c>
      <c r="BN365" s="50">
        <f t="shared" si="75"/>
        <v>2</v>
      </c>
    </row>
    <row r="366" spans="2:66">
      <c r="B366" s="90" t="s">
        <v>16</v>
      </c>
      <c r="C366" s="91" t="s">
        <v>1313</v>
      </c>
      <c r="D366" s="90" t="s">
        <v>244</v>
      </c>
      <c r="E366" s="92" t="s">
        <v>265</v>
      </c>
      <c r="F366" s="93" t="s">
        <v>245</v>
      </c>
      <c r="G366" s="93"/>
      <c r="H366" s="94">
        <v>43511</v>
      </c>
      <c r="I366" s="95" t="s">
        <v>1314</v>
      </c>
      <c r="J366" s="95">
        <v>100</v>
      </c>
      <c r="K366" s="96">
        <v>4.145</v>
      </c>
      <c r="L366" s="97">
        <v>41.0035</v>
      </c>
      <c r="M366" s="97">
        <v>48.6</v>
      </c>
      <c r="N366" s="97">
        <v>47.5</v>
      </c>
      <c r="O366" s="96" t="s">
        <v>198</v>
      </c>
      <c r="P366" s="96" t="s">
        <v>198</v>
      </c>
      <c r="Q366" s="98" t="s">
        <v>381</v>
      </c>
      <c r="R366" s="99">
        <v>32.7049559547485</v>
      </c>
      <c r="S366" s="100">
        <v>0.009</v>
      </c>
      <c r="T366" s="100">
        <v>33.99759214389</v>
      </c>
      <c r="U366" s="97">
        <v>35.5389695746013</v>
      </c>
      <c r="V366" s="97">
        <v>8.44605389844292</v>
      </c>
      <c r="W366" s="97">
        <v>26.8844222418318</v>
      </c>
      <c r="X366" s="97">
        <v>0.2084934343266</v>
      </c>
      <c r="Y366" s="97">
        <v>23.7656127894014</v>
      </c>
      <c r="Z366" s="97">
        <v>75.6477257603026</v>
      </c>
      <c r="AA366" s="97">
        <v>0.586661450295972</v>
      </c>
      <c r="AB366" s="97">
        <v>1.54137743071137</v>
      </c>
      <c r="AC366" s="97">
        <v>0</v>
      </c>
      <c r="AD366" s="120">
        <v>2</v>
      </c>
      <c r="AE366" s="120">
        <v>2</v>
      </c>
      <c r="AF366" s="120">
        <v>2</v>
      </c>
      <c r="AG366" s="97" t="s">
        <v>134</v>
      </c>
      <c r="AH366" s="97" t="s">
        <v>134</v>
      </c>
      <c r="AI366" s="97" t="s">
        <v>134</v>
      </c>
      <c r="AJ366" s="97"/>
      <c r="AK366" s="92" t="s">
        <v>134</v>
      </c>
      <c r="AL366" s="97">
        <v>10.5</v>
      </c>
      <c r="AM366" s="97">
        <v>11.4</v>
      </c>
      <c r="AN366" s="97">
        <v>7.1</v>
      </c>
      <c r="AO366" s="97">
        <v>0.9</v>
      </c>
      <c r="AP366" s="97">
        <v>0</v>
      </c>
      <c r="AQ366" s="97">
        <v>0</v>
      </c>
      <c r="AR366" s="97">
        <v>0</v>
      </c>
      <c r="AS366" s="97">
        <v>11.1035</v>
      </c>
      <c r="AT366" s="97">
        <f t="shared" si="80"/>
        <v>30.5035</v>
      </c>
      <c r="AU366" s="97">
        <f t="shared" si="81"/>
        <v>74.3924299145195</v>
      </c>
      <c r="AV366" s="97">
        <v>0</v>
      </c>
      <c r="AW366" s="90" t="s">
        <v>1315</v>
      </c>
      <c r="AX366" s="90" t="s">
        <v>248</v>
      </c>
      <c r="AY366" s="90" t="s">
        <v>1316</v>
      </c>
      <c r="AZ366" s="90" t="s">
        <v>212</v>
      </c>
      <c r="BA366" s="90" t="s">
        <v>204</v>
      </c>
      <c r="BB366" s="90" t="s">
        <v>1317</v>
      </c>
      <c r="BC366" s="93">
        <v>12</v>
      </c>
      <c r="BD366" s="93">
        <v>24</v>
      </c>
      <c r="BE366" s="59">
        <f>U366/((VLOOKUP(B366,'Cell-Characteristics'!$B$4:$E$34,3,FALSE)*VLOOKUP(B366,'Cell-Characteristics'!$B$4:$E$34,4,FALSE)*3600)/1000)</f>
        <v>1.28792380860337</v>
      </c>
      <c r="BF366" s="90">
        <f t="shared" si="78"/>
        <v>4223.02694922146</v>
      </c>
      <c r="BG366" s="90">
        <f t="shared" si="76"/>
        <v>13442.2111209159</v>
      </c>
      <c r="BH366" s="90">
        <f t="shared" si="77"/>
        <v>104.2467171633</v>
      </c>
      <c r="BI366" s="90">
        <f t="shared" si="79"/>
        <v>17769.4847873007</v>
      </c>
      <c r="BJ366" s="90">
        <f>BF366/((VLOOKUP(B366,'Cell-Characteristics'!$B$4:$Q$34,13,FALSE)))</f>
        <v>114.949832577208</v>
      </c>
      <c r="BK366" s="90">
        <f>BG366/((VLOOKUP(B366,'Cell-Characteristics'!$B$4:$Q$34,14,FALSE)))</f>
        <v>5285.13451321692</v>
      </c>
      <c r="BL366" s="90">
        <f>BH366/((VLOOKUP(B366,'Cell-Characteristics'!$B$4:$Q$34,15,FALSE)))</f>
        <v>40.9871499423214</v>
      </c>
      <c r="BM366" s="90">
        <f>BI366/((VLOOKUP(B366,'Cell-Characteristics'!$B$4:$Q$34,16,FALSE)))</f>
        <v>424.855224347771</v>
      </c>
      <c r="BN366" s="50">
        <f t="shared" si="75"/>
        <v>2</v>
      </c>
    </row>
    <row r="367" spans="2:66">
      <c r="B367" s="90" t="s">
        <v>16</v>
      </c>
      <c r="C367" s="91" t="s">
        <v>1318</v>
      </c>
      <c r="D367" s="90" t="s">
        <v>244</v>
      </c>
      <c r="E367" s="92" t="s">
        <v>265</v>
      </c>
      <c r="F367" s="93" t="s">
        <v>245</v>
      </c>
      <c r="G367" s="93"/>
      <c r="H367" s="94">
        <v>43511</v>
      </c>
      <c r="I367" s="95" t="s">
        <v>1319</v>
      </c>
      <c r="J367" s="95">
        <v>100</v>
      </c>
      <c r="K367" s="96">
        <v>4.172</v>
      </c>
      <c r="L367" s="97">
        <v>40.9676</v>
      </c>
      <c r="M367" s="97">
        <v>47.5</v>
      </c>
      <c r="N367" s="97">
        <v>47.5</v>
      </c>
      <c r="O367" s="96" t="s">
        <v>198</v>
      </c>
      <c r="P367" s="96" t="s">
        <v>198</v>
      </c>
      <c r="Q367" s="98" t="s">
        <v>381</v>
      </c>
      <c r="R367" s="99">
        <v>30.3408679430184</v>
      </c>
      <c r="S367" s="100">
        <v>0.008</v>
      </c>
      <c r="T367" s="100">
        <v>32.016371044245</v>
      </c>
      <c r="U367" s="97">
        <v>33.6213354432045</v>
      </c>
      <c r="V367" s="97">
        <v>7.90719485909451</v>
      </c>
      <c r="W367" s="97">
        <v>25.7122477414384</v>
      </c>
      <c r="X367" s="97">
        <v>0.00189284267156879</v>
      </c>
      <c r="Y367" s="97">
        <v>23.5183842487515</v>
      </c>
      <c r="Z367" s="97">
        <v>76.4759858658004</v>
      </c>
      <c r="AA367" s="97">
        <v>0.00562988544808493</v>
      </c>
      <c r="AB367" s="97">
        <v>1.60496439895949</v>
      </c>
      <c r="AC367" s="97">
        <v>0</v>
      </c>
      <c r="AD367" s="120">
        <v>2</v>
      </c>
      <c r="AE367" s="120">
        <v>2</v>
      </c>
      <c r="AF367" s="120">
        <v>2</v>
      </c>
      <c r="AG367" s="97" t="s">
        <v>134</v>
      </c>
      <c r="AH367" s="97" t="s">
        <v>134</v>
      </c>
      <c r="AI367" s="97" t="s">
        <v>134</v>
      </c>
      <c r="AJ367" s="97"/>
      <c r="AK367" s="92" t="s">
        <v>134</v>
      </c>
      <c r="AL367" s="97">
        <v>17.5</v>
      </c>
      <c r="AM367" s="97">
        <v>4.1</v>
      </c>
      <c r="AN367" s="97">
        <v>5.2</v>
      </c>
      <c r="AO367" s="97">
        <v>4.3</v>
      </c>
      <c r="AP367" s="97">
        <v>0.2</v>
      </c>
      <c r="AQ367" s="97">
        <v>0</v>
      </c>
      <c r="AR367" s="97">
        <v>0</v>
      </c>
      <c r="AS367" s="97">
        <v>9.6676</v>
      </c>
      <c r="AT367" s="97">
        <f t="shared" si="80"/>
        <v>23.4676</v>
      </c>
      <c r="AU367" s="97">
        <f t="shared" si="81"/>
        <v>57.2833165721204</v>
      </c>
      <c r="AV367" s="97">
        <v>0</v>
      </c>
      <c r="AW367" s="90" t="s">
        <v>1320</v>
      </c>
      <c r="AX367" s="90" t="s">
        <v>248</v>
      </c>
      <c r="AY367" s="90" t="s">
        <v>1321</v>
      </c>
      <c r="AZ367" s="90" t="s">
        <v>212</v>
      </c>
      <c r="BA367" s="90" t="s">
        <v>204</v>
      </c>
      <c r="BB367" s="90" t="s">
        <v>1322</v>
      </c>
      <c r="BC367" s="93">
        <v>7</v>
      </c>
      <c r="BD367" s="93">
        <v>14</v>
      </c>
      <c r="BE367" s="59">
        <f>U367/((VLOOKUP(B367,'Cell-Characteristics'!$B$4:$E$34,3,FALSE)*VLOOKUP(B367,'Cell-Characteristics'!$B$4:$E$34,4,FALSE)*3600)/1000)</f>
        <v>1.21842920356615</v>
      </c>
      <c r="BF367" s="90">
        <f t="shared" si="78"/>
        <v>3953.59742954726</v>
      </c>
      <c r="BG367" s="90">
        <f t="shared" si="76"/>
        <v>12856.1238707192</v>
      </c>
      <c r="BH367" s="90">
        <f t="shared" si="77"/>
        <v>0.946421335784393</v>
      </c>
      <c r="BI367" s="90">
        <f t="shared" si="79"/>
        <v>16810.6677216022</v>
      </c>
      <c r="BJ367" s="90">
        <f>BF367/((VLOOKUP(B367,'Cell-Characteristics'!$B$4:$Q$34,13,FALSE)))</f>
        <v>107.616022362329</v>
      </c>
      <c r="BK367" s="90">
        <f>BG367/((VLOOKUP(B367,'Cell-Characteristics'!$B$4:$Q$34,14,FALSE)))</f>
        <v>5054.69995703357</v>
      </c>
      <c r="BL367" s="90">
        <f>BH367/((VLOOKUP(B367,'Cell-Characteristics'!$B$4:$Q$34,15,FALSE)))</f>
        <v>0.372108726816228</v>
      </c>
      <c r="BM367" s="90">
        <f>BI367/((VLOOKUP(B367,'Cell-Characteristics'!$B$4:$Q$34,16,FALSE)))</f>
        <v>401.930618236124</v>
      </c>
      <c r="BN367" s="50">
        <f t="shared" si="75"/>
        <v>2</v>
      </c>
    </row>
    <row r="368" spans="2:66">
      <c r="B368" s="90" t="s">
        <v>16</v>
      </c>
      <c r="C368" s="91" t="s">
        <v>1323</v>
      </c>
      <c r="D368" s="90" t="s">
        <v>244</v>
      </c>
      <c r="E368" s="92" t="s">
        <v>265</v>
      </c>
      <c r="F368" s="93" t="s">
        <v>245</v>
      </c>
      <c r="G368" s="93"/>
      <c r="H368" s="94">
        <v>43511</v>
      </c>
      <c r="I368" s="95" t="s">
        <v>1324</v>
      </c>
      <c r="J368" s="95">
        <v>100</v>
      </c>
      <c r="K368" s="96">
        <v>4.168</v>
      </c>
      <c r="L368" s="97">
        <v>41.1667</v>
      </c>
      <c r="M368" s="97">
        <v>46.8</v>
      </c>
      <c r="N368" s="97">
        <v>47.5</v>
      </c>
      <c r="O368" s="96" t="s">
        <v>198</v>
      </c>
      <c r="P368" s="96" t="s">
        <v>198</v>
      </c>
      <c r="Q368" s="98" t="s">
        <v>381</v>
      </c>
      <c r="R368" s="99">
        <v>35.1014180658705</v>
      </c>
      <c r="S368" s="100">
        <v>0.009</v>
      </c>
      <c r="T368" s="100">
        <v>36.8062838611889</v>
      </c>
      <c r="U368" s="97">
        <v>37.1125690919646</v>
      </c>
      <c r="V368" s="97">
        <v>19.5143407331203</v>
      </c>
      <c r="W368" s="97">
        <v>17.5430018040894</v>
      </c>
      <c r="X368" s="97">
        <v>0.0552265547548841</v>
      </c>
      <c r="Y368" s="97">
        <v>52.5814871095665</v>
      </c>
      <c r="Z368" s="97">
        <v>47.2697046669498</v>
      </c>
      <c r="AA368" s="97">
        <v>0.148808223483621</v>
      </c>
      <c r="AB368" s="97">
        <v>0.306285230775678</v>
      </c>
      <c r="AC368" s="97">
        <v>0</v>
      </c>
      <c r="AD368" s="120">
        <v>2</v>
      </c>
      <c r="AE368" s="120">
        <v>2</v>
      </c>
      <c r="AF368" s="120">
        <v>2</v>
      </c>
      <c r="AG368" s="97" t="s">
        <v>134</v>
      </c>
      <c r="AH368" s="97" t="s">
        <v>134</v>
      </c>
      <c r="AI368" s="97" t="s">
        <v>134</v>
      </c>
      <c r="AJ368" s="97"/>
      <c r="AK368" s="92" t="s">
        <v>134</v>
      </c>
      <c r="AL368" s="97">
        <v>29.9</v>
      </c>
      <c r="AM368" s="97">
        <v>1.1</v>
      </c>
      <c r="AN368" s="97">
        <v>2.7</v>
      </c>
      <c r="AO368" s="97">
        <v>0.2</v>
      </c>
      <c r="AP368" s="97">
        <v>0</v>
      </c>
      <c r="AQ368" s="97">
        <v>0</v>
      </c>
      <c r="AR368" s="97">
        <v>0</v>
      </c>
      <c r="AS368" s="97">
        <v>7.26669999999999</v>
      </c>
      <c r="AT368" s="97">
        <f t="shared" si="80"/>
        <v>11.2667</v>
      </c>
      <c r="AU368" s="97">
        <f t="shared" si="81"/>
        <v>27.3684798635791</v>
      </c>
      <c r="AV368" s="97">
        <v>0</v>
      </c>
      <c r="AW368" s="90" t="s">
        <v>1325</v>
      </c>
      <c r="AX368" s="90" t="s">
        <v>248</v>
      </c>
      <c r="AY368" s="90" t="s">
        <v>1326</v>
      </c>
      <c r="AZ368" s="90" t="s">
        <v>212</v>
      </c>
      <c r="BA368" s="90" t="s">
        <v>204</v>
      </c>
      <c r="BB368" s="90" t="s">
        <v>1322</v>
      </c>
      <c r="BC368" s="93">
        <v>7</v>
      </c>
      <c r="BD368" s="93">
        <v>14</v>
      </c>
      <c r="BE368" s="59">
        <f>U368/((VLOOKUP(B368,'Cell-Characteristics'!$B$4:$E$34,3,FALSE)*VLOOKUP(B368,'Cell-Characteristics'!$B$4:$E$34,4,FALSE)*3600)/1000)</f>
        <v>1.34495068101633</v>
      </c>
      <c r="BF368" s="90">
        <f t="shared" si="78"/>
        <v>9757.17036656017</v>
      </c>
      <c r="BG368" s="90">
        <f t="shared" si="76"/>
        <v>8771.50090204468</v>
      </c>
      <c r="BH368" s="90">
        <f t="shared" si="77"/>
        <v>27.613277377442</v>
      </c>
      <c r="BI368" s="90">
        <f t="shared" si="79"/>
        <v>18556.2845459823</v>
      </c>
      <c r="BJ368" s="90">
        <f>BF368/((VLOOKUP(B368,'Cell-Characteristics'!$B$4:$Q$34,13,FALSE)))</f>
        <v>265.587957062447</v>
      </c>
      <c r="BK368" s="90">
        <f>BG368/((VLOOKUP(B368,'Cell-Characteristics'!$B$4:$Q$34,14,FALSE)))</f>
        <v>3448.73040105555</v>
      </c>
      <c r="BL368" s="90">
        <f>BH368/((VLOOKUP(B368,'Cell-Characteristics'!$B$4:$Q$34,15,FALSE)))</f>
        <v>10.8568362732728</v>
      </c>
      <c r="BM368" s="90">
        <f>BI368/((VLOOKUP(B368,'Cell-Characteristics'!$B$4:$Q$34,16,FALSE)))</f>
        <v>443.667024014037</v>
      </c>
      <c r="BN368" s="50">
        <f t="shared" si="75"/>
        <v>2</v>
      </c>
    </row>
    <row r="369" spans="2:61">
      <c r="B369" s="90"/>
      <c r="C369" s="90"/>
      <c r="D369" s="90"/>
      <c r="E369" s="92"/>
      <c r="F369" s="93"/>
      <c r="G369" s="93"/>
      <c r="H369" s="94"/>
      <c r="I369" s="95"/>
      <c r="J369" s="95"/>
      <c r="K369" s="96"/>
      <c r="L369" s="97"/>
      <c r="M369" s="97"/>
      <c r="N369" s="97"/>
      <c r="O369" s="96"/>
      <c r="P369" s="96"/>
      <c r="Q369" s="98"/>
      <c r="R369" s="99"/>
      <c r="S369" s="100"/>
      <c r="T369" s="100"/>
      <c r="U369" s="97"/>
      <c r="V369" s="97"/>
      <c r="W369" s="97"/>
      <c r="X369" s="97"/>
      <c r="Y369" s="97"/>
      <c r="Z369" s="97"/>
      <c r="AA369" s="97"/>
      <c r="AB369" s="97"/>
      <c r="AC369" s="97"/>
      <c r="AD369" s="97"/>
      <c r="AE369" s="97"/>
      <c r="AF369" s="97"/>
      <c r="AG369" s="97"/>
      <c r="AH369" s="97"/>
      <c r="AI369" s="97"/>
      <c r="AJ369" s="97"/>
      <c r="AK369" s="92"/>
      <c r="AL369" s="97"/>
      <c r="AM369" s="97"/>
      <c r="AN369" s="97"/>
      <c r="AO369" s="97"/>
      <c r="AP369" s="97"/>
      <c r="AQ369" s="97"/>
      <c r="AR369" s="97"/>
      <c r="AS369" s="97"/>
      <c r="AT369" s="97"/>
      <c r="AU369" s="97"/>
      <c r="AV369" s="97"/>
      <c r="AW369" s="90"/>
      <c r="AX369" s="90"/>
      <c r="AY369" s="90"/>
      <c r="AZ369" s="90"/>
      <c r="BA369" s="90"/>
      <c r="BB369" s="90"/>
      <c r="BC369" s="93"/>
      <c r="BD369" s="93"/>
    </row>
    <row r="370" spans="2:61">
      <c r="B370" s="90"/>
      <c r="C370" s="90"/>
      <c r="D370" s="90"/>
      <c r="E370" s="92"/>
      <c r="F370" s="93"/>
      <c r="G370" s="93"/>
      <c r="H370" s="94"/>
      <c r="I370" s="95"/>
      <c r="J370" s="95"/>
      <c r="K370" s="96"/>
      <c r="L370" s="97"/>
      <c r="M370" s="97"/>
      <c r="N370" s="97"/>
      <c r="O370" s="96"/>
      <c r="P370" s="96"/>
      <c r="Q370" s="98"/>
      <c r="R370" s="99"/>
      <c r="S370" s="100"/>
      <c r="T370" s="100"/>
      <c r="U370" s="97"/>
      <c r="V370" s="97"/>
      <c r="W370" s="97"/>
      <c r="X370" s="97"/>
      <c r="Y370" s="97"/>
      <c r="Z370" s="97"/>
      <c r="AA370" s="97"/>
      <c r="AB370" s="97"/>
      <c r="AC370" s="97"/>
      <c r="AD370" s="97"/>
      <c r="AE370" s="97"/>
      <c r="AF370" s="97"/>
      <c r="AG370" s="97"/>
      <c r="AH370" s="97"/>
      <c r="AI370" s="97"/>
      <c r="AJ370" s="97"/>
      <c r="AK370" s="92"/>
      <c r="AL370" s="97"/>
      <c r="AM370" s="97"/>
      <c r="AN370" s="97"/>
      <c r="AO370" s="97"/>
      <c r="AP370" s="97"/>
      <c r="AQ370" s="97"/>
      <c r="AR370" s="97"/>
      <c r="AS370" s="97"/>
      <c r="AT370" s="97"/>
      <c r="AU370" s="97"/>
      <c r="AV370" s="97"/>
      <c r="AW370" s="90"/>
      <c r="AX370" s="90"/>
      <c r="AY370" s="90"/>
      <c r="AZ370" s="90"/>
      <c r="BA370" s="90"/>
      <c r="BB370" s="90"/>
      <c r="BC370" s="93"/>
      <c r="BD370" s="93"/>
    </row>
    <row r="371" spans="2:61">
      <c r="B371" s="90"/>
      <c r="C371" s="90"/>
      <c r="D371" s="90"/>
      <c r="E371" s="92"/>
      <c r="F371" s="93"/>
      <c r="G371" s="93"/>
      <c r="H371" s="94"/>
      <c r="I371" s="95"/>
      <c r="J371" s="95"/>
      <c r="K371" s="96"/>
      <c r="L371" s="97"/>
      <c r="M371" s="97"/>
      <c r="N371" s="97"/>
      <c r="O371" s="92"/>
      <c r="P371" s="92"/>
      <c r="Q371" s="98"/>
      <c r="R371" s="99"/>
      <c r="S371" s="100"/>
      <c r="T371" s="100"/>
      <c r="U371" s="97"/>
      <c r="V371" s="97"/>
      <c r="W371" s="97"/>
      <c r="X371" s="97"/>
      <c r="Y371" s="97"/>
      <c r="Z371" s="97"/>
      <c r="AA371" s="97"/>
      <c r="AB371" s="97"/>
      <c r="AC371" s="97"/>
      <c r="AD371" s="97"/>
      <c r="AE371" s="97"/>
      <c r="AF371" s="97"/>
      <c r="AG371" s="97"/>
      <c r="AH371" s="97"/>
      <c r="AI371" s="97"/>
      <c r="AJ371" s="97"/>
      <c r="AK371" s="92"/>
      <c r="AL371" s="97"/>
      <c r="AM371" s="97"/>
      <c r="AN371" s="97"/>
      <c r="AO371" s="97"/>
      <c r="AP371" s="97"/>
      <c r="AQ371" s="97"/>
      <c r="AR371" s="97"/>
      <c r="AS371" s="97"/>
      <c r="AT371" s="97"/>
      <c r="AU371" s="97"/>
      <c r="AV371" s="97"/>
      <c r="AW371" s="90"/>
      <c r="AX371" s="90"/>
      <c r="AY371" s="90"/>
      <c r="AZ371" s="90"/>
      <c r="BA371" s="90"/>
      <c r="BB371" s="90"/>
      <c r="BC371" s="93"/>
      <c r="BD371" s="93"/>
    </row>
    <row r="372" spans="2:61">
      <c r="B372" s="90"/>
      <c r="C372" s="90"/>
      <c r="D372" s="90"/>
      <c r="E372" s="92"/>
      <c r="F372" s="93"/>
      <c r="G372" s="93"/>
      <c r="H372" s="94"/>
      <c r="I372" s="95"/>
      <c r="J372" s="95"/>
      <c r="K372" s="96"/>
      <c r="L372" s="97"/>
      <c r="M372" s="97"/>
      <c r="N372" s="97"/>
      <c r="O372" s="92"/>
      <c r="P372" s="92"/>
      <c r="Q372" s="98"/>
      <c r="R372" s="99"/>
      <c r="S372" s="100"/>
      <c r="T372" s="100"/>
      <c r="U372" s="97"/>
      <c r="V372" s="97"/>
      <c r="W372" s="97"/>
      <c r="X372" s="97"/>
      <c r="Y372" s="97"/>
      <c r="Z372" s="97"/>
      <c r="AA372" s="97"/>
      <c r="AB372" s="97"/>
      <c r="AC372" s="97"/>
      <c r="AD372" s="97"/>
      <c r="AE372" s="97"/>
      <c r="AF372" s="97"/>
      <c r="AG372" s="97"/>
      <c r="AH372" s="97"/>
      <c r="AI372" s="97"/>
      <c r="AJ372" s="97"/>
      <c r="AK372" s="92"/>
      <c r="AL372" s="97"/>
      <c r="AM372" s="97"/>
      <c r="AN372" s="97"/>
      <c r="AO372" s="97"/>
      <c r="AP372" s="97"/>
      <c r="AQ372" s="97"/>
      <c r="AR372" s="97"/>
      <c r="AS372" s="97"/>
      <c r="AT372" s="97"/>
      <c r="AU372" s="97"/>
      <c r="AV372" s="97"/>
      <c r="AW372" s="90"/>
      <c r="AX372" s="90"/>
      <c r="AY372" s="90"/>
      <c r="AZ372" s="90"/>
      <c r="BA372" s="90"/>
      <c r="BB372" s="90"/>
      <c r="BC372" s="93"/>
      <c r="BD372" s="93"/>
      <c r="BF372" s="55"/>
      <c r="BG372" s="55"/>
      <c r="BH372" s="55"/>
      <c r="BI372" s="55"/>
    </row>
    <row r="373" spans="2:61">
      <c r="B373" s="90"/>
      <c r="C373" s="90"/>
      <c r="D373" s="90"/>
      <c r="E373" s="92"/>
      <c r="F373" s="93"/>
      <c r="G373" s="93"/>
      <c r="H373" s="94"/>
      <c r="I373" s="95"/>
      <c r="J373" s="95"/>
      <c r="K373" s="96"/>
      <c r="L373" s="97"/>
      <c r="M373" s="97"/>
      <c r="N373" s="97"/>
      <c r="O373" s="96"/>
      <c r="P373" s="96"/>
      <c r="Q373" s="98"/>
      <c r="R373" s="99"/>
      <c r="S373" s="100"/>
      <c r="T373" s="100"/>
      <c r="U373" s="97"/>
      <c r="V373" s="97"/>
      <c r="W373" s="97"/>
      <c r="X373" s="97"/>
      <c r="Y373" s="97"/>
      <c r="Z373" s="97"/>
      <c r="AA373" s="97"/>
      <c r="AB373" s="97"/>
      <c r="AC373" s="97"/>
      <c r="AD373" s="97"/>
      <c r="AE373" s="97"/>
      <c r="AF373" s="97"/>
      <c r="AG373" s="97"/>
      <c r="AH373" s="97"/>
      <c r="AI373" s="97"/>
      <c r="AJ373" s="97"/>
      <c r="AK373" s="92"/>
      <c r="AL373" s="97"/>
      <c r="AM373" s="97"/>
      <c r="AN373" s="97"/>
      <c r="AO373" s="97"/>
      <c r="AP373" s="97"/>
      <c r="AQ373" s="97"/>
      <c r="AR373" s="97"/>
      <c r="AS373" s="97"/>
      <c r="AT373" s="97"/>
      <c r="AU373" s="97"/>
      <c r="AV373" s="97"/>
      <c r="AW373" s="90"/>
      <c r="AX373" s="90"/>
      <c r="AY373" s="90"/>
      <c r="AZ373" s="90"/>
      <c r="BA373" s="90"/>
      <c r="BB373" s="90"/>
      <c r="BC373" s="93"/>
      <c r="BD373" s="93"/>
      <c r="BF373" s="55"/>
      <c r="BG373" s="55"/>
      <c r="BH373" s="55"/>
      <c r="BI373" s="55"/>
    </row>
    <row r="374" spans="2:61">
      <c r="B374" s="90"/>
      <c r="C374" s="90"/>
      <c r="D374" s="90"/>
      <c r="E374" s="92"/>
      <c r="F374" s="93"/>
      <c r="G374" s="93"/>
      <c r="H374" s="94"/>
      <c r="I374" s="95"/>
      <c r="J374" s="95"/>
      <c r="K374" s="96"/>
      <c r="L374" s="97"/>
      <c r="M374" s="97"/>
      <c r="N374" s="97"/>
      <c r="O374" s="96"/>
      <c r="P374" s="96"/>
      <c r="Q374" s="98"/>
      <c r="R374" s="99"/>
      <c r="S374" s="100"/>
      <c r="T374" s="100"/>
      <c r="U374" s="97"/>
      <c r="V374" s="97"/>
      <c r="W374" s="97"/>
      <c r="X374" s="97"/>
      <c r="Y374" s="97"/>
      <c r="Z374" s="97"/>
      <c r="AA374" s="97"/>
      <c r="AB374" s="97"/>
      <c r="AC374" s="97"/>
      <c r="AD374" s="97"/>
      <c r="AE374" s="97"/>
      <c r="AF374" s="97"/>
      <c r="AG374" s="97"/>
      <c r="AH374" s="97"/>
      <c r="AI374" s="97"/>
      <c r="AJ374" s="97"/>
      <c r="AK374" s="92"/>
      <c r="AL374" s="97"/>
      <c r="AM374" s="97"/>
      <c r="AN374" s="97"/>
      <c r="AO374" s="97"/>
      <c r="AP374" s="97"/>
      <c r="AQ374" s="97"/>
      <c r="AR374" s="97"/>
      <c r="AS374" s="97"/>
      <c r="AT374" s="97"/>
      <c r="AU374" s="97"/>
      <c r="AV374" s="97"/>
      <c r="AW374" s="90"/>
      <c r="AX374" s="90"/>
      <c r="AY374" s="90"/>
      <c r="AZ374" s="90"/>
      <c r="BA374" s="90"/>
      <c r="BB374" s="90"/>
      <c r="BC374" s="93"/>
      <c r="BD374" s="93"/>
    </row>
    <row r="375" spans="2:61">
      <c r="B375" s="90"/>
      <c r="C375" s="90"/>
      <c r="D375" s="90"/>
      <c r="E375" s="92"/>
      <c r="F375" s="93"/>
      <c r="G375" s="93"/>
      <c r="H375" s="94"/>
      <c r="I375" s="95"/>
      <c r="J375" s="95"/>
      <c r="K375" s="96"/>
      <c r="L375" s="97"/>
      <c r="M375" s="97"/>
      <c r="N375" s="97"/>
      <c r="O375" s="96"/>
      <c r="P375" s="96"/>
      <c r="Q375" s="98"/>
      <c r="R375" s="99"/>
      <c r="S375" s="100"/>
      <c r="T375" s="100"/>
      <c r="U375" s="97"/>
      <c r="V375" s="97"/>
      <c r="W375" s="97"/>
      <c r="X375" s="97"/>
      <c r="Y375" s="97"/>
      <c r="Z375" s="97"/>
      <c r="AA375" s="97"/>
      <c r="AB375" s="97"/>
      <c r="AC375" s="97"/>
      <c r="AD375" s="97"/>
      <c r="AE375" s="97"/>
      <c r="AF375" s="97"/>
      <c r="AG375" s="97"/>
      <c r="AH375" s="97"/>
      <c r="AI375" s="97"/>
      <c r="AJ375" s="97"/>
      <c r="AK375" s="92"/>
      <c r="AL375" s="97"/>
      <c r="AM375" s="97"/>
      <c r="AN375" s="97"/>
      <c r="AO375" s="97"/>
      <c r="AP375" s="97"/>
      <c r="AQ375" s="97"/>
      <c r="AR375" s="97"/>
      <c r="AS375" s="97"/>
      <c r="AT375" s="97"/>
      <c r="AU375" s="97"/>
      <c r="AV375" s="97"/>
      <c r="AW375" s="90"/>
      <c r="AX375" s="90"/>
      <c r="AY375" s="90"/>
      <c r="AZ375" s="90"/>
      <c r="BA375" s="90"/>
      <c r="BB375" s="90"/>
      <c r="BC375" s="93"/>
      <c r="BD375" s="93"/>
    </row>
    <row r="376" s="53" customFormat="1" spans="2:61">
      <c r="B376" s="90"/>
      <c r="C376" s="90"/>
      <c r="D376" s="90"/>
      <c r="E376" s="92"/>
      <c r="F376" s="93"/>
      <c r="G376" s="93"/>
      <c r="H376" s="94"/>
      <c r="I376" s="95"/>
      <c r="J376" s="95"/>
      <c r="K376" s="96"/>
      <c r="L376" s="97"/>
      <c r="M376" s="97"/>
      <c r="N376" s="97"/>
      <c r="O376" s="96"/>
      <c r="P376" s="96"/>
      <c r="Q376" s="98"/>
      <c r="R376" s="99"/>
      <c r="S376" s="100"/>
      <c r="T376" s="100"/>
      <c r="U376" s="97"/>
      <c r="V376" s="97"/>
      <c r="W376" s="97"/>
      <c r="X376" s="97"/>
      <c r="Y376" s="97"/>
      <c r="Z376" s="97"/>
      <c r="AA376" s="97"/>
      <c r="AB376" s="97"/>
      <c r="AC376" s="97"/>
      <c r="AD376" s="97"/>
      <c r="AE376" s="97"/>
      <c r="AF376" s="97"/>
      <c r="AG376" s="97"/>
      <c r="AH376" s="97"/>
      <c r="AI376" s="97"/>
      <c r="AJ376" s="97"/>
      <c r="AK376" s="92"/>
      <c r="AL376" s="97"/>
      <c r="AM376" s="97"/>
      <c r="AN376" s="97"/>
      <c r="AO376" s="97"/>
      <c r="AP376" s="97"/>
      <c r="AQ376" s="97"/>
      <c r="AR376" s="97"/>
      <c r="AS376" s="97"/>
      <c r="AT376" s="97"/>
      <c r="AU376" s="97"/>
      <c r="AV376" s="97"/>
      <c r="AW376" s="90"/>
      <c r="AX376" s="90"/>
      <c r="AY376" s="90"/>
      <c r="AZ376" s="90"/>
      <c r="BA376" s="90"/>
      <c r="BB376" s="90"/>
      <c r="BC376" s="93"/>
      <c r="BD376" s="93"/>
      <c r="BE376" s="59"/>
    </row>
    <row r="377" s="53" customFormat="1" spans="2:61">
      <c r="B377" s="90"/>
      <c r="C377" s="90"/>
      <c r="D377" s="90"/>
      <c r="E377" s="92"/>
      <c r="F377" s="93"/>
      <c r="G377" s="93"/>
      <c r="H377" s="94"/>
      <c r="I377" s="95"/>
      <c r="J377" s="95"/>
      <c r="K377" s="96"/>
      <c r="L377" s="97"/>
      <c r="M377" s="97"/>
      <c r="N377" s="97"/>
      <c r="O377" s="96"/>
      <c r="P377" s="96"/>
      <c r="Q377" s="98"/>
      <c r="R377" s="99"/>
      <c r="S377" s="100"/>
      <c r="T377" s="100"/>
      <c r="U377" s="97"/>
      <c r="V377" s="97"/>
      <c r="W377" s="97"/>
      <c r="X377" s="97"/>
      <c r="Y377" s="97"/>
      <c r="Z377" s="97"/>
      <c r="AA377" s="97"/>
      <c r="AB377" s="97"/>
      <c r="AC377" s="97"/>
      <c r="AD377" s="97"/>
      <c r="AE377" s="97"/>
      <c r="AF377" s="97"/>
      <c r="AG377" s="97"/>
      <c r="AH377" s="97"/>
      <c r="AI377" s="97"/>
      <c r="AJ377" s="97"/>
      <c r="AK377" s="92"/>
      <c r="AL377" s="97"/>
      <c r="AM377" s="97"/>
      <c r="AN377" s="97"/>
      <c r="AO377" s="97"/>
      <c r="AP377" s="97"/>
      <c r="AQ377" s="97"/>
      <c r="AR377" s="97"/>
      <c r="AS377" s="97"/>
      <c r="AT377" s="97"/>
      <c r="AU377" s="97"/>
      <c r="AV377" s="97"/>
      <c r="AW377" s="90"/>
      <c r="AX377" s="90"/>
      <c r="AY377" s="90"/>
      <c r="AZ377" s="90"/>
      <c r="BA377" s="90"/>
      <c r="BB377" s="90"/>
      <c r="BC377" s="93"/>
      <c r="BD377" s="93"/>
      <c r="BE377" s="59"/>
    </row>
    <row r="378" s="53" customFormat="1" spans="2:61">
      <c r="B378" s="90"/>
      <c r="C378" s="90"/>
      <c r="D378" s="90"/>
      <c r="E378" s="92"/>
      <c r="F378" s="93"/>
      <c r="G378" s="93"/>
      <c r="H378" s="94"/>
      <c r="I378" s="95"/>
      <c r="J378" s="95"/>
      <c r="K378" s="96"/>
      <c r="L378" s="97"/>
      <c r="M378" s="97"/>
      <c r="N378" s="97"/>
      <c r="O378" s="96"/>
      <c r="P378" s="96"/>
      <c r="Q378" s="98"/>
      <c r="R378" s="99"/>
      <c r="S378" s="100"/>
      <c r="T378" s="100"/>
      <c r="U378" s="97"/>
      <c r="V378" s="97"/>
      <c r="W378" s="97"/>
      <c r="X378" s="97"/>
      <c r="Y378" s="97"/>
      <c r="Z378" s="97"/>
      <c r="AA378" s="97"/>
      <c r="AB378" s="97"/>
      <c r="AC378" s="97"/>
      <c r="AD378" s="97"/>
      <c r="AE378" s="97"/>
      <c r="AF378" s="97"/>
      <c r="AG378" s="97"/>
      <c r="AH378" s="97"/>
      <c r="AI378" s="97"/>
      <c r="AJ378" s="97"/>
      <c r="AK378" s="92"/>
      <c r="AL378" s="97"/>
      <c r="AM378" s="97"/>
      <c r="AN378" s="97"/>
      <c r="AO378" s="97"/>
      <c r="AP378" s="97"/>
      <c r="AQ378" s="97"/>
      <c r="AR378" s="97"/>
      <c r="AS378" s="97"/>
      <c r="AT378" s="97"/>
      <c r="AU378" s="97"/>
      <c r="AV378" s="97"/>
      <c r="AW378" s="90"/>
      <c r="AX378" s="90"/>
      <c r="AY378" s="90"/>
      <c r="AZ378" s="90"/>
      <c r="BA378" s="90"/>
      <c r="BB378" s="90"/>
      <c r="BC378" s="93"/>
      <c r="BD378" s="93"/>
      <c r="BE378" s="59"/>
    </row>
    <row r="379" s="53" customFormat="1" spans="2:61">
      <c r="B379" s="90"/>
      <c r="C379" s="90"/>
      <c r="D379" s="90"/>
      <c r="E379" s="92"/>
      <c r="F379" s="93"/>
      <c r="G379" s="93"/>
      <c r="H379" s="94"/>
      <c r="I379" s="95"/>
      <c r="J379" s="95"/>
      <c r="K379" s="96"/>
      <c r="L379" s="97"/>
      <c r="M379" s="97"/>
      <c r="N379" s="97"/>
      <c r="O379" s="96"/>
      <c r="P379" s="96"/>
      <c r="Q379" s="98"/>
      <c r="R379" s="99"/>
      <c r="S379" s="100"/>
      <c r="T379" s="100"/>
      <c r="U379" s="97"/>
      <c r="V379" s="97"/>
      <c r="W379" s="97"/>
      <c r="X379" s="97"/>
      <c r="Y379" s="97"/>
      <c r="Z379" s="97"/>
      <c r="AA379" s="97"/>
      <c r="AB379" s="97"/>
      <c r="AC379" s="97"/>
      <c r="AD379" s="97"/>
      <c r="AE379" s="97"/>
      <c r="AF379" s="97"/>
      <c r="AG379" s="97"/>
      <c r="AH379" s="97"/>
      <c r="AI379" s="97"/>
      <c r="AJ379" s="97"/>
      <c r="AK379" s="92"/>
      <c r="AL379" s="97"/>
      <c r="AM379" s="97"/>
      <c r="AN379" s="97"/>
      <c r="AO379" s="97"/>
      <c r="AP379" s="97"/>
      <c r="AQ379" s="97"/>
      <c r="AR379" s="97"/>
      <c r="AS379" s="97"/>
      <c r="AT379" s="97"/>
      <c r="AU379" s="97"/>
      <c r="AV379" s="97"/>
      <c r="AW379" s="90"/>
      <c r="AX379" s="90"/>
      <c r="AY379" s="90"/>
      <c r="AZ379" s="90"/>
      <c r="BA379" s="90"/>
      <c r="BB379" s="90"/>
      <c r="BC379" s="93"/>
      <c r="BD379" s="93"/>
      <c r="BE379" s="59"/>
    </row>
    <row r="380" s="53" customFormat="1" spans="2:61">
      <c r="B380" s="90"/>
      <c r="C380" s="90"/>
      <c r="D380" s="90"/>
      <c r="E380" s="92"/>
      <c r="F380" s="93"/>
      <c r="G380" s="93"/>
      <c r="H380" s="94"/>
      <c r="I380" s="95"/>
      <c r="J380" s="95"/>
      <c r="K380" s="96"/>
      <c r="L380" s="97"/>
      <c r="M380" s="97"/>
      <c r="N380" s="97"/>
      <c r="O380" s="96"/>
      <c r="P380" s="96"/>
      <c r="Q380" s="98"/>
      <c r="R380" s="99"/>
      <c r="S380" s="100"/>
      <c r="T380" s="100"/>
      <c r="U380" s="97"/>
      <c r="V380" s="97"/>
      <c r="W380" s="97"/>
      <c r="X380" s="97"/>
      <c r="Y380" s="97"/>
      <c r="Z380" s="97"/>
      <c r="AA380" s="97"/>
      <c r="AB380" s="97"/>
      <c r="AC380" s="97"/>
      <c r="AD380" s="97"/>
      <c r="AE380" s="97"/>
      <c r="AF380" s="97"/>
      <c r="AG380" s="97"/>
      <c r="AH380" s="97"/>
      <c r="AI380" s="97"/>
      <c r="AJ380" s="97"/>
      <c r="AK380" s="92"/>
      <c r="AL380" s="97"/>
      <c r="AM380" s="97"/>
      <c r="AN380" s="97"/>
      <c r="AO380" s="97"/>
      <c r="AP380" s="97"/>
      <c r="AQ380" s="97"/>
      <c r="AR380" s="97"/>
      <c r="AS380" s="97"/>
      <c r="AT380" s="97"/>
      <c r="AU380" s="97"/>
      <c r="AV380" s="97"/>
      <c r="AW380" s="90"/>
      <c r="AX380" s="90"/>
      <c r="AY380" s="90"/>
      <c r="AZ380" s="90"/>
      <c r="BA380" s="90"/>
      <c r="BB380" s="90"/>
      <c r="BC380" s="93"/>
      <c r="BD380" s="93"/>
      <c r="BE380" s="59"/>
    </row>
    <row r="381" s="53" customFormat="1" spans="2:61">
      <c r="B381" s="90"/>
      <c r="C381" s="90"/>
      <c r="D381" s="90"/>
      <c r="E381" s="92"/>
      <c r="F381" s="93"/>
      <c r="G381" s="93"/>
      <c r="H381" s="94"/>
      <c r="I381" s="95"/>
      <c r="J381" s="95"/>
      <c r="K381" s="96"/>
      <c r="L381" s="97"/>
      <c r="M381" s="97"/>
      <c r="N381" s="97"/>
      <c r="O381" s="96"/>
      <c r="P381" s="96"/>
      <c r="Q381" s="98"/>
      <c r="R381" s="99"/>
      <c r="S381" s="100"/>
      <c r="T381" s="100"/>
      <c r="U381" s="97"/>
      <c r="V381" s="97"/>
      <c r="W381" s="97"/>
      <c r="X381" s="97"/>
      <c r="Y381" s="97"/>
      <c r="Z381" s="97"/>
      <c r="AA381" s="97"/>
      <c r="AB381" s="97"/>
      <c r="AC381" s="97"/>
      <c r="AD381" s="97"/>
      <c r="AE381" s="97"/>
      <c r="AF381" s="97"/>
      <c r="AG381" s="97"/>
      <c r="AH381" s="97"/>
      <c r="AI381" s="97"/>
      <c r="AJ381" s="97"/>
      <c r="AK381" s="92"/>
      <c r="AL381" s="97"/>
      <c r="AM381" s="97"/>
      <c r="AN381" s="97"/>
      <c r="AO381" s="97"/>
      <c r="AP381" s="97"/>
      <c r="AQ381" s="97"/>
      <c r="AR381" s="97"/>
      <c r="AS381" s="97"/>
      <c r="AT381" s="97"/>
      <c r="AU381" s="97"/>
      <c r="AV381" s="97"/>
      <c r="AW381" s="90"/>
      <c r="AX381" s="90"/>
      <c r="AY381" s="90"/>
      <c r="AZ381" s="90"/>
      <c r="BA381" s="90"/>
      <c r="BB381" s="90"/>
      <c r="BC381" s="93"/>
      <c r="BD381" s="93"/>
      <c r="BE381" s="59"/>
    </row>
    <row r="382" s="53" customFormat="1" spans="2:61">
      <c r="B382" s="90"/>
      <c r="C382" s="90"/>
      <c r="D382" s="90"/>
      <c r="E382" s="92"/>
      <c r="F382" s="93"/>
      <c r="G382" s="93"/>
      <c r="H382" s="94"/>
      <c r="I382" s="95"/>
      <c r="J382" s="95"/>
      <c r="K382" s="96"/>
      <c r="L382" s="97"/>
      <c r="M382" s="97"/>
      <c r="N382" s="97"/>
      <c r="O382" s="96"/>
      <c r="P382" s="96"/>
      <c r="Q382" s="98"/>
      <c r="R382" s="99"/>
      <c r="S382" s="100"/>
      <c r="T382" s="100"/>
      <c r="U382" s="97"/>
      <c r="V382" s="97"/>
      <c r="W382" s="97"/>
      <c r="X382" s="97"/>
      <c r="Y382" s="97"/>
      <c r="Z382" s="97"/>
      <c r="AA382" s="97"/>
      <c r="AB382" s="97"/>
      <c r="AC382" s="97"/>
      <c r="AD382" s="97"/>
      <c r="AE382" s="97"/>
      <c r="AF382" s="97"/>
      <c r="AG382" s="97"/>
      <c r="AH382" s="97"/>
      <c r="AI382" s="97"/>
      <c r="AJ382" s="97"/>
      <c r="AK382" s="92"/>
      <c r="AL382" s="97"/>
      <c r="AM382" s="97"/>
      <c r="AN382" s="97"/>
      <c r="AO382" s="97"/>
      <c r="AP382" s="97"/>
      <c r="AQ382" s="97"/>
      <c r="AR382" s="97"/>
      <c r="AS382" s="97"/>
      <c r="AT382" s="97"/>
      <c r="AU382" s="97"/>
      <c r="AV382" s="97"/>
      <c r="AW382" s="90"/>
      <c r="AX382" s="90"/>
      <c r="AY382" s="90"/>
      <c r="AZ382" s="90"/>
      <c r="BA382" s="90"/>
      <c r="BB382" s="90"/>
      <c r="BC382" s="93"/>
      <c r="BD382" s="93"/>
      <c r="BE382" s="59"/>
    </row>
    <row r="383" s="53" customFormat="1" spans="2:61">
      <c r="B383" s="90"/>
      <c r="C383" s="90"/>
      <c r="D383" s="90"/>
      <c r="E383" s="92"/>
      <c r="F383" s="93"/>
      <c r="G383" s="93"/>
      <c r="H383" s="94"/>
      <c r="I383" s="95"/>
      <c r="J383" s="95"/>
      <c r="K383" s="96"/>
      <c r="L383" s="97"/>
      <c r="M383" s="97"/>
      <c r="N383" s="97"/>
      <c r="O383" s="96"/>
      <c r="P383" s="96"/>
      <c r="Q383" s="98"/>
      <c r="R383" s="99"/>
      <c r="S383" s="100"/>
      <c r="T383" s="100"/>
      <c r="U383" s="97"/>
      <c r="V383" s="97"/>
      <c r="W383" s="97"/>
      <c r="X383" s="97"/>
      <c r="Y383" s="97"/>
      <c r="Z383" s="97"/>
      <c r="AA383" s="97"/>
      <c r="AB383" s="97"/>
      <c r="AC383" s="97"/>
      <c r="AD383" s="97"/>
      <c r="AE383" s="97"/>
      <c r="AF383" s="97"/>
      <c r="AG383" s="97"/>
      <c r="AH383" s="97"/>
      <c r="AI383" s="97"/>
      <c r="AJ383" s="97"/>
      <c r="AK383" s="92"/>
      <c r="AL383" s="97"/>
      <c r="AM383" s="97"/>
      <c r="AN383" s="97"/>
      <c r="AO383" s="97"/>
      <c r="AP383" s="97"/>
      <c r="AQ383" s="97"/>
      <c r="AR383" s="97"/>
      <c r="AS383" s="97"/>
      <c r="AT383" s="97"/>
      <c r="AU383" s="97"/>
      <c r="AV383" s="97"/>
      <c r="AW383" s="90"/>
      <c r="AX383" s="90"/>
      <c r="AY383" s="90"/>
      <c r="AZ383" s="90"/>
      <c r="BA383" s="90"/>
      <c r="BB383" s="90"/>
      <c r="BC383" s="93"/>
      <c r="BD383" s="93"/>
      <c r="BE383" s="59"/>
    </row>
    <row r="384" s="53" customFormat="1" spans="2:61">
      <c r="B384" s="90"/>
      <c r="C384" s="90"/>
      <c r="D384" s="90"/>
      <c r="E384" s="92"/>
      <c r="F384" s="93"/>
      <c r="G384" s="93"/>
      <c r="H384" s="94"/>
      <c r="I384" s="95"/>
      <c r="J384" s="95"/>
      <c r="K384" s="96"/>
      <c r="L384" s="97"/>
      <c r="M384" s="97"/>
      <c r="N384" s="97"/>
      <c r="O384" s="96"/>
      <c r="P384" s="96"/>
      <c r="Q384" s="98"/>
      <c r="R384" s="99"/>
      <c r="S384" s="100"/>
      <c r="T384" s="100"/>
      <c r="U384" s="97"/>
      <c r="V384" s="97"/>
      <c r="W384" s="97"/>
      <c r="X384" s="97"/>
      <c r="Y384" s="97"/>
      <c r="Z384" s="97"/>
      <c r="AA384" s="97"/>
      <c r="AB384" s="97"/>
      <c r="AC384" s="97"/>
      <c r="AD384" s="97"/>
      <c r="AE384" s="97"/>
      <c r="AF384" s="97"/>
      <c r="AG384" s="97"/>
      <c r="AH384" s="97"/>
      <c r="AI384" s="97"/>
      <c r="AJ384" s="97"/>
      <c r="AK384" s="92"/>
      <c r="AL384" s="97"/>
      <c r="AM384" s="97"/>
      <c r="AN384" s="97"/>
      <c r="AO384" s="97"/>
      <c r="AP384" s="97"/>
      <c r="AQ384" s="97"/>
      <c r="AR384" s="97"/>
      <c r="AS384" s="97"/>
      <c r="AT384" s="97"/>
      <c r="AU384" s="97"/>
      <c r="AV384" s="97"/>
      <c r="AW384" s="90"/>
      <c r="AX384" s="90"/>
      <c r="AY384" s="90"/>
      <c r="AZ384" s="90"/>
      <c r="BA384" s="90"/>
      <c r="BB384" s="90"/>
      <c r="BC384" s="93"/>
      <c r="BD384" s="93"/>
      <c r="BE384" s="59"/>
    </row>
    <row r="385" spans="2:56">
      <c r="B385" s="90"/>
      <c r="C385" s="90"/>
      <c r="D385" s="90"/>
      <c r="E385" s="92"/>
      <c r="F385" s="93"/>
      <c r="G385" s="93"/>
      <c r="H385" s="94"/>
      <c r="I385" s="95"/>
      <c r="J385" s="95"/>
      <c r="K385" s="96"/>
      <c r="L385" s="97"/>
      <c r="M385" s="97"/>
      <c r="N385" s="97"/>
      <c r="O385" s="96"/>
      <c r="P385" s="96"/>
      <c r="Q385" s="98"/>
      <c r="R385" s="99"/>
      <c r="S385" s="100"/>
      <c r="T385" s="100"/>
      <c r="U385" s="97"/>
      <c r="V385" s="97"/>
      <c r="W385" s="97"/>
      <c r="X385" s="97"/>
      <c r="Y385" s="97"/>
      <c r="Z385" s="97"/>
      <c r="AA385" s="97"/>
      <c r="AB385" s="97"/>
      <c r="AC385" s="97"/>
      <c r="AD385" s="97"/>
      <c r="AE385" s="97"/>
      <c r="AF385" s="97"/>
      <c r="AG385" s="97"/>
      <c r="AH385" s="97"/>
      <c r="AI385" s="97"/>
      <c r="AJ385" s="97"/>
      <c r="AK385" s="92"/>
      <c r="AL385" s="97"/>
      <c r="AM385" s="97"/>
      <c r="AN385" s="97"/>
      <c r="AO385" s="97"/>
      <c r="AP385" s="97"/>
      <c r="AQ385" s="97"/>
      <c r="AR385" s="97"/>
      <c r="AS385" s="97"/>
      <c r="AT385" s="97"/>
      <c r="AU385" s="97"/>
      <c r="AV385" s="97"/>
      <c r="AW385" s="90"/>
      <c r="AX385" s="90"/>
      <c r="AY385" s="90"/>
      <c r="AZ385" s="90"/>
      <c r="BA385" s="90"/>
      <c r="BB385" s="90"/>
      <c r="BC385" s="93"/>
      <c r="BD385" s="93"/>
    </row>
    <row r="386" spans="2:56">
      <c r="B386" s="90"/>
      <c r="C386" s="90"/>
      <c r="D386" s="90"/>
      <c r="E386" s="92"/>
      <c r="F386" s="93"/>
      <c r="G386" s="93"/>
      <c r="H386" s="94"/>
      <c r="I386" s="95"/>
      <c r="J386" s="95"/>
      <c r="K386" s="96"/>
      <c r="L386" s="97"/>
      <c r="M386" s="97"/>
      <c r="N386" s="97"/>
      <c r="O386" s="96"/>
      <c r="P386" s="96"/>
      <c r="Q386" s="98"/>
      <c r="R386" s="99"/>
      <c r="S386" s="100"/>
      <c r="T386" s="100"/>
      <c r="U386" s="97"/>
      <c r="V386" s="97"/>
      <c r="W386" s="97"/>
      <c r="X386" s="97"/>
      <c r="Y386" s="97"/>
      <c r="Z386" s="97"/>
      <c r="AA386" s="97"/>
      <c r="AB386" s="97"/>
      <c r="AC386" s="97"/>
      <c r="AD386" s="97"/>
      <c r="AE386" s="97"/>
      <c r="AF386" s="97"/>
      <c r="AG386" s="97"/>
      <c r="AH386" s="97"/>
      <c r="AI386" s="97"/>
      <c r="AJ386" s="97"/>
      <c r="AK386" s="92"/>
      <c r="AL386" s="97"/>
      <c r="AM386" s="97"/>
      <c r="AN386" s="97"/>
      <c r="AO386" s="97"/>
      <c r="AP386" s="97"/>
      <c r="AQ386" s="97"/>
      <c r="AR386" s="97"/>
      <c r="AS386" s="97"/>
      <c r="AT386" s="97"/>
      <c r="AU386" s="97"/>
      <c r="AV386" s="97"/>
      <c r="AW386" s="90"/>
      <c r="AX386" s="90"/>
      <c r="AY386" s="90"/>
      <c r="AZ386" s="90"/>
      <c r="BA386" s="90"/>
      <c r="BB386" s="90"/>
      <c r="BC386" s="93"/>
      <c r="BD386" s="93"/>
    </row>
    <row r="387" spans="2:56">
      <c r="L387" s="97"/>
      <c r="M387" s="97"/>
      <c r="N387" s="97"/>
      <c r="O387" s="55"/>
      <c r="P387" s="55"/>
      <c r="AG387" s="97"/>
      <c r="AH387" s="97"/>
      <c r="AI387" s="97"/>
      <c r="AJ387" s="97"/>
      <c r="AK387" s="92"/>
      <c r="AL387" s="97"/>
      <c r="AM387" s="97"/>
      <c r="AN387" s="97"/>
      <c r="AO387" s="97"/>
      <c r="AP387" s="97"/>
      <c r="AQ387" s="97"/>
      <c r="AR387" s="97"/>
      <c r="AS387" s="97"/>
      <c r="AT387" s="60"/>
      <c r="AU387" s="60"/>
      <c r="AV387" s="60"/>
    </row>
    <row r="388" spans="2:56">
      <c r="L388" s="97"/>
      <c r="M388" s="97"/>
      <c r="N388" s="97"/>
      <c r="O388" s="55"/>
      <c r="P388" s="55"/>
      <c r="AG388" s="97"/>
      <c r="AH388" s="97"/>
      <c r="AI388" s="97"/>
      <c r="AJ388" s="97"/>
      <c r="AK388" s="92"/>
      <c r="AL388" s="97"/>
      <c r="AM388" s="97"/>
      <c r="AN388" s="97"/>
      <c r="AO388" s="97"/>
      <c r="AP388" s="97"/>
      <c r="AQ388" s="97"/>
      <c r="AR388" s="97"/>
      <c r="AS388" s="97"/>
      <c r="AT388" s="60"/>
      <c r="AU388" s="60"/>
      <c r="AV388" s="60"/>
    </row>
    <row r="389" spans="2:56">
      <c r="L389" s="97"/>
      <c r="M389" s="97"/>
      <c r="N389" s="97"/>
      <c r="O389" s="55"/>
      <c r="P389" s="55"/>
      <c r="AG389" s="97"/>
      <c r="AH389" s="97"/>
      <c r="AI389" s="97"/>
      <c r="AJ389" s="97"/>
      <c r="AK389" s="92"/>
      <c r="AL389" s="97"/>
      <c r="AM389" s="97"/>
      <c r="AN389" s="97"/>
      <c r="AO389" s="97"/>
      <c r="AP389" s="97"/>
      <c r="AQ389" s="97"/>
      <c r="AR389" s="97"/>
      <c r="AS389" s="97"/>
      <c r="AT389" s="60"/>
      <c r="AU389" s="60"/>
      <c r="AV389" s="60"/>
    </row>
    <row r="390" spans="2:56">
      <c r="L390" s="97"/>
      <c r="M390" s="97"/>
      <c r="N390" s="97"/>
      <c r="O390" s="55"/>
      <c r="P390" s="55"/>
      <c r="AG390" s="97"/>
      <c r="AH390" s="97"/>
      <c r="AI390" s="97"/>
      <c r="AJ390" s="97"/>
      <c r="AK390" s="92"/>
      <c r="AL390" s="97"/>
      <c r="AM390" s="97"/>
      <c r="AN390" s="97"/>
      <c r="AO390" s="97"/>
      <c r="AP390" s="97"/>
      <c r="AQ390" s="97"/>
      <c r="AR390" s="97"/>
      <c r="AS390" s="97"/>
      <c r="AT390" s="60"/>
      <c r="AU390" s="60"/>
      <c r="AV390" s="60"/>
    </row>
    <row r="391" spans="2:56">
      <c r="AT391" s="60"/>
      <c r="AU391" s="60"/>
      <c r="AV391" s="60"/>
    </row>
    <row r="392" spans="2:56">
      <c r="AT392" s="60"/>
      <c r="AU392" s="60"/>
      <c r="AV392" s="60"/>
    </row>
    <row r="393" spans="2:56">
      <c r="AT393" s="60"/>
      <c r="AU393" s="60"/>
      <c r="AV393" s="60"/>
    </row>
    <row r="394" spans="2:56">
      <c r="AT394" s="60"/>
      <c r="AU394" s="60"/>
      <c r="AV394" s="60"/>
    </row>
    <row r="395" spans="2:56">
      <c r="AT395" s="60"/>
      <c r="AU395" s="60"/>
      <c r="AV395" s="60"/>
    </row>
    <row r="396" spans="2:56">
      <c r="AT396" s="60"/>
      <c r="AU396" s="60"/>
      <c r="AV396" s="60"/>
    </row>
    <row r="397" spans="2:56">
      <c r="AT397" s="60"/>
      <c r="AU397" s="60"/>
      <c r="AV397" s="60"/>
    </row>
    <row r="398" spans="2:56">
      <c r="AT398" s="60"/>
      <c r="AU398" s="60"/>
      <c r="AV398" s="60"/>
    </row>
    <row r="399" spans="2:56">
      <c r="AT399" s="60"/>
      <c r="AU399" s="60"/>
      <c r="AV399" s="60"/>
    </row>
    <row r="400" spans="2:56">
      <c r="AT400" s="60"/>
      <c r="AU400" s="60"/>
      <c r="AV400" s="60"/>
    </row>
    <row r="401" spans="3:48">
      <c r="AT401" s="60"/>
      <c r="AU401" s="60"/>
      <c r="AV401" s="60"/>
    </row>
    <row r="402" spans="3:48">
      <c r="AT402" s="60"/>
      <c r="AU402" s="60"/>
      <c r="AV402" s="60"/>
    </row>
    <row r="403" spans="3:48">
      <c r="C403" s="107"/>
      <c r="O403" s="55"/>
      <c r="P403" s="55"/>
      <c r="AT403" s="60"/>
      <c r="AU403" s="60"/>
      <c r="AV403" s="60"/>
    </row>
    <row r="404" spans="3:48">
      <c r="C404" s="107"/>
      <c r="O404" s="55"/>
      <c r="P404" s="55"/>
      <c r="AT404" s="60"/>
      <c r="AU404" s="60"/>
      <c r="AV404" s="60"/>
    </row>
    <row r="405" spans="3:48">
      <c r="O405" s="55"/>
      <c r="P405" s="55"/>
      <c r="AT405" s="60"/>
      <c r="AU405" s="60"/>
      <c r="AV405" s="60"/>
    </row>
    <row r="406" spans="3:48">
      <c r="O406" s="55"/>
      <c r="P406" s="55"/>
      <c r="AT406" s="60"/>
      <c r="AU406" s="60"/>
      <c r="AV406" s="60"/>
    </row>
    <row r="407" spans="3:48">
      <c r="AT407" s="60"/>
      <c r="AU407" s="60"/>
      <c r="AV407" s="60"/>
    </row>
    <row r="408" spans="3:48">
      <c r="AT408" s="60"/>
      <c r="AU408" s="60"/>
      <c r="AV408" s="60"/>
    </row>
    <row r="409" spans="3:48">
      <c r="AT409" s="60"/>
      <c r="AU409" s="60"/>
      <c r="AV409" s="60"/>
    </row>
    <row r="410" spans="3:48">
      <c r="AT410" s="60"/>
      <c r="AU410" s="60"/>
      <c r="AV410" s="60"/>
    </row>
    <row r="411" spans="3:48">
      <c r="C411" s="107"/>
      <c r="AT411" s="60"/>
      <c r="AU411" s="60"/>
      <c r="AV411" s="60"/>
    </row>
    <row r="412" spans="3:48">
      <c r="C412" s="107"/>
      <c r="AT412" s="60"/>
      <c r="AU412" s="60"/>
      <c r="AV412" s="60"/>
    </row>
    <row r="413" spans="3:48">
      <c r="AT413" s="60"/>
      <c r="AU413" s="60"/>
      <c r="AV413" s="60"/>
    </row>
    <row r="414" spans="3:48">
      <c r="AT414" s="60"/>
      <c r="AU414" s="60"/>
      <c r="AV414" s="60"/>
    </row>
    <row r="415" spans="3:48">
      <c r="AT415" s="60"/>
      <c r="AU415" s="60"/>
      <c r="AV415" s="60"/>
    </row>
    <row r="416" spans="3:48">
      <c r="AT416" s="60"/>
      <c r="AU416" s="60"/>
      <c r="AV416" s="60"/>
    </row>
    <row r="417" spans="46:48">
      <c r="AT417" s="60"/>
      <c r="AU417" s="60"/>
      <c r="AV417" s="60"/>
    </row>
    <row r="418" spans="46:48">
      <c r="AT418" s="60"/>
      <c r="AU418" s="60"/>
      <c r="AV418" s="60"/>
    </row>
    <row r="419" spans="46:48">
      <c r="AT419" s="60"/>
      <c r="AU419" s="60"/>
      <c r="AV419" s="60"/>
    </row>
  </sheetData>
  <autoFilter xmlns:etc="http://www.wps.cn/officeDocument/2017/etCustomData" ref="B3:E368" etc:filterBottomFollowUsedRange="0">
    <extLst/>
  </autoFilter>
  <sortState ref="B4:BD424">
    <sortCondition ref="B4:B424"/>
    <sortCondition ref="E4:E424"/>
    <sortCondition ref="J4:J424" descending="1"/>
    <sortCondition ref="H4:H424"/>
  </sortState>
  <mergeCells count="1">
    <mergeCell ref="B2:E2"/>
  </mergeCells>
  <hyperlinks>
    <hyperlink ref="C312" r:id="rId1" display="DLS19_Feb_Run005"/>
    <hyperlink ref="C352" r:id="rId2" display="DLS19_Feb_Run008"/>
    <hyperlink ref="C322" r:id="rId3" display="DLS19_Feb_Run009"/>
    <hyperlink ref="C346" r:id="rId4" display="DLS19_Feb_Run012"/>
    <hyperlink ref="C335" r:id="rId5" display="DLS19_Feb_Run017"/>
    <hyperlink ref="C326" r:id="rId6" display="DLS19_Feb_Run022"/>
    <hyperlink ref="C327" r:id="rId7" display="DLS19_Feb_Run023"/>
    <hyperlink ref="C328" r:id="rId8" display="DLS19_Feb_Run024"/>
    <hyperlink ref="C323" r:id="rId9" display="DLS19_Feb_Run025"/>
    <hyperlink ref="C324" r:id="rId10" display="DLS19_Feb_Run026"/>
    <hyperlink ref="C325" r:id="rId11" display="DLS19_Feb_Run027"/>
    <hyperlink ref="C333" r:id="rId12" display="DLS19_Feb_Run028"/>
    <hyperlink ref="C364" r:id="rId13" display="DLS19_Feb_Run029"/>
    <hyperlink ref="C361" r:id="rId14" display="DLS19_Feb_Run033"/>
    <hyperlink ref="C363" r:id="rId15" display="DLS19_Feb_Run035"/>
    <hyperlink ref="C336" r:id="rId16" display="DLS19_Feb_Run038"/>
    <hyperlink ref="C330" r:id="rId17" display="DLS19_Feb_Run040"/>
    <hyperlink ref="C331" r:id="rId18" display="DLS19_Feb_Run041"/>
    <hyperlink ref="C366" r:id="rId19" display="DLS19_Feb_Run042"/>
    <hyperlink ref="C368" r:id="rId20" display="DLS19_Feb_Run044"/>
    <hyperlink ref="C25" r:id="rId21" display="DLS19_Feb_Run053"/>
    <hyperlink ref="C47" r:id="rId22" display="DLS19_Feb_Run054"/>
    <hyperlink ref="C48" r:id="rId23" display="DLS19_Feb_Run055"/>
    <hyperlink ref="C251" r:id="rId24" display="DLS19_Feb_Run056"/>
    <hyperlink ref="C252" r:id="rId25" display="DLS19_Feb_Run058"/>
    <hyperlink ref="C244" r:id="rId26" display="DLS19_Feb_Run069"/>
    <hyperlink ref="C245" r:id="rId27" display="DLS19_Feb_Run070"/>
    <hyperlink ref="C235" r:id="rId28" display="DLS19_Feb_Run072"/>
    <hyperlink ref="C132" r:id="rId29" display="DLS19_Feb_Run074"/>
    <hyperlink ref="C133" r:id="rId30" display="DLS19_Feb_Run075"/>
    <hyperlink ref="C134" r:id="rId31" display="DLS19_Feb_Run076"/>
    <hyperlink ref="C135" r:id="rId32" display="DLS19_Feb_Run077"/>
    <hyperlink ref="C136" r:id="rId33" display="DLS19_Feb_Run078"/>
    <hyperlink ref="C137" r:id="rId34" display="DLS19_Feb_Run079"/>
    <hyperlink ref="C138" r:id="rId35" display="DLS19_Feb_Run080"/>
    <hyperlink ref="C139" r:id="rId36" display="DLS19_Feb_Run081"/>
    <hyperlink ref="C140" r:id="rId37" display="DLS19_Feb_Run082"/>
    <hyperlink ref="C141" r:id="rId38" display="DLS19_Feb_Run083"/>
    <hyperlink ref="C143" r:id="rId39" display="DLS19_Feb_Run085"/>
    <hyperlink ref="C167" r:id="rId40" display="DLS19_Feb_Run090"/>
    <hyperlink ref="C18" r:id="rId41" display="DLS19_Feb_Run098"/>
    <hyperlink ref="C173" r:id="rId42" display="DLS19_Feb_Run047"/>
    <hyperlink ref="C302" r:id="rId43" display="DLS19_Feb_Run123"/>
    <hyperlink ref="C13" r:id="rId44" display="ESRF18_Oct_Run001"/>
    <hyperlink ref="C15" r:id="rId45" display="ESRF18_Oct_Run003"/>
    <hyperlink ref="C313" r:id="rId46" display="ESRF18_Oct_Run005"/>
    <hyperlink ref="C314" r:id="rId47" display="ESRF18_Oct_Run006"/>
    <hyperlink ref="C353" r:id="rId48" display="ESRF18_Oct_Run009"/>
    <hyperlink ref="C354" r:id="rId49" display="ESRF18_Oct_Run010"/>
    <hyperlink ref="C355" r:id="rId50" display="ESRF18_Oct_Run011"/>
    <hyperlink ref="C356" r:id="rId51" display="ESRF18_Oct_Run012"/>
    <hyperlink ref="C342" r:id="rId52" display="ESRF18_Oct_Run014"/>
    <hyperlink ref="C130" r:id="rId53" display="ESRF18_Oct_Run018"/>
    <hyperlink ref="C321" r:id="rId54" display="ESRF18_Oct_Run020"/>
    <hyperlink ref="C338" r:id="rId55" display="ESRF18_Oct_Run022"/>
    <hyperlink ref="C339" r:id="rId56" display="ESRF18_Oct_Run023"/>
    <hyperlink ref="C340" r:id="rId57" display="ESRF18_Oct_Run024"/>
    <hyperlink ref="C308" r:id="rId58" display="ESRF18_Oct_Run025"/>
    <hyperlink ref="C309" r:id="rId59" display="ESRF18_Oct_Run026"/>
    <hyperlink ref="C310" r:id="rId60" display="ESRF18_Oct_Run027"/>
    <hyperlink ref="C311" r:id="rId61" display="ESRF18_Oct_Run028"/>
    <hyperlink ref="C349" r:id="rId62" display="ESRF18_Oct_Run029"/>
    <hyperlink ref="C350" r:id="rId63" display="ESRF18_Oct_Run030"/>
    <hyperlink ref="C351" r:id="rId64" display="ESRF18_Oct_Run032"/>
    <hyperlink ref="C317" r:id="rId65" display="ESRF18_Oct_Run033"/>
    <hyperlink ref="C131" r:id="rId66" display="ESRF18_Oct_Run036"/>
    <hyperlink ref="C36" r:id="rId67" display="ESRF18_Oct_Run037"/>
    <hyperlink ref="C37" r:id="rId68" display="ESRF18_Oct_Run039"/>
    <hyperlink ref="C161" r:id="rId69" display="ESRF18_Oct_Run041"/>
    <hyperlink ref="C164" r:id="rId70" display="ESRF18_Oct_Run044"/>
    <hyperlink ref="C233" r:id="rId71" display="ESRF18_Oct_Run045"/>
    <hyperlink ref="C17" r:id="rId72" display="ESRF18_Oct_Run055"/>
    <hyperlink ref="C44" r:id="rId73" display="ESRF18_Oct_Run058"/>
    <hyperlink ref="C169" r:id="rId74" display="ESRF18_Oct_Run063"/>
    <hyperlink ref="C345" r:id="rId75" display="ESRF18_Oct_Run064"/>
    <hyperlink ref="C170" r:id="rId76" display="ESRF18_Oct_Run065"/>
    <hyperlink ref="C347" r:id="rId77" display="ESRF18_Oct_Run066"/>
    <hyperlink ref="C171" r:id="rId78" display="ESRF18_Oct_Run067"/>
    <hyperlink ref="C348" r:id="rId79" display="ESRF18_Oct_Run068"/>
    <hyperlink ref="C316" r:id="rId80" display="ESRF18_Oct_Run071"/>
    <hyperlink ref="C359" r:id="rId81" display="ESRF18_Oct_Run077"/>
    <hyperlink ref="C272" r:id="rId82" display="ESRF18_Oct_Run107"/>
    <hyperlink ref="C274" r:id="rId83" display="ESRF18_Oct_Run109"/>
    <hyperlink ref="C260" r:id="rId84" display="DLS19_Dec_Run001"/>
    <hyperlink ref="C261" r:id="rId85" display="DLS19_Dec_Run002"/>
    <hyperlink ref="C262" r:id="rId86" display="DLS19_Dec_Run003"/>
    <hyperlink ref="C263" r:id="rId87" display="DLS19_Dec_Run004"/>
    <hyperlink ref="C264" r:id="rId88" display="DLS19_Dec_Run005"/>
    <hyperlink ref="C265" r:id="rId89" display="DLS19_Dec_Run006"/>
    <hyperlink ref="C266" r:id="rId90" display="DLS19_Dec_Run007"/>
    <hyperlink ref="C267" r:id="rId91" display="DLS19_Dec_Run008"/>
    <hyperlink ref="C236" r:id="rId92" display="DLS19_Dec_Run009"/>
    <hyperlink ref="C26" r:id="rId93" display="DLS19_Dec_Run010"/>
    <hyperlink ref="C237" r:id="rId94" display="DLS19_Dec_Run011"/>
    <hyperlink ref="C27" r:id="rId95" display="DLS19_Dec_Run012"/>
    <hyperlink ref="C238" r:id="rId96" display="DLS19_Dec_Run013"/>
    <hyperlink ref="C28" r:id="rId97" display="DLS19_Dec_Run014"/>
    <hyperlink ref="C239" r:id="rId98" display="DLS19_Dec_Run015"/>
    <hyperlink ref="C29" r:id="rId99" display="DLS19_Dec_Run016"/>
    <hyperlink ref="C240" r:id="rId100" display="DLS19_Dec_Run017"/>
    <hyperlink ref="C30" r:id="rId101" display="DLS19_Dec_Run018"/>
    <hyperlink ref="C241" r:id="rId102" display="DLS19_Dec_Run019"/>
    <hyperlink ref="C31" r:id="rId103" display="DLS19_Dec_Run020"/>
    <hyperlink ref="C246" r:id="rId104" display="DLS19_Dec_Run021"/>
    <hyperlink ref="C40" r:id="rId105" display="DLS19_Dec_Run024"/>
    <hyperlink ref="C248" r:id="rId106" display="DLS19_Dec_Run025"/>
    <hyperlink ref="C249" r:id="rId107" display="DLS19_Dec_Run027"/>
    <hyperlink ref="C250" r:id="rId108" display="DLS19_Dec_Run029"/>
    <hyperlink ref="C43" r:id="rId109" display="DLS19_Dec_Run030"/>
    <hyperlink ref="C19" r:id="rId110" display="DLS19_Dec_Run031"/>
    <hyperlink ref="C20" r:id="rId111" display="DLS19_Dec_Run032"/>
    <hyperlink ref="C21" r:id="rId112" display="DLS19_Dec_Run033"/>
    <hyperlink ref="C22" r:id="rId113" display="DLS19_Dec_Run034"/>
    <hyperlink ref="C269" r:id="rId114" display="DLS19_Dec_Run035"/>
    <hyperlink ref="C4" r:id="rId115" display="DLS19_Dec_Run036"/>
    <hyperlink ref="C5" r:id="rId116" display="DLS19_Dec_Run037"/>
    <hyperlink ref="C6" r:id="rId117" display="DLS19_Dec_Run038"/>
    <hyperlink ref="C7" r:id="rId118" display="DLS19_Dec_Run039"/>
    <hyperlink ref="C8" r:id="rId119" display="DLS19_Dec_Run041"/>
    <hyperlink ref="C304" r:id="rId120" display="DLS19_Dec_Run042"/>
    <hyperlink ref="C305" r:id="rId121" display="DLS19_Dec_Run043"/>
    <hyperlink ref="C306" r:id="rId122" display="DLS19_Dec_Run044"/>
    <hyperlink ref="C307" r:id="rId123" display="DLS19_Dec_Run045"/>
    <hyperlink ref="C49" r:id="rId124" display="DLS19_Dec_Run046"/>
    <hyperlink ref="C253" r:id="rId125" display="DLS19_Dec_Run047"/>
    <hyperlink ref="C254" r:id="rId126" display="DLS19_Dec_Run049"/>
    <hyperlink ref="C51" r:id="rId127" display="DLS19_Dec_Run050"/>
    <hyperlink ref="C255" r:id="rId128" display="DLS19_Dec_Run051"/>
    <hyperlink ref="C52" r:id="rId129" display="DLS19_Dec_Run052"/>
    <hyperlink ref="C256" r:id="rId130" display="DLS19_Dec_Run053"/>
    <hyperlink ref="C53" r:id="rId131" display="DLS19_Dec_Run054"/>
    <hyperlink ref="C257" r:id="rId132" display="DLS19_Dec_Run055"/>
    <hyperlink ref="C54" r:id="rId133" display="DLS19_Dec_Run056"/>
    <hyperlink ref="C258" r:id="rId134" display="DLS19_Dec_Run057"/>
    <hyperlink ref="C55" r:id="rId135" display="DLS19_Dec_Run058"/>
    <hyperlink ref="C259" r:id="rId136" display="DLS19_Dec_Run059"/>
    <hyperlink ref="C32" r:id="rId137" display="DLS19_Dec_Run081"/>
    <hyperlink ref="C33" r:id="rId138" display="DLS19_Dec_Run082"/>
    <hyperlink ref="C9" r:id="rId139" display="DLS19_Dec_Run085"/>
    <hyperlink ref="C268" r:id="rId140" display="DLS19_Dec_Run022"/>
    <hyperlink ref="C341" r:id="rId141" display="ESRF18_Oct_Run013"/>
    <hyperlink ref="C344" r:id="rId142" display="ESRF18_Oct_Run016"/>
    <hyperlink ref="C315" r:id="rId143" display="ESRF18_Oct_Run007"/>
    <hyperlink ref="C357" r:id="rId144" display="ESRF18_Oct_Run075"/>
    <hyperlink ref="C318" r:id="rId145" display="ESRF18_Oct_Run035"/>
    <hyperlink ref="C320" r:id="rId146" display="ESRF18_Oct_Run019"/>
    <hyperlink ref="C362" r:id="rId147" display="DLS19_Feb_Run034"/>
    <hyperlink ref="C367" r:id="rId148" display="DLS19_Feb_Run043"/>
    <hyperlink ref="C14" r:id="rId149" display="ESRF18_Oct_Run002"/>
    <hyperlink ref="C16" r:id="rId150" display="ESRF18_Oct_Run004"/>
    <hyperlink ref="C23" r:id="rId151" display="ESRF18_Oct_Run057"/>
    <hyperlink ref="C24" r:id="rId152" display="DLS19_Feb_Run051"/>
    <hyperlink ref="C38" r:id="rId153" display="ESRF18_Oct_Run040"/>
    <hyperlink ref="C45" r:id="rId154" display="ESRF18_Oct_Run070"/>
    <hyperlink ref="C46" r:id="rId155" display="DLS19_Feb_Run049"/>
    <hyperlink ref="C234" r:id="rId156" display="ESRF18_Oct_Run047"/>
    <hyperlink ref="C242" r:id="rId157" display="DLS19_Feb_Run057"/>
    <hyperlink ref="C243" r:id="rId158" display="DLS19_Feb_Run068"/>
    <hyperlink ref="C162" r:id="rId159" display="ESRF18_Oct_Run042"/>
    <hyperlink ref="C163" r:id="rId160" display="ESRF18_Oct_Run043"/>
    <hyperlink ref="C165" r:id="rId161" display="DLS19_Feb_Run046"/>
    <hyperlink ref="C166" r:id="rId162" display="DLS19_Feb_Run089"/>
    <hyperlink ref="C168" r:id="rId163" display="DLS19_Feb_Run091"/>
    <hyperlink ref="C293" r:id="rId164" display="DLS18_Feb_Run049"/>
    <hyperlink ref="C270" r:id="rId165" display="DLS18_Feb_Run052"/>
    <hyperlink ref="C271" r:id="rId166" display="DLS18_Feb_Run054"/>
    <hyperlink ref="C273" r:id="rId167" display="ESRF18_Oct_Run108"/>
    <hyperlink ref="C60" r:id="rId168" display="DLS18_Feb_Run012"/>
    <hyperlink ref="C61" r:id="rId169" display="DLS18_Feb_Run013"/>
    <hyperlink ref="C62" r:id="rId170" display="DLS18_Feb_Run014"/>
    <hyperlink ref="C151" r:id="rId171" display="ESRF17_Oct_Run010"/>
    <hyperlink ref="C153" r:id="rId172" display="DLS18_Feb_Run004"/>
    <hyperlink ref="C154" r:id="rId173" display="DLS18_Feb_Run005"/>
    <hyperlink ref="C155" r:id="rId174" display="DLS18_Feb_Run006"/>
    <hyperlink ref="C157" r:id="rId175" display="DLS18_Feb_Run008"/>
    <hyperlink ref="C158" r:id="rId176" display="DLS18_Feb_Run009"/>
    <hyperlink ref="C159" r:id="rId177" display="DLS18_Feb_Run026"/>
    <hyperlink ref="C160" r:id="rId178" display="DLS18_Feb_Run027"/>
    <hyperlink ref="C145" r:id="rId179" display="DLS18_Feb_Run003"/>
    <hyperlink ref="C149" r:id="rId180" display="DLS18_Feb_Run011"/>
    <hyperlink ref="C147" r:id="rId181" display="ESRF17_Oct_Run021"/>
    <hyperlink ref="C116" r:id="rId182" display="ESRF17_Oct_Run005"/>
    <hyperlink ref="C118" r:id="rId183" display="ESRF17_Oct_Run007"/>
    <hyperlink ref="C119" r:id="rId184" display="ESRF17_Oct_Run008"/>
    <hyperlink ref="C120" r:id="rId185" display="ESRF17_Oct_Run009"/>
    <hyperlink ref="C124" r:id="rId186" display="DLS18_Feb_Run016"/>
    <hyperlink ref="C125" r:id="rId187" display="DLS18_Feb_Run028"/>
    <hyperlink ref="C127" r:id="rId188" display="ESRF17_Oct_Run013"/>
    <hyperlink ref="C129" r:id="rId189" display="DLS18_Feb_Run047"/>
    <hyperlink ref="C58" r:id="rId190" display="ESRF18_Oct_Run106"/>
    <hyperlink ref="C186" r:id="rId191" display="DLS18_Feb_Run017"/>
    <hyperlink ref="C187" r:id="rId192" display="DLS18_Feb_Run023"/>
    <hyperlink ref="C188" r:id="rId193" display="DLS18_Feb_Run024"/>
    <hyperlink ref="C189" r:id="rId194" display="DLS18_Feb_Run025"/>
    <hyperlink ref="C225" r:id="rId195" display="DLS18_Feb_Run018"/>
    <hyperlink ref="C226" r:id="rId196" display="DLS18_Feb_Run019"/>
    <hyperlink ref="C227" r:id="rId197" display="DLS18_Feb_Run057"/>
    <hyperlink ref="C228" r:id="rId198" display="DLS18_Feb_Run020"/>
    <hyperlink ref="C230" r:id="rId199" display="DLS18_Feb_Run021"/>
    <hyperlink ref="C229" r:id="rId200" display="DLS18_Feb_Run022"/>
    <hyperlink ref="C89" r:id="rId201" display="DLS18_Feb_Run055"/>
    <hyperlink ref="C90" r:id="rId202" display="DLS18_Feb_Run056"/>
    <hyperlink ref="C91" r:id="rId203" display="DLS18_Feb_Run059"/>
    <hyperlink ref="C231" r:id="rId204" display="DLS18_Feb_Run050"/>
    <hyperlink ref="C232" r:id="rId205" display="DLS18_Feb_Run051"/>
    <hyperlink ref="C292" r:id="rId206" display="DLS18_Feb_Run048"/>
    <hyperlink ref="C41" r:id="rId207" display="DLS19_Dec_Run026"/>
    <hyperlink ref="C42" r:id="rId208" display="DLS19_Dec_Run028"/>
    <hyperlink ref="C50" r:id="rId209" display="DLS19_Dec_Run048"/>
  </hyperlink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80"/>
  <sheetViews>
    <sheetView showGridLines="0" zoomScale="46" zoomScaleNormal="46" workbookViewId="0">
      <selection activeCell="AB42" sqref="AB42"/>
    </sheetView>
  </sheetViews>
  <sheetFormatPr defaultColWidth="8.85185185185185" defaultRowHeight="13.8" outlineLevelCol="7"/>
  <cols>
    <col min="1" max="1" width="8.85185185185185" style="2"/>
    <col min="2" max="2" width="35.712962962963" style="2" customWidth="1"/>
    <col min="3" max="3" width="19.4259259259259" style="27" customWidth="1"/>
    <col min="4" max="4" width="29.1388888888889" style="27" customWidth="1"/>
    <col min="5" max="5" width="28.287037037037" style="27" customWidth="1"/>
    <col min="6" max="7" width="31.8518518518519" style="27" customWidth="1"/>
    <col min="8" max="16384" width="8.85185185185185" style="2"/>
  </cols>
  <sheetData>
    <row r="2" customFormat="1" ht="35.1" customHeight="1" spans="1:8">
      <c r="B2" s="4" t="s">
        <v>1327</v>
      </c>
      <c r="C2" s="4"/>
      <c r="D2" s="4"/>
      <c r="E2" s="28"/>
      <c r="F2" s="28"/>
      <c r="G2" s="28"/>
    </row>
    <row r="3" customFormat="1" ht="29.1" customHeight="1" spans="1:8">
      <c r="B3" s="6" t="s">
        <v>46</v>
      </c>
      <c r="C3" s="8" t="s">
        <v>1328</v>
      </c>
      <c r="D3" s="8" t="s">
        <v>1329</v>
      </c>
      <c r="E3" s="8" t="s">
        <v>1330</v>
      </c>
      <c r="F3" s="8" t="s">
        <v>1331</v>
      </c>
      <c r="G3" s="8" t="s">
        <v>1332</v>
      </c>
    </row>
    <row r="4" spans="1:8">
      <c r="B4" s="13" t="s">
        <v>133</v>
      </c>
      <c r="C4" s="29">
        <f>_xlfn.MAXIFS('Fractional-Calorimetry-Data'!$BE$4:$BE$368,'Fractional-Calorimetry-Data'!$B$4:$B$368,'V&amp;V-Violence-All'!$B4,'Fractional-Calorimetry-Data'!$J$4:$J$368,100)</f>
        <v>1.53511785357194</v>
      </c>
      <c r="D4" s="27">
        <f>_xlfn.MAXIFS('Fractional-Calorimetry-Data'!$U$4:$U$368,'Fractional-Calorimetry-Data'!$B$4:$B$368,'V&amp;V-Violence-All'!$B4,'Fractional-Calorimetry-Data'!$J$4:$J$368,100)</f>
        <v>65.6539203615649</v>
      </c>
      <c r="E4" s="27">
        <f>_xlfn.MAXIFS('Fractional-Calorimetry-Data'!$BI$4:$BI$368,'Fractional-Calorimetry-Data'!$B$4:$B$368,'V&amp;V-Violence-All'!$B4,'Fractional-Calorimetry-Data'!$J$4:$J$368,100)</f>
        <v>42169.0260834377</v>
      </c>
      <c r="F4" s="27">
        <f>_xlfn.MAXIFS('Fractional-Calorimetry-Data'!$BM$4:$BM$368,'Fractional-Calorimetry-Data'!$B$4:$B$368,'V&amp;V-Violence-All'!$B4,'Fractional-Calorimetry-Data'!$J$4:$J$368,100)</f>
        <v>978.379337715803</v>
      </c>
      <c r="G4" s="27">
        <f>_xlfn.MAXIFS('Fractional-Calorimetry-Data'!$AU$4:$AU$368,'Fractional-Calorimetry-Data'!$B$4:$B$368,'V&amp;V-Violence-All'!$B4,'Fractional-Calorimetry-Data'!$J$4:$J$368,100)</f>
        <v>79.8162235946265</v>
      </c>
    </row>
    <row r="5" spans="1:8">
      <c r="B5" s="13" t="s">
        <v>136</v>
      </c>
      <c r="C5" s="29">
        <f>_xlfn.MAXIFS('Fractional-Calorimetry-Data'!$BE$4:$BE$368,'Fractional-Calorimetry-Data'!$B$4:$B$368,'V&amp;V-Violence-All'!$B5,'Fractional-Calorimetry-Data'!$J$4:$J$368,100)</f>
        <v>1.63379424835441</v>
      </c>
      <c r="D5" s="27">
        <f>_xlfn.MAXIFS('Fractional-Calorimetry-Data'!$U$4:$U$368,'Fractional-Calorimetry-Data'!$B$4:$B$368,'V&amp;V-Violence-All'!$B5,'Fractional-Calorimetry-Data'!$J$4:$J$368,100)</f>
        <v>105.869867293366</v>
      </c>
      <c r="E5" s="27">
        <f>_xlfn.MAXIFS('Fractional-Calorimetry-Data'!$BI$4:$BI$368,'Fractional-Calorimetry-Data'!$B$4:$B$368,'V&amp;V-Violence-All'!$B5,'Fractional-Calorimetry-Data'!$J$4:$J$368,100)</f>
        <v>73931.7330413508</v>
      </c>
      <c r="F5" s="27">
        <f>_xlfn.MAXIFS('Fractional-Calorimetry-Data'!$BM$4:$BM$368,'Fractional-Calorimetry-Data'!$B$4:$B$368,'V&amp;V-Violence-All'!$B5,'Fractional-Calorimetry-Data'!$J$4:$J$368,100)</f>
        <v>1207.60088684716</v>
      </c>
      <c r="G5" s="27">
        <f>_xlfn.MAXIFS('Fractional-Calorimetry-Data'!$AU$4:$AU$368,'Fractional-Calorimetry-Data'!$B$4:$B$368,'V&amp;V-Violence-All'!$B5,'Fractional-Calorimetry-Data'!$J$4:$J$368,100)</f>
        <v>59.4738109061044</v>
      </c>
    </row>
    <row r="6" spans="1:8">
      <c r="B6" s="14" t="s">
        <v>140</v>
      </c>
      <c r="C6" s="29">
        <f>_xlfn.MAXIFS('Fractional-Calorimetry-Data'!$BE$4:$BE$368,'Fractional-Calorimetry-Data'!$B$4:$B$368,'V&amp;V-Violence-All'!$B6,'Fractional-Calorimetry-Data'!$J$4:$J$368,100)</f>
        <v>2.19542562252072</v>
      </c>
      <c r="D6" s="27">
        <f>_xlfn.MAXIFS('Fractional-Calorimetry-Data'!$U$4:$U$368,'Fractional-Calorimetry-Data'!$B$4:$B$368,'V&amp;V-Violence-All'!$B6,'Fractional-Calorimetry-Data'!$J$4:$J$368,100)</f>
        <v>100.374859461647</v>
      </c>
      <c r="E6" s="27">
        <f>_xlfn.MAXIFS('Fractional-Calorimetry-Data'!$BI$4:$BI$368,'Fractional-Calorimetry-Data'!$B$4:$B$368,'V&amp;V-Violence-All'!$B6,'Fractional-Calorimetry-Data'!$J$4:$J$368,100)</f>
        <v>325892.476326766</v>
      </c>
      <c r="F6" s="27">
        <f>_xlfn.MAXIFS('Fractional-Calorimetry-Data'!$BM$4:$BM$368,'Fractional-Calorimetry-Data'!$B$4:$B$368,'V&amp;V-Violence-All'!$B6,'Fractional-Calorimetry-Data'!$J$4:$J$368,100)</f>
        <v>7791.84781102997</v>
      </c>
      <c r="G6" s="27">
        <f>_xlfn.MAXIFS('Fractional-Calorimetry-Data'!$AU$4:$AU$368,'Fractional-Calorimetry-Data'!$B$4:$B$368,'V&amp;V-Violence-All'!$B6,'Fractional-Calorimetry-Data'!$J$4:$J$368,100)</f>
        <v>83.8297872340426</v>
      </c>
    </row>
    <row r="7" spans="1:8">
      <c r="B7" s="14" t="s">
        <v>144</v>
      </c>
      <c r="C7" s="29">
        <f>_xlfn.MAXIFS('Fractional-Calorimetry-Data'!$BE$4:$BE$368,'Fractional-Calorimetry-Data'!$B$4:$B$368,'V&amp;V-Violence-All'!$B7,'Fractional-Calorimetry-Data'!$J$4:$J$368,100)</f>
        <v>1.69159087766645</v>
      </c>
      <c r="D7" s="27">
        <f>_xlfn.MAXIFS('Fractional-Calorimetry-Data'!$U$4:$U$368,'Fractional-Calorimetry-Data'!$B$4:$B$368,'V&amp;V-Violence-All'!$B7,'Fractional-Calorimetry-Data'!$J$4:$J$368,100)</f>
        <v>110.833034304706</v>
      </c>
      <c r="E7" s="27">
        <f>_xlfn.MAXIFS('Fractional-Calorimetry-Data'!$BI$4:$BI$368,'Fractional-Calorimetry-Data'!$B$4:$B$368,'V&amp;V-Violence-All'!$B7,'Fractional-Calorimetry-Data'!$J$4:$J$368,100)</f>
        <v>253986.5300762</v>
      </c>
      <c r="F7" s="27">
        <f>_xlfn.MAXIFS('Fractional-Calorimetry-Data'!$BM$4:$BM$368,'Fractional-Calorimetry-Data'!$B$4:$B$368,'V&amp;V-Violence-All'!$B7,'Fractional-Calorimetry-Data'!$J$4:$J$368,100)</f>
        <v>4672.18462679231</v>
      </c>
      <c r="G7" s="27">
        <f>_xlfn.MAXIFS('Fractional-Calorimetry-Data'!$AU$4:$AU$368,'Fractional-Calorimetry-Data'!$B$4:$B$368,'V&amp;V-Violence-All'!$B7,'Fractional-Calorimetry-Data'!$J$4:$J$368,100)</f>
        <v>78.6588952774652</v>
      </c>
    </row>
    <row r="8" spans="1:8">
      <c r="B8" s="14" t="s">
        <v>146</v>
      </c>
      <c r="C8" s="29">
        <f>_xlfn.MAXIFS('Fractional-Calorimetry-Data'!$BE$4:$BE$368,'Fractional-Calorimetry-Data'!$B$4:$B$368,'V&amp;V-Violence-All'!$B8,'Fractional-Calorimetry-Data'!$J$4:$J$368,100)</f>
        <v>1.5675417934565</v>
      </c>
      <c r="D8" s="27">
        <f>_xlfn.MAXIFS('Fractional-Calorimetry-Data'!$U$4:$U$368,'Fractional-Calorimetry-Data'!$B$4:$B$368,'V&amp;V-Violence-All'!$B8,'Fractional-Calorimetry-Data'!$J$4:$J$368,100)</f>
        <v>71.103695751187</v>
      </c>
      <c r="E8" s="27">
        <f>_xlfn.MAXIFS('Fractional-Calorimetry-Data'!$BI$4:$BI$368,'Fractional-Calorimetry-Data'!$B$4:$B$368,'V&amp;V-Violence-All'!$B8,'Fractional-Calorimetry-Data'!$J$4:$J$368,100)</f>
        <v>35551.8478755935</v>
      </c>
      <c r="F8" s="27">
        <f>_xlfn.MAXIFS('Fractional-Calorimetry-Data'!$BM$4:$BM$368,'Fractional-Calorimetry-Data'!$B$4:$B$368,'V&amp;V-Violence-All'!$B8,'Fractional-Calorimetry-Data'!$J$4:$J$368,100)</f>
        <v>850.018359336889</v>
      </c>
      <c r="G8" s="27">
        <f>_xlfn.MAXIFS('Fractional-Calorimetry-Data'!$AU$4:$AU$368,'Fractional-Calorimetry-Data'!$B$4:$B$368,'V&amp;V-Violence-All'!$B8,'Fractional-Calorimetry-Data'!$J$4:$J$368,100)</f>
        <v>96.2331043651673</v>
      </c>
    </row>
    <row r="9" spans="1:8">
      <c r="B9" s="14" t="s">
        <v>162</v>
      </c>
      <c r="C9" s="29">
        <f>_xlfn.MAXIFS('Fractional-Calorimetry-Data'!$BE$4:$BE$368,'Fractional-Calorimetry-Data'!$B$4:$B$368,'V&amp;V-Violence-All'!$B9,'Fractional-Calorimetry-Data'!$J$4:$J$368,100)</f>
        <v>1.73489394254608</v>
      </c>
      <c r="D9" s="27">
        <f>_xlfn.MAXIFS('Fractional-Calorimetry-Data'!$U$4:$U$368,'Fractional-Calorimetry-Data'!$B$4:$B$368,'V&amp;V-Violence-All'!$B9,'Fractional-Calorimetry-Data'!$J$4:$J$368,100)</f>
        <v>79.3193510532068</v>
      </c>
      <c r="E9" s="27">
        <f>_xlfn.MAXIFS('Fractional-Calorimetry-Data'!$BI$4:$BI$368,'Fractional-Calorimetry-Data'!$B$4:$B$368,'V&amp;V-Violence-All'!$B9,'Fractional-Calorimetry-Data'!$J$4:$J$368,100)</f>
        <v>64368.9161565301</v>
      </c>
      <c r="F9" s="27">
        <f>_xlfn.MAXIFS('Fractional-Calorimetry-Data'!$BM$4:$BM$368,'Fractional-Calorimetry-Data'!$B$4:$B$368,'V&amp;V-Violence-All'!$B9,'Fractional-Calorimetry-Data'!$J$4:$J$368,100)</f>
        <v>1539.01312514417</v>
      </c>
      <c r="G9" s="27">
        <f>_xlfn.MAXIFS('Fractional-Calorimetry-Data'!$AU$4:$AU$368,'Fractional-Calorimetry-Data'!$B$4:$B$368,'V&amp;V-Violence-All'!$B9,'Fractional-Calorimetry-Data'!$J$4:$J$368,100)</f>
        <v>77.5416666666667</v>
      </c>
    </row>
    <row r="10" spans="1:8">
      <c r="B10" s="15" t="s">
        <v>1333</v>
      </c>
      <c r="C10" s="30">
        <f>MIN(C4:C9)</f>
        <v>1.53511785357194</v>
      </c>
      <c r="D10" s="30">
        <f>MIN(D4:D9)</f>
        <v>65.6539203615649</v>
      </c>
      <c r="E10" s="30">
        <f>MIN(E4:E9)</f>
        <v>35551.8478755935</v>
      </c>
      <c r="F10" s="30">
        <f>MIN(F4:F9)</f>
        <v>850.018359336889</v>
      </c>
      <c r="G10" s="30">
        <f>MIN(G4:G9)</f>
        <v>59.4738109061044</v>
      </c>
    </row>
    <row r="11" spans="1:8">
      <c r="B11" s="15" t="s">
        <v>1334</v>
      </c>
      <c r="C11" s="30">
        <f>MAX(C4:C9)</f>
        <v>2.19542562252072</v>
      </c>
      <c r="D11" s="30">
        <f>MAX(D4:D9)</f>
        <v>110.833034304706</v>
      </c>
      <c r="E11" s="30">
        <f>MAX(E4:E9)</f>
        <v>325892.476326766</v>
      </c>
      <c r="F11" s="30">
        <f>MAX(F4:F9)</f>
        <v>7791.84781102997</v>
      </c>
      <c r="G11" s="30">
        <f>MAX(G4:G9)</f>
        <v>96.2331043651673</v>
      </c>
    </row>
    <row r="12" customFormat="1" ht="35.1" customHeight="1" spans="1:8">
      <c r="A12" s="2"/>
      <c r="B12" s="2"/>
      <c r="C12" s="27"/>
      <c r="D12" s="27"/>
      <c r="E12" s="27"/>
      <c r="F12" s="27"/>
      <c r="G12" s="27"/>
      <c r="H12" s="2"/>
    </row>
    <row r="13" customFormat="1" ht="29.1" customHeight="1" spans="1:8">
      <c r="B13" s="4" t="s">
        <v>1335</v>
      </c>
      <c r="C13" s="4"/>
      <c r="D13" s="4"/>
      <c r="E13" s="28"/>
      <c r="F13" s="28"/>
      <c r="G13" s="28"/>
    </row>
    <row r="14" spans="1:8">
      <c r="A14"/>
      <c r="B14" s="6" t="s">
        <v>46</v>
      </c>
      <c r="C14" s="8" t="s">
        <v>1336</v>
      </c>
      <c r="D14" s="8" t="s">
        <v>1337</v>
      </c>
      <c r="E14" s="8" t="s">
        <v>1338</v>
      </c>
      <c r="F14" s="8" t="s">
        <v>1339</v>
      </c>
      <c r="G14" s="8" t="s">
        <v>1340</v>
      </c>
      <c r="H14"/>
    </row>
    <row r="15" spans="1:8">
      <c r="B15" s="13" t="s">
        <v>133</v>
      </c>
      <c r="C15" s="27" cm="1">
        <f t="array" ref="C15">TREND($B$24:$B$74,C$24:C$74,C4)</f>
        <v>1.16237471762219</v>
      </c>
      <c r="D15" s="27" cm="1">
        <f t="array" ref="D15">TREND($B$24:$B$74,D$24:D$74,D4)</f>
        <v>0.0220365695384181</v>
      </c>
      <c r="E15" s="27" cm="1">
        <f t="array" ref="E15">TREND($B$24:$B$74,E$24:E$74,E4)</f>
        <v>0.227914146389409</v>
      </c>
      <c r="F15" s="27" cm="1">
        <f t="array" ref="F15">TREND($B$24:$B$74,F$24:F$74,F4)</f>
        <v>0.18504816102096</v>
      </c>
      <c r="G15" s="27" cm="1">
        <f t="array" ref="G15">TREND($B$24:$B$74,G$24:G$74,G4)</f>
        <v>5.53106154779843</v>
      </c>
    </row>
    <row r="16" spans="1:8">
      <c r="B16" s="13" t="s">
        <v>136</v>
      </c>
      <c r="C16" s="27" cm="1">
        <f t="array" ref="C16">TREND($B$24:$B$74,C$24:C$74,C5)</f>
        <v>2.30936418283466</v>
      </c>
      <c r="D16" s="27" cm="1">
        <f t="array" ref="D16">TREND($B$24:$B$74,D$24:D$74,D5)</f>
        <v>8.88425168069965</v>
      </c>
      <c r="E16" s="27" cm="1">
        <f t="array" ref="E16">TREND($B$24:$B$74,E$24:E$74,E5)</f>
        <v>1.32189418107319</v>
      </c>
      <c r="F16" s="27" cm="1">
        <f t="array" ref="F16">TREND($B$24:$B$74,F$24:F$74,F5)</f>
        <v>0.515242019641735</v>
      </c>
      <c r="G16" s="27" cm="1">
        <f t="array" ref="G16">TREND($B$24:$B$74,G$24:G$74,G5)</f>
        <v>0.027056794283876</v>
      </c>
    </row>
    <row r="17" spans="2:7">
      <c r="B17" s="14" t="s">
        <v>140</v>
      </c>
      <c r="C17" s="27" cm="1">
        <f t="array" ref="C17">TREND($B$24:$B$74,C$24:C$74,C6)</f>
        <v>8.83762528237782</v>
      </c>
      <c r="D17" s="27" cm="1">
        <f t="array" ref="D17">TREND($B$24:$B$74,D$24:D$74,D6)</f>
        <v>7.67334045872125</v>
      </c>
      <c r="E17" s="27" cm="1">
        <f t="array" ref="E17">TREND($B$24:$B$74,E$24:E$74,E6)</f>
        <v>9.99999655577205</v>
      </c>
      <c r="F17" s="27" cm="1">
        <f t="array" ref="F17">TREND($B$24:$B$74,F$24:F$74,F6)</f>
        <v>9.99985594990529</v>
      </c>
      <c r="G17" s="27" cm="1">
        <f t="array" ref="G17">TREND($B$24:$B$74,G$24:G$74,G6)</f>
        <v>6.61700320516848</v>
      </c>
    </row>
    <row r="18" spans="2:7">
      <c r="B18" s="14" t="s">
        <v>144</v>
      </c>
      <c r="C18" s="27" cm="1">
        <f t="array" ref="C18">TREND($B$24:$B$74,C$24:C$74,C7)</f>
        <v>2.98117758959561</v>
      </c>
      <c r="D18" s="27" cm="1">
        <f t="array" ref="D18">TREND($B$24:$B$74,D$24:D$74,D7)</f>
        <v>9.97796343046161</v>
      </c>
      <c r="E18" s="27" cm="1">
        <f t="array" ref="E18">TREND($B$24:$B$74,E$24:E$74,E7)</f>
        <v>7.52339184832702</v>
      </c>
      <c r="F18" s="27" cm="1">
        <f t="array" ref="F18">TREND($B$24:$B$74,F$24:F$74,F7)</f>
        <v>5.50597817835995</v>
      </c>
      <c r="G18" s="27" cm="1">
        <f t="array" ref="G18">TREND($B$24:$B$74,G$24:G$74,G7)</f>
        <v>5.21792560583481</v>
      </c>
    </row>
    <row r="19" spans="2:7">
      <c r="B19" s="14" t="s">
        <v>146</v>
      </c>
      <c r="C19" s="27" cm="1">
        <f t="array" ref="C19">TREND($B$24:$B$74,C$24:C$74,C8)</f>
        <v>1.53926239729732</v>
      </c>
      <c r="D19" s="27" cm="1">
        <f t="array" ref="D19">TREND($B$24:$B$74,D$24:D$74,D8)</f>
        <v>1.2229801129603</v>
      </c>
      <c r="E19" s="27" cm="1">
        <f t="array" ref="E19">TREND($B$24:$B$74,E$24:E$74,E8)</f>
        <v>3.44422796527688e-6</v>
      </c>
      <c r="F19" s="27" cm="1">
        <f t="array" ref="F19">TREND($B$24:$B$74,F$24:F$74,F8)</f>
        <v>0.00014405009471119</v>
      </c>
      <c r="G19" s="27" cm="1">
        <f t="array" ref="G19">TREND($B$24:$B$74,G$24:G$74,G8)</f>
        <v>9.97294320571612</v>
      </c>
    </row>
    <row r="20" spans="2:7">
      <c r="B20" s="14" t="s">
        <v>162</v>
      </c>
      <c r="C20" s="27" cm="1">
        <f t="array" ref="C20">TREND($B$24:$B$74,C$24:C$74,C9)</f>
        <v>3.48452146771193</v>
      </c>
      <c r="D20" s="27" cm="1">
        <f t="array" ref="D20">TREND($B$24:$B$74,D$24:D$74,D9)</f>
        <v>3.03342870662695</v>
      </c>
      <c r="E20" s="27" cm="1">
        <f t="array" ref="E20">TREND($B$24:$B$74,E$24:E$74,E9)</f>
        <v>0.992528967925808</v>
      </c>
      <c r="F20" s="27" cm="1">
        <f t="array" ref="F20">TREND($B$24:$B$74,F$24:F$74,F9)</f>
        <v>0.992641662791021</v>
      </c>
      <c r="G20" s="27" cm="1">
        <f t="array" ref="G20">TREND($B$24:$B$74,G$24:G$74,G9)</f>
        <v>4.91563935893023</v>
      </c>
    </row>
    <row r="21" spans="2:7">
      <c r="B21" s="2" t="s">
        <v>1341</v>
      </c>
      <c r="C21" s="27">
        <v>10</v>
      </c>
      <c r="D21" s="27">
        <v>10</v>
      </c>
      <c r="E21" s="27">
        <v>10</v>
      </c>
      <c r="F21" s="27">
        <v>10</v>
      </c>
      <c r="G21" s="27">
        <v>10</v>
      </c>
    </row>
    <row r="22" ht="30" spans="2:7">
      <c r="B22" s="19" t="s">
        <v>1342</v>
      </c>
      <c r="C22" s="31"/>
      <c r="D22" s="31"/>
      <c r="E22" s="31"/>
      <c r="F22" s="31"/>
      <c r="G22" s="31"/>
    </row>
    <row r="23" spans="2:7">
      <c r="B23" s="22" t="s">
        <v>1343</v>
      </c>
      <c r="C23" s="8" t="s">
        <v>1328</v>
      </c>
      <c r="D23" s="8" t="s">
        <v>1329</v>
      </c>
      <c r="E23" s="8" t="s">
        <v>1344</v>
      </c>
      <c r="F23" s="8" t="s">
        <v>1345</v>
      </c>
      <c r="G23" s="8" t="s">
        <v>1332</v>
      </c>
    </row>
    <row r="24" spans="2:7">
      <c r="B24" s="3">
        <v>0</v>
      </c>
      <c r="C24" s="27">
        <f t="shared" ref="C24:G24" si="0">C$10-0.1</f>
        <v>1.43511785357194</v>
      </c>
      <c r="D24" s="27">
        <f t="shared" si="0"/>
        <v>65.5539203615649</v>
      </c>
      <c r="E24" s="27">
        <f t="shared" si="0"/>
        <v>35551.7478755935</v>
      </c>
      <c r="F24" s="27">
        <f t="shared" si="0"/>
        <v>849.918359336889</v>
      </c>
      <c r="G24" s="27">
        <f t="shared" si="0"/>
        <v>59.3738109061044</v>
      </c>
    </row>
    <row r="25" spans="2:7">
      <c r="B25" s="3">
        <v>0.2</v>
      </c>
      <c r="C25" s="27">
        <f t="shared" ref="C25:C74" si="1">C24+(((C$11+0.1)-(C$10-0.1))/50)</f>
        <v>1.45232400895092</v>
      </c>
      <c r="D25" s="27">
        <f t="shared" ref="D25:D74" si="2">D24+(((D$11+0.1)-(D$10-0.1))/50)</f>
        <v>66.4615026404277</v>
      </c>
      <c r="E25" s="27">
        <f t="shared" ref="E25:E74" si="3">E24+(((E$11+0.1)-(E$10-0.1))/50)</f>
        <v>41358.564444617</v>
      </c>
      <c r="F25" s="27">
        <f t="shared" ref="F25:F28" si="4">F24+(((F$11+0.1)-(F$10-0.1))/50)</f>
        <v>988.75894837075</v>
      </c>
      <c r="G25" s="27">
        <f t="shared" ref="G25:G74" si="5">G24+(((G$11+0.1)-(G$10-0.1))/50)</f>
        <v>60.1129967752857</v>
      </c>
    </row>
    <row r="26" spans="2:7">
      <c r="B26" s="3">
        <f>B25+0.2</f>
        <v>0.4</v>
      </c>
      <c r="C26" s="27">
        <f t="shared" si="1"/>
        <v>1.4695301643299</v>
      </c>
      <c r="D26" s="27">
        <f t="shared" si="2"/>
        <v>67.3690849192906</v>
      </c>
      <c r="E26" s="27">
        <f t="shared" si="3"/>
        <v>47165.3810136404</v>
      </c>
      <c r="F26" s="27">
        <f t="shared" si="4"/>
        <v>1127.59953740461</v>
      </c>
      <c r="G26" s="27">
        <f t="shared" si="5"/>
        <v>60.8521826444669</v>
      </c>
    </row>
    <row r="27" spans="2:7">
      <c r="B27" s="3">
        <f t="shared" ref="B27:B74" si="6">B26+0.2</f>
        <v>0.6</v>
      </c>
      <c r="C27" s="27">
        <f t="shared" si="1"/>
        <v>1.48673631970887</v>
      </c>
      <c r="D27" s="27">
        <f t="shared" si="2"/>
        <v>68.2766671981534</v>
      </c>
      <c r="E27" s="27">
        <f t="shared" si="3"/>
        <v>52972.1975826639</v>
      </c>
      <c r="F27" s="27">
        <f t="shared" si="4"/>
        <v>1266.44012643847</v>
      </c>
      <c r="G27" s="27">
        <f t="shared" si="5"/>
        <v>61.5913685136482</v>
      </c>
    </row>
    <row r="28" spans="2:7">
      <c r="B28" s="3">
        <f t="shared" si="6"/>
        <v>0.8</v>
      </c>
      <c r="C28" s="27">
        <f t="shared" si="1"/>
        <v>1.50394247508785</v>
      </c>
      <c r="D28" s="27">
        <f t="shared" si="2"/>
        <v>69.1842494770162</v>
      </c>
      <c r="E28" s="27">
        <f t="shared" si="3"/>
        <v>58779.0141516873</v>
      </c>
      <c r="F28" s="27">
        <f t="shared" si="4"/>
        <v>1405.28071547234</v>
      </c>
      <c r="G28" s="27">
        <f t="shared" si="5"/>
        <v>62.3305543828294</v>
      </c>
    </row>
    <row r="29" spans="2:7">
      <c r="B29" s="3">
        <f t="shared" si="6"/>
        <v>1</v>
      </c>
      <c r="C29" s="27">
        <f t="shared" si="1"/>
        <v>1.52114863046682</v>
      </c>
      <c r="D29" s="27">
        <f t="shared" si="2"/>
        <v>70.091831755879</v>
      </c>
      <c r="E29" s="27">
        <f t="shared" si="3"/>
        <v>64585.8307207108</v>
      </c>
      <c r="F29" s="27">
        <f t="shared" ref="F29:F32" si="7">F28+(((F$11+0.1)-(F$10-0.1))/50)</f>
        <v>1544.1213045062</v>
      </c>
      <c r="G29" s="27">
        <f t="shared" si="5"/>
        <v>63.0697402520107</v>
      </c>
    </row>
    <row r="30" spans="2:7">
      <c r="B30" s="3">
        <f t="shared" si="6"/>
        <v>1.2</v>
      </c>
      <c r="C30" s="27">
        <f t="shared" si="1"/>
        <v>1.5383547858458</v>
      </c>
      <c r="D30" s="27">
        <f t="shared" si="2"/>
        <v>70.9994140347418</v>
      </c>
      <c r="E30" s="27">
        <f t="shared" si="3"/>
        <v>70392.6472897343</v>
      </c>
      <c r="F30" s="27">
        <f t="shared" si="7"/>
        <v>1682.96189354006</v>
      </c>
      <c r="G30" s="27">
        <f t="shared" si="5"/>
        <v>63.8089261211919</v>
      </c>
    </row>
    <row r="31" spans="2:7">
      <c r="B31" s="3">
        <f t="shared" si="6"/>
        <v>1.4</v>
      </c>
      <c r="C31" s="27">
        <f t="shared" si="1"/>
        <v>1.55556094122477</v>
      </c>
      <c r="D31" s="27">
        <f t="shared" si="2"/>
        <v>71.9069963136047</v>
      </c>
      <c r="E31" s="27">
        <f t="shared" si="3"/>
        <v>76199.4638587577</v>
      </c>
      <c r="F31" s="27">
        <f t="shared" si="7"/>
        <v>1821.80248257392</v>
      </c>
      <c r="G31" s="27">
        <f t="shared" si="5"/>
        <v>64.5481119903732</v>
      </c>
    </row>
    <row r="32" spans="2:7">
      <c r="B32" s="3">
        <f t="shared" si="6"/>
        <v>1.6</v>
      </c>
      <c r="C32" s="27">
        <f t="shared" si="1"/>
        <v>1.57276709660375</v>
      </c>
      <c r="D32" s="27">
        <f t="shared" si="2"/>
        <v>72.8145785924675</v>
      </c>
      <c r="E32" s="27">
        <f t="shared" si="3"/>
        <v>82006.2804277812</v>
      </c>
      <c r="F32" s="27">
        <f t="shared" si="7"/>
        <v>1960.64307160778</v>
      </c>
      <c r="G32" s="27">
        <f t="shared" si="5"/>
        <v>65.2872978595545</v>
      </c>
    </row>
    <row r="33" spans="2:7">
      <c r="B33" s="3">
        <f t="shared" si="6"/>
        <v>1.8</v>
      </c>
      <c r="C33" s="27">
        <f t="shared" si="1"/>
        <v>1.58997325198272</v>
      </c>
      <c r="D33" s="27">
        <f t="shared" si="2"/>
        <v>73.7221608713303</v>
      </c>
      <c r="E33" s="27">
        <f t="shared" si="3"/>
        <v>87813.0969968046</v>
      </c>
      <c r="F33" s="27">
        <f t="shared" ref="F33:F36" si="8">F32+(((F$11+0.1)-(F$10-0.1))/50)</f>
        <v>2099.48366064164</v>
      </c>
      <c r="G33" s="27">
        <f t="shared" si="5"/>
        <v>66.0264837287357</v>
      </c>
    </row>
    <row r="34" spans="2:7">
      <c r="B34" s="3">
        <f t="shared" si="6"/>
        <v>2</v>
      </c>
      <c r="C34" s="27">
        <f t="shared" si="1"/>
        <v>1.6071794073617</v>
      </c>
      <c r="D34" s="27">
        <f t="shared" si="2"/>
        <v>74.6297431501931</v>
      </c>
      <c r="E34" s="27">
        <f t="shared" si="3"/>
        <v>93619.9135658281</v>
      </c>
      <c r="F34" s="27">
        <f t="shared" si="8"/>
        <v>2238.32424967551</v>
      </c>
      <c r="G34" s="27">
        <f t="shared" si="5"/>
        <v>66.765669597917</v>
      </c>
    </row>
    <row r="35" spans="2:7">
      <c r="B35" s="3">
        <f t="shared" si="6"/>
        <v>2.2</v>
      </c>
      <c r="C35" s="27">
        <f t="shared" si="1"/>
        <v>1.62438556274067</v>
      </c>
      <c r="D35" s="27">
        <f t="shared" si="2"/>
        <v>75.5373254290559</v>
      </c>
      <c r="E35" s="27">
        <f t="shared" si="3"/>
        <v>99426.7301348516</v>
      </c>
      <c r="F35" s="27">
        <f t="shared" si="8"/>
        <v>2377.16483870937</v>
      </c>
      <c r="G35" s="27">
        <f t="shared" si="5"/>
        <v>67.5048554670982</v>
      </c>
    </row>
    <row r="36" spans="2:7">
      <c r="B36" s="3">
        <f t="shared" si="6"/>
        <v>2.4</v>
      </c>
      <c r="C36" s="27">
        <f t="shared" si="1"/>
        <v>1.64159171811965</v>
      </c>
      <c r="D36" s="27">
        <f t="shared" si="2"/>
        <v>76.4449077079187</v>
      </c>
      <c r="E36" s="27">
        <f t="shared" si="3"/>
        <v>105233.546703875</v>
      </c>
      <c r="F36" s="27">
        <f t="shared" si="8"/>
        <v>2516.00542774323</v>
      </c>
      <c r="G36" s="27">
        <f t="shared" si="5"/>
        <v>68.2440413362795</v>
      </c>
    </row>
    <row r="37" spans="2:7">
      <c r="B37" s="3">
        <f t="shared" si="6"/>
        <v>2.6</v>
      </c>
      <c r="C37" s="27">
        <f t="shared" si="1"/>
        <v>1.65879787349863</v>
      </c>
      <c r="D37" s="27">
        <f t="shared" si="2"/>
        <v>77.3524899867816</v>
      </c>
      <c r="E37" s="27">
        <f t="shared" si="3"/>
        <v>111040.363272898</v>
      </c>
      <c r="F37" s="27">
        <f t="shared" ref="F37:F41" si="9">F36+(((F$11+0.1)-(F$10-0.1))/50)</f>
        <v>2654.84601677709</v>
      </c>
      <c r="G37" s="27">
        <f t="shared" si="5"/>
        <v>68.9832272054607</v>
      </c>
    </row>
    <row r="38" spans="2:7">
      <c r="B38" s="3">
        <f t="shared" si="6"/>
        <v>2.8</v>
      </c>
      <c r="C38" s="27">
        <f t="shared" si="1"/>
        <v>1.6760040288776</v>
      </c>
      <c r="D38" s="27">
        <f t="shared" si="2"/>
        <v>78.2600722656444</v>
      </c>
      <c r="E38" s="27">
        <f t="shared" si="3"/>
        <v>116847.179841922</v>
      </c>
      <c r="F38" s="27">
        <f t="shared" si="9"/>
        <v>2793.68660581095</v>
      </c>
      <c r="G38" s="27">
        <f t="shared" si="5"/>
        <v>69.722413074642</v>
      </c>
    </row>
    <row r="39" spans="2:7">
      <c r="B39" s="3">
        <f t="shared" si="6"/>
        <v>3</v>
      </c>
      <c r="C39" s="27">
        <f t="shared" si="1"/>
        <v>1.69321018425658</v>
      </c>
      <c r="D39" s="27">
        <f t="shared" si="2"/>
        <v>79.1676545445072</v>
      </c>
      <c r="E39" s="27">
        <f t="shared" si="3"/>
        <v>122653.996410945</v>
      </c>
      <c r="F39" s="27">
        <f t="shared" si="9"/>
        <v>2932.52719484481</v>
      </c>
      <c r="G39" s="27">
        <f t="shared" si="5"/>
        <v>70.4615989438232</v>
      </c>
    </row>
    <row r="40" spans="2:7">
      <c r="B40" s="3">
        <f t="shared" si="6"/>
        <v>3.2</v>
      </c>
      <c r="C40" s="27">
        <f t="shared" si="1"/>
        <v>1.71041633963555</v>
      </c>
      <c r="D40" s="27">
        <f t="shared" si="2"/>
        <v>80.07523682337</v>
      </c>
      <c r="E40" s="27">
        <f t="shared" si="3"/>
        <v>128460.812979969</v>
      </c>
      <c r="F40" s="27">
        <f t="shared" si="9"/>
        <v>3071.36778387868</v>
      </c>
      <c r="G40" s="27">
        <f t="shared" si="5"/>
        <v>71.2007848130045</v>
      </c>
    </row>
    <row r="41" spans="2:7">
      <c r="B41" s="3">
        <f t="shared" si="6"/>
        <v>3.4</v>
      </c>
      <c r="C41" s="27">
        <f t="shared" si="1"/>
        <v>1.72762249501453</v>
      </c>
      <c r="D41" s="27">
        <f t="shared" si="2"/>
        <v>80.9828191022328</v>
      </c>
      <c r="E41" s="27">
        <f t="shared" si="3"/>
        <v>134267.629548992</v>
      </c>
      <c r="F41" s="27">
        <f t="shared" si="9"/>
        <v>3210.20837291254</v>
      </c>
      <c r="G41" s="27">
        <f t="shared" si="5"/>
        <v>71.9399706821858</v>
      </c>
    </row>
    <row r="42" spans="2:7">
      <c r="B42" s="3">
        <f t="shared" si="6"/>
        <v>3.6</v>
      </c>
      <c r="C42" s="27">
        <f t="shared" si="1"/>
        <v>1.7448286503935</v>
      </c>
      <c r="D42" s="27">
        <f t="shared" si="2"/>
        <v>81.8904013810957</v>
      </c>
      <c r="E42" s="27">
        <f t="shared" si="3"/>
        <v>140074.446118016</v>
      </c>
      <c r="F42" s="27">
        <f t="shared" ref="F42:F57" si="10">F41+(((F$11+0.1)-(F$10-0.1))/50)</f>
        <v>3349.0489619464</v>
      </c>
      <c r="G42" s="27">
        <f t="shared" si="5"/>
        <v>72.679156551367</v>
      </c>
    </row>
    <row r="43" spans="2:7">
      <c r="B43" s="3">
        <f t="shared" si="6"/>
        <v>3.8</v>
      </c>
      <c r="C43" s="27">
        <f t="shared" si="1"/>
        <v>1.76203480577248</v>
      </c>
      <c r="D43" s="27">
        <f t="shared" si="2"/>
        <v>82.7979836599585</v>
      </c>
      <c r="E43" s="27">
        <f t="shared" si="3"/>
        <v>145881.262687039</v>
      </c>
      <c r="F43" s="27">
        <f t="shared" si="10"/>
        <v>3487.88955098026</v>
      </c>
      <c r="G43" s="27">
        <f t="shared" si="5"/>
        <v>73.4183424205483</v>
      </c>
    </row>
    <row r="44" spans="2:7">
      <c r="B44" s="3">
        <f t="shared" si="6"/>
        <v>4</v>
      </c>
      <c r="C44" s="27">
        <f t="shared" si="1"/>
        <v>1.77924096115145</v>
      </c>
      <c r="D44" s="27">
        <f t="shared" si="2"/>
        <v>83.7055659388213</v>
      </c>
      <c r="E44" s="27">
        <f t="shared" si="3"/>
        <v>151688.079256063</v>
      </c>
      <c r="F44" s="27">
        <f t="shared" si="10"/>
        <v>3626.73014001412</v>
      </c>
      <c r="G44" s="27">
        <f t="shared" si="5"/>
        <v>74.1575282897295</v>
      </c>
    </row>
    <row r="45" spans="2:7">
      <c r="B45" s="3">
        <f t="shared" si="6"/>
        <v>4.2</v>
      </c>
      <c r="C45" s="27">
        <f t="shared" si="1"/>
        <v>1.79644711653043</v>
      </c>
      <c r="D45" s="27">
        <f t="shared" si="2"/>
        <v>84.6131482176841</v>
      </c>
      <c r="E45" s="27">
        <f t="shared" si="3"/>
        <v>157494.895825086</v>
      </c>
      <c r="F45" s="27">
        <f t="shared" si="10"/>
        <v>3765.57072904799</v>
      </c>
      <c r="G45" s="27">
        <f t="shared" si="5"/>
        <v>74.8967141589108</v>
      </c>
    </row>
    <row r="46" spans="2:7">
      <c r="B46" s="3">
        <f t="shared" si="6"/>
        <v>4.4</v>
      </c>
      <c r="C46" s="27">
        <f t="shared" si="1"/>
        <v>1.81365327190941</v>
      </c>
      <c r="D46" s="27">
        <f t="shared" si="2"/>
        <v>85.5207304965469</v>
      </c>
      <c r="E46" s="27">
        <f t="shared" si="3"/>
        <v>163301.71239411</v>
      </c>
      <c r="F46" s="27">
        <f t="shared" si="10"/>
        <v>3904.41131808185</v>
      </c>
      <c r="G46" s="27">
        <f t="shared" si="5"/>
        <v>75.635900028092</v>
      </c>
    </row>
    <row r="47" spans="2:7">
      <c r="B47" s="3">
        <f t="shared" si="6"/>
        <v>4.6</v>
      </c>
      <c r="C47" s="27">
        <f t="shared" si="1"/>
        <v>1.83085942728838</v>
      </c>
      <c r="D47" s="27">
        <f t="shared" si="2"/>
        <v>86.4283127754098</v>
      </c>
      <c r="E47" s="27">
        <f t="shared" si="3"/>
        <v>169108.528963133</v>
      </c>
      <c r="F47" s="27">
        <f t="shared" si="10"/>
        <v>4043.25190711571</v>
      </c>
      <c r="G47" s="27">
        <f t="shared" si="5"/>
        <v>76.3750858972733</v>
      </c>
    </row>
    <row r="48" spans="2:7">
      <c r="B48" s="3">
        <f t="shared" si="6"/>
        <v>4.8</v>
      </c>
      <c r="C48" s="27">
        <f t="shared" si="1"/>
        <v>1.84806558266736</v>
      </c>
      <c r="D48" s="27">
        <f t="shared" si="2"/>
        <v>87.3358950542726</v>
      </c>
      <c r="E48" s="27">
        <f t="shared" si="3"/>
        <v>174915.345532156</v>
      </c>
      <c r="F48" s="27">
        <f t="shared" si="10"/>
        <v>4182.09249614957</v>
      </c>
      <c r="G48" s="27">
        <f t="shared" si="5"/>
        <v>77.1142717664545</v>
      </c>
    </row>
    <row r="49" spans="2:7">
      <c r="B49" s="3">
        <f t="shared" si="6"/>
        <v>5</v>
      </c>
      <c r="C49" s="27">
        <f t="shared" si="1"/>
        <v>1.86527173804633</v>
      </c>
      <c r="D49" s="27">
        <f t="shared" si="2"/>
        <v>88.2434773331354</v>
      </c>
      <c r="E49" s="27">
        <f t="shared" si="3"/>
        <v>180722.16210118</v>
      </c>
      <c r="F49" s="27">
        <f t="shared" si="10"/>
        <v>4320.93308518343</v>
      </c>
      <c r="G49" s="27">
        <f t="shared" si="5"/>
        <v>77.8534576356358</v>
      </c>
    </row>
    <row r="50" spans="2:7">
      <c r="B50" s="3">
        <f t="shared" si="6"/>
        <v>5.2</v>
      </c>
      <c r="C50" s="27">
        <f t="shared" si="1"/>
        <v>1.88247789342531</v>
      </c>
      <c r="D50" s="27">
        <f t="shared" si="2"/>
        <v>89.1510596119982</v>
      </c>
      <c r="E50" s="27">
        <f t="shared" si="3"/>
        <v>186528.978670203</v>
      </c>
      <c r="F50" s="27">
        <f t="shared" si="10"/>
        <v>4459.77367421729</v>
      </c>
      <c r="G50" s="27">
        <f t="shared" si="5"/>
        <v>78.5926435048171</v>
      </c>
    </row>
    <row r="51" spans="2:7">
      <c r="B51" s="3">
        <f t="shared" si="6"/>
        <v>5.4</v>
      </c>
      <c r="C51" s="27">
        <f t="shared" si="1"/>
        <v>1.89968404880428</v>
      </c>
      <c r="D51" s="27">
        <f t="shared" si="2"/>
        <v>90.058641890861</v>
      </c>
      <c r="E51" s="27">
        <f t="shared" si="3"/>
        <v>192335.795239227</v>
      </c>
      <c r="F51" s="27">
        <f t="shared" si="10"/>
        <v>4598.61426325116</v>
      </c>
      <c r="G51" s="27">
        <f t="shared" si="5"/>
        <v>79.3318293739983</v>
      </c>
    </row>
    <row r="52" spans="2:7">
      <c r="B52" s="3">
        <f t="shared" si="6"/>
        <v>5.6</v>
      </c>
      <c r="C52" s="27">
        <f t="shared" si="1"/>
        <v>1.91689020418326</v>
      </c>
      <c r="D52" s="27">
        <f t="shared" si="2"/>
        <v>90.9662241697238</v>
      </c>
      <c r="E52" s="27">
        <f t="shared" si="3"/>
        <v>198142.61180825</v>
      </c>
      <c r="F52" s="27">
        <f t="shared" si="10"/>
        <v>4737.45485228502</v>
      </c>
      <c r="G52" s="27">
        <f t="shared" si="5"/>
        <v>80.0710152431796</v>
      </c>
    </row>
    <row r="53" spans="2:7">
      <c r="B53" s="3">
        <f t="shared" si="6"/>
        <v>5.8</v>
      </c>
      <c r="C53" s="27">
        <f t="shared" si="1"/>
        <v>1.93409635956223</v>
      </c>
      <c r="D53" s="27">
        <f t="shared" si="2"/>
        <v>91.8738064485867</v>
      </c>
      <c r="E53" s="27">
        <f t="shared" si="3"/>
        <v>203949.428377274</v>
      </c>
      <c r="F53" s="27">
        <f t="shared" si="10"/>
        <v>4876.29544131888</v>
      </c>
      <c r="G53" s="27">
        <f t="shared" si="5"/>
        <v>80.8102011123608</v>
      </c>
    </row>
    <row r="54" spans="2:7">
      <c r="B54" s="3">
        <f t="shared" si="6"/>
        <v>6</v>
      </c>
      <c r="C54" s="27">
        <f t="shared" si="1"/>
        <v>1.95130251494121</v>
      </c>
      <c r="D54" s="27">
        <f t="shared" si="2"/>
        <v>92.7813887274495</v>
      </c>
      <c r="E54" s="27">
        <f t="shared" si="3"/>
        <v>209756.244946297</v>
      </c>
      <c r="F54" s="27">
        <f t="shared" si="10"/>
        <v>5015.13603035274</v>
      </c>
      <c r="G54" s="27">
        <f t="shared" si="5"/>
        <v>81.5493869815421</v>
      </c>
    </row>
    <row r="55" spans="2:7">
      <c r="B55" s="3">
        <f t="shared" si="6"/>
        <v>6.2</v>
      </c>
      <c r="C55" s="27">
        <f t="shared" si="1"/>
        <v>1.96850867032019</v>
      </c>
      <c r="D55" s="27">
        <f t="shared" si="2"/>
        <v>93.6889710063123</v>
      </c>
      <c r="E55" s="27">
        <f t="shared" si="3"/>
        <v>215563.061515321</v>
      </c>
      <c r="F55" s="27">
        <f t="shared" si="10"/>
        <v>5153.9766193866</v>
      </c>
      <c r="G55" s="27">
        <f t="shared" si="5"/>
        <v>82.2885728507233</v>
      </c>
    </row>
    <row r="56" spans="2:7">
      <c r="B56" s="3">
        <f t="shared" si="6"/>
        <v>6.4</v>
      </c>
      <c r="C56" s="27">
        <f t="shared" si="1"/>
        <v>1.98571482569916</v>
      </c>
      <c r="D56" s="27">
        <f t="shared" si="2"/>
        <v>94.5965532851751</v>
      </c>
      <c r="E56" s="27">
        <f t="shared" si="3"/>
        <v>221369.878084344</v>
      </c>
      <c r="F56" s="27">
        <f t="shared" si="10"/>
        <v>5292.81720842046</v>
      </c>
      <c r="G56" s="27">
        <f t="shared" si="5"/>
        <v>83.0277587199046</v>
      </c>
    </row>
    <row r="57" spans="2:7">
      <c r="B57" s="3">
        <f t="shared" si="6"/>
        <v>6.6</v>
      </c>
      <c r="C57" s="27">
        <f t="shared" si="1"/>
        <v>2.00292098107814</v>
      </c>
      <c r="D57" s="27">
        <f t="shared" si="2"/>
        <v>95.5041355640379</v>
      </c>
      <c r="E57" s="27">
        <f t="shared" si="3"/>
        <v>227176.694653367</v>
      </c>
      <c r="F57" s="27">
        <f t="shared" si="10"/>
        <v>5431.65779745433</v>
      </c>
      <c r="G57" s="27">
        <f t="shared" si="5"/>
        <v>83.7669445890859</v>
      </c>
    </row>
    <row r="58" spans="2:7">
      <c r="B58" s="3">
        <f t="shared" si="6"/>
        <v>6.8</v>
      </c>
      <c r="C58" s="27">
        <f t="shared" si="1"/>
        <v>2.02012713645711</v>
      </c>
      <c r="D58" s="27">
        <f t="shared" si="2"/>
        <v>96.4117178429008</v>
      </c>
      <c r="E58" s="27">
        <f t="shared" si="3"/>
        <v>232983.511222391</v>
      </c>
      <c r="F58" s="27">
        <f t="shared" ref="F58:F72" si="11">F57+(((F$11+0.1)-(F$10-0.1))/50)</f>
        <v>5570.49838648819</v>
      </c>
      <c r="G58" s="27">
        <f t="shared" si="5"/>
        <v>84.5061304582671</v>
      </c>
    </row>
    <row r="59" spans="2:7">
      <c r="B59" s="3">
        <f t="shared" si="6"/>
        <v>7</v>
      </c>
      <c r="C59" s="27">
        <f t="shared" si="1"/>
        <v>2.03733329183609</v>
      </c>
      <c r="D59" s="27">
        <f t="shared" si="2"/>
        <v>97.3193001217636</v>
      </c>
      <c r="E59" s="27">
        <f t="shared" si="3"/>
        <v>238790.327791414</v>
      </c>
      <c r="F59" s="27">
        <f t="shared" si="11"/>
        <v>5709.33897552205</v>
      </c>
      <c r="G59" s="27">
        <f t="shared" si="5"/>
        <v>85.2453163274484</v>
      </c>
    </row>
    <row r="60" spans="2:7">
      <c r="B60" s="3">
        <f t="shared" si="6"/>
        <v>7.2</v>
      </c>
      <c r="C60" s="27">
        <f t="shared" si="1"/>
        <v>2.05453944721506</v>
      </c>
      <c r="D60" s="27">
        <f t="shared" si="2"/>
        <v>98.2268824006264</v>
      </c>
      <c r="E60" s="27">
        <f t="shared" si="3"/>
        <v>244597.144360438</v>
      </c>
      <c r="F60" s="27">
        <f t="shared" si="11"/>
        <v>5848.17956455591</v>
      </c>
      <c r="G60" s="27">
        <f t="shared" si="5"/>
        <v>85.9845021966296</v>
      </c>
    </row>
    <row r="61" spans="2:7">
      <c r="B61" s="3">
        <f t="shared" si="6"/>
        <v>7.4</v>
      </c>
      <c r="C61" s="27">
        <f t="shared" si="1"/>
        <v>2.07174560259404</v>
      </c>
      <c r="D61" s="27">
        <f t="shared" si="2"/>
        <v>99.1344646794892</v>
      </c>
      <c r="E61" s="27">
        <f t="shared" si="3"/>
        <v>250403.960929461</v>
      </c>
      <c r="F61" s="27">
        <f t="shared" si="11"/>
        <v>5987.02015358977</v>
      </c>
      <c r="G61" s="27">
        <f t="shared" si="5"/>
        <v>86.7236880658109</v>
      </c>
    </row>
    <row r="62" spans="2:7">
      <c r="B62" s="3">
        <f t="shared" si="6"/>
        <v>7.6</v>
      </c>
      <c r="C62" s="27">
        <f t="shared" si="1"/>
        <v>2.08895175797302</v>
      </c>
      <c r="D62" s="27">
        <f t="shared" si="2"/>
        <v>100.042046958352</v>
      </c>
      <c r="E62" s="27">
        <f t="shared" si="3"/>
        <v>256210.777498485</v>
      </c>
      <c r="F62" s="27">
        <f t="shared" si="11"/>
        <v>6125.86074262363</v>
      </c>
      <c r="G62" s="27">
        <f t="shared" si="5"/>
        <v>87.4628739349921</v>
      </c>
    </row>
    <row r="63" spans="2:7">
      <c r="B63" s="3">
        <f t="shared" si="6"/>
        <v>7.8</v>
      </c>
      <c r="C63" s="27">
        <f t="shared" si="1"/>
        <v>2.10615791335199</v>
      </c>
      <c r="D63" s="27">
        <f t="shared" si="2"/>
        <v>100.949629237215</v>
      </c>
      <c r="E63" s="27">
        <f t="shared" si="3"/>
        <v>262017.594067508</v>
      </c>
      <c r="F63" s="27">
        <f t="shared" si="11"/>
        <v>6264.7013316575</v>
      </c>
      <c r="G63" s="27">
        <f t="shared" si="5"/>
        <v>88.2020598041734</v>
      </c>
    </row>
    <row r="64" spans="2:7">
      <c r="B64" s="3">
        <f t="shared" si="6"/>
        <v>8</v>
      </c>
      <c r="C64" s="27">
        <f t="shared" si="1"/>
        <v>2.12336406873097</v>
      </c>
      <c r="D64" s="27">
        <f t="shared" si="2"/>
        <v>101.857211516078</v>
      </c>
      <c r="E64" s="27">
        <f t="shared" si="3"/>
        <v>267824.410636532</v>
      </c>
      <c r="F64" s="27">
        <f t="shared" si="11"/>
        <v>6403.54192069136</v>
      </c>
      <c r="G64" s="27">
        <f t="shared" si="5"/>
        <v>88.9412456733546</v>
      </c>
    </row>
    <row r="65" spans="2:7">
      <c r="B65" s="3">
        <f t="shared" si="6"/>
        <v>8.2</v>
      </c>
      <c r="C65" s="27">
        <f t="shared" si="1"/>
        <v>2.14057022410994</v>
      </c>
      <c r="D65" s="27">
        <f t="shared" si="2"/>
        <v>102.76479379494</v>
      </c>
      <c r="E65" s="27">
        <f t="shared" si="3"/>
        <v>273631.227205555</v>
      </c>
      <c r="F65" s="27">
        <f t="shared" si="11"/>
        <v>6542.38250972522</v>
      </c>
      <c r="G65" s="27">
        <f t="shared" si="5"/>
        <v>89.6804315425359</v>
      </c>
    </row>
    <row r="66" spans="2:7">
      <c r="B66" s="3">
        <f t="shared" si="6"/>
        <v>8.4</v>
      </c>
      <c r="C66" s="27">
        <f t="shared" si="1"/>
        <v>2.15777637948892</v>
      </c>
      <c r="D66" s="27">
        <f t="shared" si="2"/>
        <v>103.672376073803</v>
      </c>
      <c r="E66" s="27">
        <f t="shared" si="3"/>
        <v>279438.043774579</v>
      </c>
      <c r="F66" s="27">
        <f t="shared" si="11"/>
        <v>6681.22309875908</v>
      </c>
      <c r="G66" s="27">
        <f t="shared" si="5"/>
        <v>90.4196174117172</v>
      </c>
    </row>
    <row r="67" spans="2:7">
      <c r="B67" s="3">
        <f t="shared" si="6"/>
        <v>8.6</v>
      </c>
      <c r="C67" s="27">
        <f t="shared" si="1"/>
        <v>2.17498253486789</v>
      </c>
      <c r="D67" s="27">
        <f t="shared" si="2"/>
        <v>104.579958352666</v>
      </c>
      <c r="E67" s="27">
        <f t="shared" si="3"/>
        <v>285244.860343602</v>
      </c>
      <c r="F67" s="27">
        <f t="shared" si="11"/>
        <v>6820.06368779294</v>
      </c>
      <c r="G67" s="27">
        <f t="shared" si="5"/>
        <v>91.1588032808984</v>
      </c>
    </row>
    <row r="68" spans="2:7">
      <c r="B68" s="3">
        <f t="shared" si="6"/>
        <v>8.8</v>
      </c>
      <c r="C68" s="27">
        <f t="shared" si="1"/>
        <v>2.19218869024687</v>
      </c>
      <c r="D68" s="27">
        <f t="shared" si="2"/>
        <v>105.487540631529</v>
      </c>
      <c r="E68" s="27">
        <f t="shared" si="3"/>
        <v>291051.676912625</v>
      </c>
      <c r="F68" s="27">
        <f t="shared" si="11"/>
        <v>6958.90427682681</v>
      </c>
      <c r="G68" s="27">
        <f t="shared" si="5"/>
        <v>91.8979891500797</v>
      </c>
    </row>
    <row r="69" spans="2:7">
      <c r="B69" s="3">
        <f t="shared" si="6"/>
        <v>9</v>
      </c>
      <c r="C69" s="27">
        <f t="shared" si="1"/>
        <v>2.20939484562585</v>
      </c>
      <c r="D69" s="27">
        <f t="shared" si="2"/>
        <v>106.395122910392</v>
      </c>
      <c r="E69" s="27">
        <f t="shared" si="3"/>
        <v>296858.493481649</v>
      </c>
      <c r="F69" s="27">
        <f t="shared" si="11"/>
        <v>7097.74486586067</v>
      </c>
      <c r="G69" s="27">
        <f t="shared" si="5"/>
        <v>92.6371750192609</v>
      </c>
    </row>
    <row r="70" spans="2:7">
      <c r="B70" s="3">
        <f t="shared" si="6"/>
        <v>9.2</v>
      </c>
      <c r="C70" s="27">
        <f t="shared" si="1"/>
        <v>2.22660100100482</v>
      </c>
      <c r="D70" s="27">
        <f t="shared" si="2"/>
        <v>107.302705189255</v>
      </c>
      <c r="E70" s="27">
        <f t="shared" si="3"/>
        <v>302665.310050672</v>
      </c>
      <c r="F70" s="27">
        <f t="shared" si="11"/>
        <v>7236.58545489453</v>
      </c>
      <c r="G70" s="27">
        <f t="shared" si="5"/>
        <v>93.3763608884422</v>
      </c>
    </row>
    <row r="71" spans="2:7">
      <c r="B71" s="3">
        <f t="shared" si="6"/>
        <v>9.4</v>
      </c>
      <c r="C71" s="27">
        <f t="shared" si="1"/>
        <v>2.2438071563838</v>
      </c>
      <c r="D71" s="27">
        <f t="shared" si="2"/>
        <v>108.210287468117</v>
      </c>
      <c r="E71" s="27">
        <f t="shared" si="3"/>
        <v>308472.126619696</v>
      </c>
      <c r="F71" s="27">
        <f t="shared" si="11"/>
        <v>7375.42604392839</v>
      </c>
      <c r="G71" s="27">
        <f t="shared" si="5"/>
        <v>94.1155467576234</v>
      </c>
    </row>
    <row r="72" spans="2:7">
      <c r="B72" s="3">
        <f t="shared" si="6"/>
        <v>9.6</v>
      </c>
      <c r="C72" s="27">
        <f t="shared" si="1"/>
        <v>2.26101331176277</v>
      </c>
      <c r="D72" s="27">
        <f t="shared" si="2"/>
        <v>109.11786974698</v>
      </c>
      <c r="E72" s="27">
        <f t="shared" si="3"/>
        <v>314278.943188719</v>
      </c>
      <c r="F72" s="27">
        <f t="shared" si="11"/>
        <v>7514.26663296225</v>
      </c>
      <c r="G72" s="27">
        <f t="shared" si="5"/>
        <v>94.8547326268047</v>
      </c>
    </row>
    <row r="73" spans="2:7">
      <c r="B73" s="3">
        <f t="shared" si="6"/>
        <v>9.8</v>
      </c>
      <c r="C73" s="27">
        <f t="shared" si="1"/>
        <v>2.27821946714175</v>
      </c>
      <c r="D73" s="27">
        <f t="shared" si="2"/>
        <v>110.025452025843</v>
      </c>
      <c r="E73" s="27">
        <f t="shared" si="3"/>
        <v>320085.759757743</v>
      </c>
      <c r="F73" s="27">
        <f t="shared" ref="F73:F74" si="12">F72+(((F$11+0.1)-(F$10-0.1))/50)</f>
        <v>7653.10722199611</v>
      </c>
      <c r="G73" s="27">
        <f t="shared" si="5"/>
        <v>95.5939184959859</v>
      </c>
    </row>
    <row r="74" spans="2:7">
      <c r="B74" s="3">
        <f t="shared" si="6"/>
        <v>10</v>
      </c>
      <c r="C74" s="27">
        <f t="shared" si="1"/>
        <v>2.29542562252072</v>
      </c>
      <c r="D74" s="27">
        <f t="shared" si="2"/>
        <v>110.933034304706</v>
      </c>
      <c r="E74" s="27">
        <f t="shared" si="3"/>
        <v>325892.576326766</v>
      </c>
      <c r="F74" s="27">
        <f t="shared" si="12"/>
        <v>7791.94781102998</v>
      </c>
      <c r="G74" s="27">
        <f t="shared" si="5"/>
        <v>96.3331043651672</v>
      </c>
    </row>
    <row r="75" spans="2:7">
      <c r="B75" s="3"/>
    </row>
    <row r="76" spans="2:7">
      <c r="B76" s="3"/>
    </row>
    <row r="77" spans="2:7">
      <c r="B77" s="3"/>
    </row>
    <row r="78" spans="2:7">
      <c r="B78" s="3"/>
    </row>
    <row r="79" spans="2:7">
      <c r="B79" s="3"/>
    </row>
    <row r="80" spans="2:7">
      <c r="B80" s="3"/>
    </row>
  </sheetData>
  <mergeCells count="2">
    <mergeCell ref="B2:D2"/>
    <mergeCell ref="B13:D13"/>
  </mergeCells>
  <pageMargins left="0.7" right="0.7" top="0.75" bottom="0.75" header="0.3" footer="0.3"/>
  <pageSetup paperSize="1" orientation="portrait" horizontalDpi="1200" verticalDpi="12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I113"/>
  <sheetViews>
    <sheetView showGridLines="0" zoomScale="75" zoomScaleNormal="75" workbookViewId="0">
      <selection activeCell="BE114" sqref="BE114"/>
    </sheetView>
  </sheetViews>
  <sheetFormatPr defaultColWidth="8.85185185185185" defaultRowHeight="13.8"/>
  <cols>
    <col min="1" max="1" width="8.85185185185185" style="2"/>
    <col min="2" max="2" width="35.712962962963" style="2" customWidth="1"/>
    <col min="3" max="3" width="29.1388888888889" style="3" customWidth="1"/>
    <col min="4" max="4" width="33.712962962963" style="3" customWidth="1"/>
    <col min="5" max="5" width="43.287037037037" style="3" customWidth="1"/>
    <col min="6" max="6" width="30.8518518518519" style="3" customWidth="1"/>
    <col min="7" max="7" width="28.1388888888889" style="2" customWidth="1"/>
    <col min="8" max="8" width="32.4259259259259" style="2" hidden="1" customWidth="1"/>
    <col min="9" max="9" width="33.8518518518519" style="2" hidden="1" customWidth="1"/>
    <col min="10" max="10" width="27.4259259259259" style="2" hidden="1" customWidth="1"/>
    <col min="11" max="11" width="31.8518518518519" style="2" customWidth="1"/>
    <col min="12" max="12" width="33.1388888888889" style="2" customWidth="1"/>
    <col min="13" max="13" width="47.287037037037" style="2" customWidth="1"/>
    <col min="14" max="14" width="48.712962962963" style="2" customWidth="1"/>
    <col min="15" max="15" width="50.712962962963" style="2" customWidth="1"/>
    <col min="16" max="16" width="22.287037037037" style="2" customWidth="1"/>
    <col min="17" max="17" width="17.287037037037" style="2" hidden="1" customWidth="1"/>
    <col min="18" max="18" width="27.8518518518519" style="2" hidden="1" customWidth="1"/>
    <col min="19" max="19" width="22.4259259259259" style="2" hidden="1" customWidth="1"/>
    <col min="20" max="20" width="30.712962962963" style="2" hidden="1" customWidth="1"/>
    <col min="21" max="21" width="26.1388888888889" style="2" hidden="1" customWidth="1"/>
    <col min="22" max="22" width="37.8518518518519" style="2" hidden="1" customWidth="1"/>
    <col min="23" max="23" width="42.287037037037" style="2" hidden="1" customWidth="1"/>
    <col min="24" max="24" width="37.8518518518519" style="2" hidden="1" customWidth="1"/>
    <col min="25" max="25" width="39.1388888888889" style="2" hidden="1" customWidth="1"/>
    <col min="26" max="26" width="43.712962962963" style="2" hidden="1" customWidth="1"/>
    <col min="27" max="27" width="39.1388888888889" style="2" hidden="1" customWidth="1"/>
    <col min="28" max="28" width="29.1388888888889" style="2" hidden="1" customWidth="1"/>
    <col min="29" max="29" width="43.8518518518519" style="2" hidden="1" customWidth="1"/>
    <col min="30" max="30" width="33.4259259259259" style="2" hidden="1" customWidth="1"/>
    <col min="31" max="31" width="33.4259259259259" style="2" customWidth="1"/>
    <col min="32" max="16384" width="8.85185185185185" style="2"/>
  </cols>
  <sheetData>
    <row r="2" customFormat="1" ht="35.1" customHeight="1" spans="2:31">
      <c r="B2" s="4" t="s">
        <v>1327</v>
      </c>
      <c r="C2" s="4"/>
      <c r="D2" s="4"/>
      <c r="E2" s="4"/>
      <c r="F2" s="4"/>
      <c r="G2" s="4"/>
      <c r="H2" s="4"/>
      <c r="I2" s="4"/>
      <c r="J2" s="4"/>
      <c r="K2" s="4"/>
      <c r="L2" s="4"/>
      <c r="M2" s="4"/>
      <c r="N2" s="4"/>
      <c r="O2" s="4"/>
      <c r="P2" s="4"/>
      <c r="Q2" s="5"/>
      <c r="R2" s="5"/>
      <c r="S2" s="5"/>
      <c r="T2" s="5"/>
      <c r="U2" s="5"/>
      <c r="V2" s="5"/>
      <c r="W2" s="5"/>
      <c r="X2" s="5"/>
      <c r="Y2" s="5"/>
      <c r="Z2" s="5"/>
      <c r="AA2" s="5"/>
      <c r="AB2" s="5"/>
      <c r="AC2" s="5"/>
      <c r="AD2" s="5"/>
      <c r="AE2" s="5"/>
    </row>
    <row r="3" customFormat="1" ht="29.1" customHeight="1" spans="2:31">
      <c r="B3" s="6" t="s">
        <v>46</v>
      </c>
      <c r="C3" s="7" t="s">
        <v>1346</v>
      </c>
      <c r="D3" s="8" t="s">
        <v>72</v>
      </c>
      <c r="E3" s="9" t="s">
        <v>74</v>
      </c>
      <c r="F3" s="9" t="s">
        <v>76</v>
      </c>
      <c r="G3" s="8" t="s">
        <v>78</v>
      </c>
      <c r="H3" s="8" t="s">
        <v>80</v>
      </c>
      <c r="I3" s="8" t="s">
        <v>82</v>
      </c>
      <c r="J3" s="8" t="s">
        <v>84</v>
      </c>
      <c r="K3" s="8" t="s">
        <v>86</v>
      </c>
      <c r="L3" s="8" t="s">
        <v>88</v>
      </c>
      <c r="M3" s="8" t="s">
        <v>90</v>
      </c>
      <c r="N3" s="8" t="s">
        <v>92</v>
      </c>
      <c r="O3" s="8" t="s">
        <v>94</v>
      </c>
      <c r="P3" s="10" t="s">
        <v>1347</v>
      </c>
      <c r="Q3" s="8" t="s">
        <v>96</v>
      </c>
      <c r="R3" s="8" t="s">
        <v>98</v>
      </c>
      <c r="S3" s="8" t="s">
        <v>100</v>
      </c>
      <c r="T3" s="8" t="s">
        <v>169</v>
      </c>
      <c r="U3" s="11" t="s">
        <v>1348</v>
      </c>
      <c r="V3" s="8" t="s">
        <v>104</v>
      </c>
      <c r="W3" s="8" t="s">
        <v>106</v>
      </c>
      <c r="X3" s="8" t="s">
        <v>108</v>
      </c>
      <c r="Y3" s="8" t="s">
        <v>110</v>
      </c>
      <c r="Z3" s="8" t="s">
        <v>112</v>
      </c>
      <c r="AA3" s="8" t="s">
        <v>114</v>
      </c>
      <c r="AB3" s="8" t="s">
        <v>116</v>
      </c>
      <c r="AC3" s="8" t="s">
        <v>118</v>
      </c>
      <c r="AD3" s="12" t="s">
        <v>171</v>
      </c>
      <c r="AE3" s="12" t="s">
        <v>172</v>
      </c>
    </row>
    <row r="4" spans="2:31">
      <c r="B4" s="13" t="s">
        <v>133</v>
      </c>
      <c r="C4" s="3" cm="1">
        <f t="array" ref="C4">_xlfn.STDEV.S(IF('Fractional-Calorimetry-Data'!$B$4:$B$2948=B4,IF('Fractional-Calorimetry-Data'!$J$4:$J2853=100,'Fractional-Calorimetry-Data'!$BE$4:$BE$2948)))</f>
        <v>0.0760023243843717</v>
      </c>
      <c r="D4" s="3" cm="1">
        <f t="array" ref="D4">_xlfn.STDEV.S(IF('Fractional-Calorimetry-Data'!$B$4:$B$2948=$B4,IF('Fractional-Calorimetry-Data'!$J$4:$J$2853=100,'Fractional-Calorimetry-Data'!R$4:R$2948)))</f>
        <v>3.15099056559307</v>
      </c>
      <c r="E4" s="3" cm="1">
        <f t="array" ref="E4">_xlfn.STDEV.S(IF('Fractional-Calorimetry-Data'!$B$4:$B$2948=$B4,IF('Fractional-Calorimetry-Data'!$J$4:$J$2853=100,'Fractional-Calorimetry-Data'!S$4:S$2948)))</f>
        <v>0.0109711595554591</v>
      </c>
      <c r="F4" s="3" cm="1">
        <f t="array" ref="F4">_xlfn.STDEV.S(IF('Fractional-Calorimetry-Data'!$B$4:$B$2948=$B4,IF('Fractional-Calorimetry-Data'!$J$4:$J$2853=100,'Fractional-Calorimetry-Data'!T$4:T$2948)))</f>
        <v>2.87433920382643</v>
      </c>
      <c r="G4" s="3" cm="1">
        <f t="array" ref="G4">_xlfn.STDEV.S(IF('Fractional-Calorimetry-Data'!$B$4:$B$2948=$B4,IF('Fractional-Calorimetry-Data'!$J$4:$J$2853=100,'Fractional-Calorimetry-Data'!U$4:U$2948)))</f>
        <v>3.25046740927081</v>
      </c>
      <c r="H4" s="3" cm="1">
        <f t="array" ref="H4">_xlfn.STDEV.S(IF('Fractional-Calorimetry-Data'!$B$4:$B$2948=$B4,IF('Fractional-Calorimetry-Data'!$J$4:$J$2853=100,'Fractional-Calorimetry-Data'!V$4:V$2948)))</f>
        <v>5.08290912780539</v>
      </c>
      <c r="I4" s="3" cm="1">
        <f t="array" ref="I4">_xlfn.STDEV.S(IF('Fractional-Calorimetry-Data'!$B$4:$B$2948=$B4,IF('Fractional-Calorimetry-Data'!$J$4:$J$2853=100,'Fractional-Calorimetry-Data'!W$4:W$2948)))</f>
        <v>15.6033017339782</v>
      </c>
      <c r="J4" s="3" cm="1">
        <f t="array" ref="J4">_xlfn.STDEV.S(IF('Fractional-Calorimetry-Data'!$B$4:$B$2948=$B4,IF('Fractional-Calorimetry-Data'!$J$4:$J$2853=100,'Fractional-Calorimetry-Data'!X$4:X$2948)))</f>
        <v>16.9343956460301</v>
      </c>
      <c r="K4" s="3" cm="1">
        <f t="array" ref="K4">_xlfn.STDEV.S(IF('Fractional-Calorimetry-Data'!$B$4:$B$2948=$B4,IF('Fractional-Calorimetry-Data'!$J$4:$J$2853=100,'Fractional-Calorimetry-Data'!Y$4:Y$2948)))</f>
        <v>8.77756699921972</v>
      </c>
      <c r="L4" s="3" cm="1">
        <f t="array" ref="L4">_xlfn.STDEV.S(IF('Fractional-Calorimetry-Data'!$B$4:$B$2948=$B4,IF('Fractional-Calorimetry-Data'!$J$4:$J$2853=100,'Fractional-Calorimetry-Data'!Z$4:Z$2948)))</f>
        <v>25.3608921473608</v>
      </c>
      <c r="M4" s="3" cm="1">
        <f t="array" ref="M4">_xlfn.STDEV.S(IF('Fractional-Calorimetry-Data'!$B$4:$B$2948=$B4,IF('Fractional-Calorimetry-Data'!$J$4:$J$2853=100,'Fractional-Calorimetry-Data'!AA$4:AA$2948)))</f>
        <v>27.4834779768939</v>
      </c>
      <c r="N4" s="3" cm="1">
        <f t="array" ref="N4">_xlfn.STDEV.S(IF('Fractional-Calorimetry-Data'!$B$4:$B$2948=$B4,IF('Fractional-Calorimetry-Data'!$J$4:$J$2853=100,'Fractional-Calorimetry-Data'!AB$4:AB$2948)))</f>
        <v>0.94812819354871</v>
      </c>
      <c r="O4" s="3" cm="1">
        <f t="array" ref="O4">_xlfn.STDEV.S(IF('Fractional-Calorimetry-Data'!$B$4:$B$2948=$B4,IF('Fractional-Calorimetry-Data'!$J$4:$J$2853=100,'Fractional-Calorimetry-Data'!AC$4:AC$2948)))</f>
        <v>0.63978548578487</v>
      </c>
      <c r="P4" s="3" cm="1">
        <f t="array" ref="P4">_xlfn.STDEV.S(IF('Fractional-Calorimetry-Data'!$B$4:$B$2948=$B4,IF('Fractional-Calorimetry-Data'!$J$4:$J$2853=100,'Fractional-Calorimetry-Data'!BN$4:BN$2948)))</f>
        <v>1.2282190184138</v>
      </c>
      <c r="Q4" s="3" cm="1">
        <f t="array" ref="Q4">_xlfn.STDEV.S(IF('Fractional-Calorimetry-Data'!$B$4:$B$2948=$B4,IF('Fractional-Calorimetry-Data'!$J$4:$J$2853=100,'Fractional-Calorimetry-Data'!AG$4:AG$2948)))</f>
        <v>212.938002294331</v>
      </c>
      <c r="R4" s="3" cm="1">
        <f t="array" ref="R4">_xlfn.STDEV.S(IF('Fractional-Calorimetry-Data'!$B$4:$B$2948=$B4,IF('Fractional-Calorimetry-Data'!$J$4:$J$2853=100,'Fractional-Calorimetry-Data'!AH$4:AH$2948)))</f>
        <v>15.7241322384077</v>
      </c>
      <c r="S4" s="3" cm="1">
        <f t="array" ref="S4">_xlfn.STDEV.S(IF('Fractional-Calorimetry-Data'!$B$4:$B$2948=$B4,IF('Fractional-Calorimetry-Data'!$J$4:$J$2853=100,'Fractional-Calorimetry-Data'!AI$4:AI$2948)))</f>
        <v>24.8331496176191</v>
      </c>
      <c r="T4" s="3" cm="1">
        <f t="array" ref="T4">_xlfn.STDEV.S(IF('Fractional-Calorimetry-Data'!$B$4:$B$2948=$B4,IF('Fractional-Calorimetry-Data'!$J$4:$J$2853=100,'Fractional-Calorimetry-Data'!AJ$4:AJ$2948)))</f>
        <v>52.064681412308</v>
      </c>
      <c r="U4" s="3" cm="1">
        <f t="array" ref="U4">_xlfn.STDEV.S(IF('Fractional-Calorimetry-Data'!$B$4:$B$2948=$B4,IF('Fractional-Calorimetry-Data'!$J$4:$J$2853=100,'Fractional-Calorimetry-Data'!AK$4:AK$2948)))</f>
        <v>39.6937990900244</v>
      </c>
      <c r="V4" s="3" cm="1">
        <f t="array" ref="V4">_xlfn.STDEV.S(IF('Fractional-Calorimetry-Data'!$B$4:$B$2948=$B4,IF('Fractional-Calorimetry-Data'!$J$4:$J$2853=100,'Fractional-Calorimetry-Data'!AL$4:AL$2948)))</f>
        <v>4.34187173960016</v>
      </c>
      <c r="W4" s="3" cm="1">
        <f t="array" ref="W4">_xlfn.STDEV.S(IF('Fractional-Calorimetry-Data'!$B$4:$B$2948=$B4,IF('Fractional-Calorimetry-Data'!$J$4:$J$2853=100,'Fractional-Calorimetry-Data'!AM$4:AM$2948)))</f>
        <v>2.84740284559981</v>
      </c>
      <c r="X4" s="3" cm="1">
        <f t="array" ref="X4">_xlfn.STDEV.S(IF('Fractional-Calorimetry-Data'!$B$4:$B$2948=$B4,IF('Fractional-Calorimetry-Data'!$J$4:$J$2853=100,'Fractional-Calorimetry-Data'!AN$4:AN$2948)))</f>
        <v>3.14246908574957</v>
      </c>
      <c r="Y4" s="3" cm="1">
        <f t="array" ref="Y4">_xlfn.STDEV.S(IF('Fractional-Calorimetry-Data'!$B$4:$B$2948=$B4,IF('Fractional-Calorimetry-Data'!$J$4:$J$2853=100,'Fractional-Calorimetry-Data'!AO$4:AO$2948)))</f>
        <v>1.63454041498677</v>
      </c>
      <c r="Z4" s="3" cm="1">
        <f t="array" ref="Z4">_xlfn.STDEV.S(IF('Fractional-Calorimetry-Data'!$B$4:$B$2948=$B4,IF('Fractional-Calorimetry-Data'!$J$4:$J$2853=100,'Fractional-Calorimetry-Data'!AP$4:AP$2948)))</f>
        <v>1.72931441333644</v>
      </c>
      <c r="AA4" s="3" cm="1">
        <f t="array" ref="AA4">_xlfn.STDEV.S(IF('Fractional-Calorimetry-Data'!$B$4:$B$2948=$B4,IF('Fractional-Calorimetry-Data'!$J$4:$J$2853=100,'Fractional-Calorimetry-Data'!AQ$4:AQ$2948)))</f>
        <v>3.54257227668251</v>
      </c>
      <c r="AB4" s="3" cm="1">
        <f t="array" ref="AB4">_xlfn.STDEV.S(IF('Fractional-Calorimetry-Data'!$B$4:$B$2948=$B4,IF('Fractional-Calorimetry-Data'!$J$4:$J$2853=100,'Fractional-Calorimetry-Data'!AR$4:AR$2948)))</f>
        <v>1.21156241680121</v>
      </c>
      <c r="AC4" s="3" cm="1">
        <f t="array" ref="AC4">_xlfn.STDEV.S(IF('Fractional-Calorimetry-Data'!$B$4:$B$2948=$B4,IF('Fractional-Calorimetry-Data'!$J$4:$J$2853=100,'Fractional-Calorimetry-Data'!AS$4:AS$2948)))</f>
        <v>2.78966287335013</v>
      </c>
      <c r="AD4" s="3" cm="1">
        <f t="array" ref="AD4">_xlfn.STDEV.S(IF('Fractional-Calorimetry-Data'!$B$4:$B$2948=$B4,IF('Fractional-Calorimetry-Data'!$J$4:$J$2853=100,'Fractional-Calorimetry-Data'!AT$4:AT$2948)))</f>
        <v>4.5141686031593</v>
      </c>
      <c r="AE4" s="3" cm="1">
        <f t="array" ref="AE4">_xlfn.STDEV.S(IF('Fractional-Calorimetry-Data'!$B$4:$B$2948=$B4,IF('Fractional-Calorimetry-Data'!$J$4:$J$2853=100,'Fractional-Calorimetry-Data'!AU$4:AU$2948)))</f>
        <v>9.30875404741578</v>
      </c>
    </row>
    <row r="5" spans="2:31">
      <c r="B5" s="13" t="s">
        <v>136</v>
      </c>
      <c r="C5" s="3" cm="1">
        <f t="array" ref="C5">_xlfn.STDEV.S(IF('Fractional-Calorimetry-Data'!$B$4:$B$2948=B5,IF('Fractional-Calorimetry-Data'!$J$4:$J2854=100,'Fractional-Calorimetry-Data'!$BE$4:$BE$2948)))</f>
        <v>0.127550205217485</v>
      </c>
      <c r="D5" s="3" cm="1">
        <f t="array" ref="D5">_xlfn.STDEV.S(IF('Fractional-Calorimetry-Data'!$B$4:$B$2948=$B5,IF('Fractional-Calorimetry-Data'!$J$4:$J$2853=100,'Fractional-Calorimetry-Data'!R$4:R$2948)))</f>
        <v>7.95910308825442</v>
      </c>
      <c r="E5" s="3" cm="1">
        <f t="array" ref="E5">_xlfn.STDEV.S(IF('Fractional-Calorimetry-Data'!$B$4:$B$2948=$B5,IF('Fractional-Calorimetry-Data'!$J$4:$J$2853=100,'Fractional-Calorimetry-Data'!S$4:S$2948)))</f>
        <v>0.00924765518587182</v>
      </c>
      <c r="F5" s="3" cm="1">
        <f t="array" ref="F5">_xlfn.STDEV.S(IF('Fractional-Calorimetry-Data'!$B$4:$B$2948=$B5,IF('Fractional-Calorimetry-Data'!$J$4:$J$2853=100,'Fractional-Calorimetry-Data'!T$4:T$2948)))</f>
        <v>7.26390770516676</v>
      </c>
      <c r="G5" s="3" cm="1">
        <f t="array" ref="G5">_xlfn.STDEV.S(IF('Fractional-Calorimetry-Data'!$B$4:$B$2948=$B5,IF('Fractional-Calorimetry-Data'!$J$4:$J$2853=100,'Fractional-Calorimetry-Data'!U$4:U$2948)))</f>
        <v>8.26525329809301</v>
      </c>
      <c r="H5" s="3" cm="1">
        <f t="array" ref="H5">_xlfn.STDEV.S(IF('Fractional-Calorimetry-Data'!$B$4:$B$2948=$B5,IF('Fractional-Calorimetry-Data'!$J$4:$J$2853=100,'Fractional-Calorimetry-Data'!V$4:V$2948)))</f>
        <v>4.55362473078893</v>
      </c>
      <c r="I5" s="3" cm="1">
        <f t="array" ref="I5">_xlfn.STDEV.S(IF('Fractional-Calorimetry-Data'!$B$4:$B$2948=$B5,IF('Fractional-Calorimetry-Data'!$J$4:$J$2853=100,'Fractional-Calorimetry-Data'!W$4:W$2948)))</f>
        <v>14.5151270192046</v>
      </c>
      <c r="J5" s="3" cm="1">
        <f t="array" ref="J5">_xlfn.STDEV.S(IF('Fractional-Calorimetry-Data'!$B$4:$B$2948=$B5,IF('Fractional-Calorimetry-Data'!$J$4:$J$2853=100,'Fractional-Calorimetry-Data'!X$4:X$2948)))</f>
        <v>15.7595091421343</v>
      </c>
      <c r="K5" s="3" cm="1">
        <f t="array" ref="K5">_xlfn.STDEV.S(IF('Fractional-Calorimetry-Data'!$B$4:$B$2948=$B5,IF('Fractional-Calorimetry-Data'!$J$4:$J$2853=100,'Fractional-Calorimetry-Data'!Y$4:Y$2948)))</f>
        <v>5.97970635402598</v>
      </c>
      <c r="L5" s="3" cm="1">
        <f t="array" ref="L5">_xlfn.STDEV.S(IF('Fractional-Calorimetry-Data'!$B$4:$B$2948=$B5,IF('Fractional-Calorimetry-Data'!$J$4:$J$2853=100,'Fractional-Calorimetry-Data'!Z$4:Z$2948)))</f>
        <v>15.2685962036868</v>
      </c>
      <c r="M5" s="3" cm="1">
        <f t="array" ref="M5">_xlfn.STDEV.S(IF('Fractional-Calorimetry-Data'!$B$4:$B$2948=$B5,IF('Fractional-Calorimetry-Data'!$J$4:$J$2853=100,'Fractional-Calorimetry-Data'!AA$4:AA$2948)))</f>
        <v>16.8707365184599</v>
      </c>
      <c r="N5" s="3" cm="1">
        <f t="array" ref="N5">_xlfn.STDEV.S(IF('Fractional-Calorimetry-Data'!$B$4:$B$2948=$B5,IF('Fractional-Calorimetry-Data'!$J$4:$J$2853=100,'Fractional-Calorimetry-Data'!AB$4:AB$2948)))</f>
        <v>1.83855046392848</v>
      </c>
      <c r="O5" s="3" cm="1">
        <f t="array" ref="O5">_xlfn.STDEV.S(IF('Fractional-Calorimetry-Data'!$B$4:$B$2948=$B5,IF('Fractional-Calorimetry-Data'!$J$4:$J$2853=100,'Fractional-Calorimetry-Data'!AC$4:AC$2948)))</f>
        <v>1.0476402297526</v>
      </c>
      <c r="P5" s="3" cm="1">
        <f t="array" ref="P5">_xlfn.STDEV.S(IF('Fractional-Calorimetry-Data'!$B$4:$B$2948=$B5,IF('Fractional-Calorimetry-Data'!$J$4:$J$2853=100,'Fractional-Calorimetry-Data'!BN$4:BN$2948)))</f>
        <v>1.5911973921056</v>
      </c>
      <c r="Q5" s="3" cm="1">
        <f t="array" ref="Q5">_xlfn.STDEV.S(IF('Fractional-Calorimetry-Data'!$B$4:$B$2948=$B5,IF('Fractional-Calorimetry-Data'!$J$4:$J$2853=100,'Fractional-Calorimetry-Data'!AG$4:AG$2948)))</f>
        <v>103.597409841613</v>
      </c>
      <c r="R5" s="3" cm="1">
        <f t="array" ref="R5">_xlfn.STDEV.S(IF('Fractional-Calorimetry-Data'!$B$4:$B$2948=$B5,IF('Fractional-Calorimetry-Data'!$J$4:$J$2853=100,'Fractional-Calorimetry-Data'!AH$4:AH$2948)))</f>
        <v>79.1215836504569</v>
      </c>
      <c r="S5" s="3" cm="1">
        <f t="array" ref="S5">_xlfn.STDEV.S(IF('Fractional-Calorimetry-Data'!$B$4:$B$2948=$B5,IF('Fractional-Calorimetry-Data'!$J$4:$J$2853=100,'Fractional-Calorimetry-Data'!AI$4:AI$2948)))</f>
        <v>22.2176725378447</v>
      </c>
      <c r="T5" s="3" cm="1">
        <f t="array" ref="T5">_xlfn.STDEV.S(IF('Fractional-Calorimetry-Data'!$B$4:$B$2948=$B5,IF('Fractional-Calorimetry-Data'!$J$4:$J$2853=100,'Fractional-Calorimetry-Data'!AJ$4:AJ$2948)))</f>
        <v>49.9050896387576</v>
      </c>
      <c r="U5" s="3" cm="1">
        <f t="array" ref="U5">_xlfn.STDEV.S(IF('Fractional-Calorimetry-Data'!$B$4:$B$2948=$B5,IF('Fractional-Calorimetry-Data'!$J$4:$J$2853=100,'Fractional-Calorimetry-Data'!AK$4:AK$2948)))</f>
        <v>52.0969045373142</v>
      </c>
      <c r="V5" s="3" cm="1">
        <f t="array" ref="V5">_xlfn.STDEV.S(IF('Fractional-Calorimetry-Data'!$B$4:$B$2948=$B5,IF('Fractional-Calorimetry-Data'!$J$4:$J$2853=100,'Fractional-Calorimetry-Data'!AL$4:AL$2948)))</f>
        <v>4.34141344595828</v>
      </c>
      <c r="W5" s="3" cm="1">
        <f t="array" ref="W5">_xlfn.STDEV.S(IF('Fractional-Calorimetry-Data'!$B$4:$B$2948=$B5,IF('Fractional-Calorimetry-Data'!$J$4:$J$2853=100,'Fractional-Calorimetry-Data'!AM$4:AM$2948)))</f>
        <v>1.4887639419037</v>
      </c>
      <c r="X5" s="3" cm="1">
        <f t="array" ref="X5">_xlfn.STDEV.S(IF('Fractional-Calorimetry-Data'!$B$4:$B$2948=$B5,IF('Fractional-Calorimetry-Data'!$J$4:$J$2853=100,'Fractional-Calorimetry-Data'!AN$4:AN$2948)))</f>
        <v>2.66992391406507</v>
      </c>
      <c r="Y5" s="3" cm="1">
        <f t="array" ref="Y5">_xlfn.STDEV.S(IF('Fractional-Calorimetry-Data'!$B$4:$B$2948=$B5,IF('Fractional-Calorimetry-Data'!$J$4:$J$2853=100,'Fractional-Calorimetry-Data'!AO$4:AO$2948)))</f>
        <v>0.914324133275314</v>
      </c>
      <c r="Z5" s="3" cm="1">
        <f t="array" ref="Z5">_xlfn.STDEV.S(IF('Fractional-Calorimetry-Data'!$B$4:$B$2948=$B5,IF('Fractional-Calorimetry-Data'!$J$4:$J$2853=100,'Fractional-Calorimetry-Data'!AP$4:AP$2948)))</f>
        <v>1.70477090197771</v>
      </c>
      <c r="AA5" s="3" cm="1">
        <f t="array" ref="AA5">_xlfn.STDEV.S(IF('Fractional-Calorimetry-Data'!$B$4:$B$2948=$B5,IF('Fractional-Calorimetry-Data'!$J$4:$J$2853=100,'Fractional-Calorimetry-Data'!AQ$4:AQ$2948)))</f>
        <v>3.22079401030136</v>
      </c>
      <c r="AB5" s="3" cm="1">
        <f t="array" ref="AB5">_xlfn.STDEV.S(IF('Fractional-Calorimetry-Data'!$B$4:$B$2948=$B5,IF('Fractional-Calorimetry-Data'!$J$4:$J$2853=100,'Fractional-Calorimetry-Data'!AR$4:AR$2948)))</f>
        <v>0.99291513395148</v>
      </c>
      <c r="AC5" s="3" cm="1">
        <f t="array" ref="AC5">_xlfn.STDEV.S(IF('Fractional-Calorimetry-Data'!$B$4:$B$2948=$B5,IF('Fractional-Calorimetry-Data'!$J$4:$J$2853=100,'Fractional-Calorimetry-Data'!AS$4:AS$2948)))</f>
        <v>3.97870215048957</v>
      </c>
      <c r="AD5" s="3" cm="1">
        <f t="array" ref="AD5">_xlfn.STDEV.S(IF('Fractional-Calorimetry-Data'!$B$4:$B$2948=$B5,IF('Fractional-Calorimetry-Data'!$J$4:$J$2853=100,'Fractional-Calorimetry-Data'!AT$4:AT$2948)))</f>
        <v>4.46316921492143</v>
      </c>
      <c r="AE5" s="3" cm="1">
        <f t="array" ref="AE5">_xlfn.STDEV.S(IF('Fractional-Calorimetry-Data'!$B$4:$B$2948=$B5,IF('Fractional-Calorimetry-Data'!$J$4:$J$2853=100,'Fractional-Calorimetry-Data'!AU$4:AU$2948)))</f>
        <v>6.07957119528572</v>
      </c>
    </row>
    <row r="6" spans="2:31">
      <c r="B6" s="14" t="s">
        <v>140</v>
      </c>
      <c r="C6" s="3" cm="1">
        <f t="array" ref="C6">_xlfn.STDEV.S(IF('Fractional-Calorimetry-Data'!$B$4:$B$2948=B6,IF('Fractional-Calorimetry-Data'!$J$4:$J2861=100,'Fractional-Calorimetry-Data'!$BE$4:$BE$2948)))</f>
        <v>0.185040325099</v>
      </c>
      <c r="D6" s="3" cm="1">
        <f t="array" ref="D6">_xlfn.STDEV.S(IF('Fractional-Calorimetry-Data'!$B$4:$B$2948=$B6,IF('Fractional-Calorimetry-Data'!$J$4:$J$2853=100,'Fractional-Calorimetry-Data'!R$4:R$2948)))</f>
        <v>7.00730626414333</v>
      </c>
      <c r="E6" s="3" cm="1">
        <f t="array" ref="E6">_xlfn.STDEV.S(IF('Fractional-Calorimetry-Data'!$B$4:$B$2948=$B6,IF('Fractional-Calorimetry-Data'!$J$4:$J$2853=100,'Fractional-Calorimetry-Data'!S$4:S$2948)))</f>
        <v>0.0117825536887625</v>
      </c>
      <c r="F6" s="3" cm="1">
        <f t="array" ref="F6">_xlfn.STDEV.S(IF('Fractional-Calorimetry-Data'!$B$4:$B$2948=$B6,IF('Fractional-Calorimetry-Data'!$J$4:$J$2853=100,'Fractional-Calorimetry-Data'!T$4:T$2948)))</f>
        <v>7.01620750948919</v>
      </c>
      <c r="G6" s="3" cm="1">
        <f t="array" ref="G6">_xlfn.STDEV.S(IF('Fractional-Calorimetry-Data'!$B$4:$B$2948=$B6,IF('Fractional-Calorimetry-Data'!$J$4:$J$2853=100,'Fractional-Calorimetry-Data'!U$4:U$2948)))</f>
        <v>8.4600436635263</v>
      </c>
      <c r="H6" s="3" cm="1">
        <f t="array" ref="H6">_xlfn.STDEV.S(IF('Fractional-Calorimetry-Data'!$B$4:$B$2948=$B6,IF('Fractional-Calorimetry-Data'!$J$4:$J$2853=100,'Fractional-Calorimetry-Data'!V$4:V$2948)))</f>
        <v>5.24569670662681</v>
      </c>
      <c r="I6" s="3" cm="1">
        <f t="array" ref="I6">_xlfn.STDEV.S(IF('Fractional-Calorimetry-Data'!$B$4:$B$2948=$B6,IF('Fractional-Calorimetry-Data'!$J$4:$J$2853=100,'Fractional-Calorimetry-Data'!W$4:W$2948)))</f>
        <v>14.1676752727519</v>
      </c>
      <c r="J6" s="3" cm="1">
        <f t="array" ref="J6">_xlfn.STDEV.S(IF('Fractional-Calorimetry-Data'!$B$4:$B$2948=$B6,IF('Fractional-Calorimetry-Data'!$J$4:$J$2853=100,'Fractional-Calorimetry-Data'!X$4:X$2948)))</f>
        <v>5.66581989520109</v>
      </c>
      <c r="K6" s="3" cm="1">
        <f t="array" ref="K6">_xlfn.STDEV.S(IF('Fractional-Calorimetry-Data'!$B$4:$B$2948=$B6,IF('Fractional-Calorimetry-Data'!$J$4:$J$2853=100,'Fractional-Calorimetry-Data'!Y$4:Y$2948)))</f>
        <v>6.14888189630156</v>
      </c>
      <c r="L6" s="3" cm="1">
        <f t="array" ref="L6">_xlfn.STDEV.S(IF('Fractional-Calorimetry-Data'!$B$4:$B$2948=$B6,IF('Fractional-Calorimetry-Data'!$J$4:$J$2853=100,'Fractional-Calorimetry-Data'!Z$4:Z$2948)))</f>
        <v>12.4132391884928</v>
      </c>
      <c r="M6" s="3" cm="1">
        <f t="array" ref="M6">_xlfn.STDEV.S(IF('Fractional-Calorimetry-Data'!$B$4:$B$2948=$B6,IF('Fractional-Calorimetry-Data'!$J$4:$J$2853=100,'Fractional-Calorimetry-Data'!AA$4:AA$2948)))</f>
        <v>7.49215623583787</v>
      </c>
      <c r="N6" s="3" cm="1">
        <f t="array" ref="N6">_xlfn.STDEV.S(IF('Fractional-Calorimetry-Data'!$B$4:$B$2948=$B6,IF('Fractional-Calorimetry-Data'!$J$4:$J$2853=100,'Fractional-Calorimetry-Data'!AB$4:AB$2948)))</f>
        <v>3.1930530485975</v>
      </c>
      <c r="O6" s="3" cm="1">
        <f t="array" ref="O6">_xlfn.STDEV.S(IF('Fractional-Calorimetry-Data'!$B$4:$B$2948=$B6,IF('Fractional-Calorimetry-Data'!$J$4:$J$2853=100,'Fractional-Calorimetry-Data'!AC$4:AC$2948)))</f>
        <v>0.316590688248259</v>
      </c>
      <c r="P6" s="3" cm="1">
        <f t="array" ref="P6">_xlfn.STDEV.S(IF('Fractional-Calorimetry-Data'!$B$4:$B$2948=$B6,IF('Fractional-Calorimetry-Data'!$J$4:$J$2853=100,'Fractional-Calorimetry-Data'!BN$4:BN$2948)))</f>
        <v>0.486682063241894</v>
      </c>
      <c r="Q6" s="3" cm="1">
        <f t="array" ref="Q6">_xlfn.STDEV.S(IF('Fractional-Calorimetry-Data'!$B$4:$B$2948=$B6,IF('Fractional-Calorimetry-Data'!$J$4:$J$2853=100,'Fractional-Calorimetry-Data'!AG$4:AG$2948)))</f>
        <v>47.0653831322613</v>
      </c>
      <c r="R6" s="3" cm="1">
        <f t="array" ref="R6">_xlfn.STDEV.S(IF('Fractional-Calorimetry-Data'!$B$4:$B$2948=$B6,IF('Fractional-Calorimetry-Data'!$J$4:$J$2853=100,'Fractional-Calorimetry-Data'!AH$4:AH$2948)))</f>
        <v>7.09917686162337</v>
      </c>
      <c r="S6" s="3" cm="1">
        <f t="array" ref="S6">_xlfn.STDEV.S(IF('Fractional-Calorimetry-Data'!$B$4:$B$2948=$B6,IF('Fractional-Calorimetry-Data'!$J$4:$J$2853=100,'Fractional-Calorimetry-Data'!AI$4:AI$2948)))</f>
        <v>5.5059621643693</v>
      </c>
      <c r="T6" s="3" cm="1">
        <f t="array" ref="T6">_xlfn.STDEV.S(IF('Fractional-Calorimetry-Data'!$B$4:$B$2948=$B6,IF('Fractional-Calorimetry-Data'!$J$4:$J$2853=100,'Fractional-Calorimetry-Data'!AJ$4:AJ$2948)))</f>
        <v>0</v>
      </c>
      <c r="U6" s="3" cm="1">
        <f t="array" ref="U6">_xlfn.STDEV.S(IF('Fractional-Calorimetry-Data'!$B$4:$B$2948=$B6,IF('Fractional-Calorimetry-Data'!$J$4:$J$2853=100,'Fractional-Calorimetry-Data'!AK$4:AK$2948)))</f>
        <v>19.8919002428959</v>
      </c>
      <c r="V6" s="3" cm="1">
        <f t="array" ref="V6">_xlfn.STDEV.S(IF('Fractional-Calorimetry-Data'!$B$4:$B$2948=$B6,IF('Fractional-Calorimetry-Data'!$J$4:$J$2853=100,'Fractional-Calorimetry-Data'!AL$4:AL$2948)))</f>
        <v>3.55874349147213</v>
      </c>
      <c r="W6" s="3" cm="1">
        <f t="array" ref="W6">_xlfn.STDEV.S(IF('Fractional-Calorimetry-Data'!$B$4:$B$2948=$B6,IF('Fractional-Calorimetry-Data'!$J$4:$J$2853=100,'Fractional-Calorimetry-Data'!AM$4:AM$2948)))</f>
        <v>3.18836993731011</v>
      </c>
      <c r="X6" s="3" cm="1">
        <f t="array" ref="X6">_xlfn.STDEV.S(IF('Fractional-Calorimetry-Data'!$B$4:$B$2948=$B6,IF('Fractional-Calorimetry-Data'!$J$4:$J$2853=100,'Fractional-Calorimetry-Data'!AN$4:AN$2948)))</f>
        <v>2.7872028989652</v>
      </c>
      <c r="Y6" s="3" cm="1">
        <f t="array" ref="Y6">_xlfn.STDEV.S(IF('Fractional-Calorimetry-Data'!$B$4:$B$2948=$B6,IF('Fractional-Calorimetry-Data'!$J$4:$J$2853=100,'Fractional-Calorimetry-Data'!AO$4:AO$2948)))</f>
        <v>1.63867629506257</v>
      </c>
      <c r="Z6" s="3" cm="1">
        <f t="array" ref="Z6">_xlfn.STDEV.S(IF('Fractional-Calorimetry-Data'!$B$4:$B$2948=$B6,IF('Fractional-Calorimetry-Data'!$J$4:$J$2853=100,'Fractional-Calorimetry-Data'!AP$4:AP$2948)))</f>
        <v>0.39496835316263</v>
      </c>
      <c r="AA6" s="3" cm="1">
        <f t="array" ref="AA6">_xlfn.STDEV.S(IF('Fractional-Calorimetry-Data'!$B$4:$B$2948=$B6,IF('Fractional-Calorimetry-Data'!$J$4:$J$2853=100,'Fractional-Calorimetry-Data'!AQ$4:AQ$2948)))</f>
        <v>0.992735518415559</v>
      </c>
      <c r="AB6" s="3" cm="1">
        <f t="array" ref="AB6">_xlfn.STDEV.S(IF('Fractional-Calorimetry-Data'!$B$4:$B$2948=$B6,IF('Fractional-Calorimetry-Data'!$J$4:$J$2853=100,'Fractional-Calorimetry-Data'!AR$4:AR$2948)))</f>
        <v>0.186955558762988</v>
      </c>
      <c r="AC6" s="3" cm="1">
        <f t="array" ref="AC6">_xlfn.STDEV.S(IF('Fractional-Calorimetry-Data'!$B$4:$B$2948=$B6,IF('Fractional-Calorimetry-Data'!$J$4:$J$2853=100,'Fractional-Calorimetry-Data'!AS$4:AS$2948)))</f>
        <v>1.9818240756098</v>
      </c>
      <c r="AD6" s="3" cm="1">
        <f t="array" ref="AD6">_xlfn.STDEV.S(IF('Fractional-Calorimetry-Data'!$B$4:$B$2948=$B6,IF('Fractional-Calorimetry-Data'!$J$4:$J$2853=100,'Fractional-Calorimetry-Data'!AT$4:AT$2948)))</f>
        <v>3.55874349147213</v>
      </c>
      <c r="AE6" s="3" cm="1">
        <f t="array" ref="AE6">_xlfn.STDEV.S(IF('Fractional-Calorimetry-Data'!$B$4:$B$2948=$B6,IF('Fractional-Calorimetry-Data'!$J$4:$J$2853=100,'Fractional-Calorimetry-Data'!AU$4:AU$2948)))</f>
        <v>7.57179466270665</v>
      </c>
    </row>
    <row r="7" spans="2:31">
      <c r="B7" s="14" t="s">
        <v>144</v>
      </c>
      <c r="C7" s="3" cm="1">
        <f t="array" ref="C7">_xlfn.STDEV.S(IF('Fractional-Calorimetry-Data'!$B$4:$B$2948=B7,IF('Fractional-Calorimetry-Data'!$J$4:$J2863=100,'Fractional-Calorimetry-Data'!$BE$4:$BE$2948)))</f>
        <v>0.192807873609782</v>
      </c>
      <c r="D7" s="3" cm="1">
        <f t="array" ref="D7">_xlfn.STDEV.S(IF('Fractional-Calorimetry-Data'!$B$4:$B$2948=$B7,IF('Fractional-Calorimetry-Data'!$J$4:$J$2853=100,'Fractional-Calorimetry-Data'!R$4:R$2948)))</f>
        <v>12.5548249850116</v>
      </c>
      <c r="E7" s="3" cm="1">
        <f t="array" ref="E7">_xlfn.STDEV.S(IF('Fractional-Calorimetry-Data'!$B$4:$B$2948=$B7,IF('Fractional-Calorimetry-Data'!$J$4:$J$2853=100,'Fractional-Calorimetry-Data'!S$4:S$2948)))</f>
        <v>0.00918438572668147</v>
      </c>
      <c r="F7" s="3" cm="1">
        <f t="array" ref="F7">_xlfn.STDEV.S(IF('Fractional-Calorimetry-Data'!$B$4:$B$2948=$B7,IF('Fractional-Calorimetry-Data'!$J$4:$J$2853=100,'Fractional-Calorimetry-Data'!T$4:T$2948)))</f>
        <v>11.8767714718131</v>
      </c>
      <c r="G7" s="3" cm="1">
        <f t="array" ref="G7">_xlfn.STDEV.S(IF('Fractional-Calorimetry-Data'!$B$4:$B$2948=$B7,IF('Fractional-Calorimetry-Data'!$J$4:$J$2853=100,'Fractional-Calorimetry-Data'!U$4:U$2948)))</f>
        <v>12.6327718789131</v>
      </c>
      <c r="H7" s="3" cm="1">
        <f t="array" ref="H7">_xlfn.STDEV.S(IF('Fractional-Calorimetry-Data'!$B$4:$B$2948=$B7,IF('Fractional-Calorimetry-Data'!$J$4:$J$2853=100,'Fractional-Calorimetry-Data'!V$4:V$2948)))</f>
        <v>7.67505093045939</v>
      </c>
      <c r="I7" s="3" cm="1">
        <f t="array" ref="I7">_xlfn.STDEV.S(IF('Fractional-Calorimetry-Data'!$B$4:$B$2948=$B7,IF('Fractional-Calorimetry-Data'!$J$4:$J$2853=100,'Fractional-Calorimetry-Data'!W$4:W$2948)))</f>
        <v>30.70304064642</v>
      </c>
      <c r="J7" s="3" cm="1">
        <f t="array" ref="J7">_xlfn.STDEV.S(IF('Fractional-Calorimetry-Data'!$B$4:$B$2948=$B7,IF('Fractional-Calorimetry-Data'!$J$4:$J$2853=100,'Fractional-Calorimetry-Data'!X$4:X$2948)))</f>
        <v>28.3401077510312</v>
      </c>
      <c r="K7" s="3" cm="1">
        <f t="array" ref="K7">_xlfn.STDEV.S(IF('Fractional-Calorimetry-Data'!$B$4:$B$2948=$B7,IF('Fractional-Calorimetry-Data'!$J$4:$J$2853=100,'Fractional-Calorimetry-Data'!Y$4:Y$2948)))</f>
        <v>7.11700893955615</v>
      </c>
      <c r="L7" s="3" cm="1">
        <f t="array" ref="L7">_xlfn.STDEV.S(IF('Fractional-Calorimetry-Data'!$B$4:$B$2948=$B7,IF('Fractional-Calorimetry-Data'!$J$4:$J$2853=100,'Fractional-Calorimetry-Data'!Z$4:Z$2948)))</f>
        <v>27.8917956958543</v>
      </c>
      <c r="M7" s="3" cm="1">
        <f t="array" ref="M7">_xlfn.STDEV.S(IF('Fractional-Calorimetry-Data'!$B$4:$B$2948=$B7,IF('Fractional-Calorimetry-Data'!$J$4:$J$2853=100,'Fractional-Calorimetry-Data'!AA$4:AA$2948)))</f>
        <v>30.1177104498443</v>
      </c>
      <c r="N7" s="3" cm="1">
        <f t="array" ref="N7">_xlfn.STDEV.S(IF('Fractional-Calorimetry-Data'!$B$4:$B$2948=$B7,IF('Fractional-Calorimetry-Data'!$J$4:$J$2853=100,'Fractional-Calorimetry-Data'!AB$4:AB$2948)))</f>
        <v>2.03509758156006</v>
      </c>
      <c r="O7" s="3" cm="1">
        <f t="array" ref="O7">_xlfn.STDEV.S(IF('Fractional-Calorimetry-Data'!$B$4:$B$2948=$B7,IF('Fractional-Calorimetry-Data'!$J$4:$J$2853=100,'Fractional-Calorimetry-Data'!AC$4:AC$2948)))</f>
        <v>1.52919468784846</v>
      </c>
      <c r="P7" s="3" cm="1">
        <f t="array" ref="P7">_xlfn.STDEV.S(IF('Fractional-Calorimetry-Data'!$B$4:$B$2948=$B7,IF('Fractional-Calorimetry-Data'!$J$4:$J$2853=100,'Fractional-Calorimetry-Data'!BN$4:BN$2948)))</f>
        <v>1.74879783229582</v>
      </c>
      <c r="Q7" s="3" cm="1">
        <f t="array" ref="Q7">_xlfn.STDEV.S(IF('Fractional-Calorimetry-Data'!$B$4:$B$2948=$B7,IF('Fractional-Calorimetry-Data'!$J$4:$J$2853=100,'Fractional-Calorimetry-Data'!AG$4:AG$2948)))</f>
        <v>457.335139836863</v>
      </c>
      <c r="R7" s="3" cm="1">
        <f t="array" ref="R7">_xlfn.STDEV.S(IF('Fractional-Calorimetry-Data'!$B$4:$B$2948=$B7,IF('Fractional-Calorimetry-Data'!$J$4:$J$2853=100,'Fractional-Calorimetry-Data'!AH$4:AH$2948)))</f>
        <v>76.3913813255471</v>
      </c>
      <c r="S7" s="3" cm="1">
        <f t="array" ref="S7">_xlfn.STDEV.S(IF('Fractional-Calorimetry-Data'!$B$4:$B$2948=$B7,IF('Fractional-Calorimetry-Data'!$J$4:$J$2853=100,'Fractional-Calorimetry-Data'!AI$4:AI$2948)))</f>
        <v>59.8691082858153</v>
      </c>
      <c r="T7" s="3" cm="1">
        <f t="array" ref="T7">_xlfn.STDEV.S(IF('Fractional-Calorimetry-Data'!$B$4:$B$2948=$B7,IF('Fractional-Calorimetry-Data'!$J$4:$J$2853=100,'Fractional-Calorimetry-Data'!AJ$4:AJ$2948)))</f>
        <v>9.12270533448655</v>
      </c>
      <c r="U7" s="3" cm="1">
        <f t="array" ref="U7">_xlfn.STDEV.S(IF('Fractional-Calorimetry-Data'!$B$4:$B$2948=$B7,IF('Fractional-Calorimetry-Data'!$J$4:$J$2853=100,'Fractional-Calorimetry-Data'!AK$4:AK$2948)))</f>
        <v>102.001564628841</v>
      </c>
      <c r="V7" s="3" cm="1">
        <f t="array" ref="V7">_xlfn.STDEV.S(IF('Fractional-Calorimetry-Data'!$B$4:$B$2948=$B7,IF('Fractional-Calorimetry-Data'!$J$4:$J$2853=100,'Fractional-Calorimetry-Data'!AL$4:AL$2948)))</f>
        <v>6.27343649742487</v>
      </c>
      <c r="W7" s="3" cm="1">
        <f t="array" ref="W7">_xlfn.STDEV.S(IF('Fractional-Calorimetry-Data'!$B$4:$B$2948=$B7,IF('Fractional-Calorimetry-Data'!$J$4:$J$2853=100,'Fractional-Calorimetry-Data'!AM$4:AM$2948)))</f>
        <v>3.37311484712989</v>
      </c>
      <c r="X7" s="3" cm="1">
        <f t="array" ref="X7">_xlfn.STDEV.S(IF('Fractional-Calorimetry-Data'!$B$4:$B$2948=$B7,IF('Fractional-Calorimetry-Data'!$J$4:$J$2853=100,'Fractional-Calorimetry-Data'!AN$4:AN$2948)))</f>
        <v>8.40499522778478</v>
      </c>
      <c r="Y7" s="3" cm="1">
        <f t="array" ref="Y7">_xlfn.STDEV.S(IF('Fractional-Calorimetry-Data'!$B$4:$B$2948=$B7,IF('Fractional-Calorimetry-Data'!$J$4:$J$2853=100,'Fractional-Calorimetry-Data'!AO$4:AO$2948)))</f>
        <v>1.56870655495397</v>
      </c>
      <c r="Z7" s="3" cm="1">
        <f t="array" ref="Z7">_xlfn.STDEV.S(IF('Fractional-Calorimetry-Data'!$B$4:$B$2948=$B7,IF('Fractional-Calorimetry-Data'!$J$4:$J$2853=100,'Fractional-Calorimetry-Data'!AP$4:AP$2948)))</f>
        <v>4.52308335687452</v>
      </c>
      <c r="AA7" s="3" cm="1">
        <f t="array" ref="AA7">_xlfn.STDEV.S(IF('Fractional-Calorimetry-Data'!$B$4:$B$2948=$B7,IF('Fractional-Calorimetry-Data'!$J$4:$J$2853=100,'Fractional-Calorimetry-Data'!AQ$4:AQ$2948)))</f>
        <v>6.20036180868462</v>
      </c>
      <c r="AB7" s="3" cm="1">
        <f t="array" ref="AB7">_xlfn.STDEV.S(IF('Fractional-Calorimetry-Data'!$B$4:$B$2948=$B7,IF('Fractional-Calorimetry-Data'!$J$4:$J$2853=100,'Fractional-Calorimetry-Data'!AR$4:AR$2948)))</f>
        <v>2.03728784786671</v>
      </c>
      <c r="AC7" s="3" cm="1">
        <f t="array" ref="AC7">_xlfn.STDEV.S(IF('Fractional-Calorimetry-Data'!$B$4:$B$2948=$B7,IF('Fractional-Calorimetry-Data'!$J$4:$J$2853=100,'Fractional-Calorimetry-Data'!AS$4:AS$2948)))</f>
        <v>3.38619559905589</v>
      </c>
      <c r="AD7" s="3" cm="1">
        <f t="array" ref="AD7">_xlfn.STDEV.S(IF('Fractional-Calorimetry-Data'!$B$4:$B$2948=$B7,IF('Fractional-Calorimetry-Data'!$J$4:$J$2853=100,'Fractional-Calorimetry-Data'!AT$4:AT$2948)))</f>
        <v>6.24045204541654</v>
      </c>
      <c r="AE7" s="3" cm="1">
        <f t="array" ref="AE7">_xlfn.STDEV.S(IF('Fractional-Calorimetry-Data'!$B$4:$B$2948=$B7,IF('Fractional-Calorimetry-Data'!$J$4:$J$2853=100,'Fractional-Calorimetry-Data'!AU$4:AU$2948)))</f>
        <v>9.15574886201529</v>
      </c>
    </row>
    <row r="8" spans="2:31">
      <c r="B8" s="14" t="s">
        <v>146</v>
      </c>
      <c r="C8" s="3" cm="1">
        <f t="array" ref="C8">_xlfn.STDEV.S(IF('Fractional-Calorimetry-Data'!$B$4:$B$2948=B8,IF('Fractional-Calorimetry-Data'!$J$4:$J2868=100,'Fractional-Calorimetry-Data'!$BE$4:$BE$2948)))</f>
        <v>0.0750296803859432</v>
      </c>
      <c r="D8" s="3" cm="1">
        <f t="array" ref="D8">_xlfn.STDEV.S(IF('Fractional-Calorimetry-Data'!$B$4:$B$2948=$B8,IF('Fractional-Calorimetry-Data'!$J$4:$J$2853=100,'Fractional-Calorimetry-Data'!R$4:R$2948)))</f>
        <v>2.7939953768386</v>
      </c>
      <c r="E8" s="3" cm="1">
        <f t="array" ref="E8">_xlfn.STDEV.S(IF('Fractional-Calorimetry-Data'!$B$4:$B$2948=$B8,IF('Fractional-Calorimetry-Data'!$J$4:$J$2853=100,'Fractional-Calorimetry-Data'!S$4:S$2948)))</f>
        <v>0.00578161838165674</v>
      </c>
      <c r="F8" s="3" cm="1">
        <f t="array" ref="F8">_xlfn.STDEV.S(IF('Fractional-Calorimetry-Data'!$B$4:$B$2948=$B8,IF('Fractional-Calorimetry-Data'!$J$4:$J$2853=100,'Fractional-Calorimetry-Data'!T$4:T$2948)))</f>
        <v>2.92419464971014</v>
      </c>
      <c r="G8" s="3" cm="1">
        <f t="array" ref="G8">_xlfn.STDEV.S(IF('Fractional-Calorimetry-Data'!$B$4:$B$2948=$B8,IF('Fractional-Calorimetry-Data'!$J$4:$J$2853=100,'Fractional-Calorimetry-Data'!U$4:U$2948)))</f>
        <v>3.40334630230638</v>
      </c>
      <c r="H8" s="3" cm="1">
        <f t="array" ref="H8">_xlfn.STDEV.S(IF('Fractional-Calorimetry-Data'!$B$4:$B$2948=$B8,IF('Fractional-Calorimetry-Data'!$J$4:$J$2853=100,'Fractional-Calorimetry-Data'!V$4:V$2948)))</f>
        <v>7.2143369750647</v>
      </c>
      <c r="I8" s="3" cm="1">
        <f t="array" ref="I8">_xlfn.STDEV.S(IF('Fractional-Calorimetry-Data'!$B$4:$B$2948=$B8,IF('Fractional-Calorimetry-Data'!$J$4:$J$2853=100,'Fractional-Calorimetry-Data'!W$4:W$2948)))</f>
        <v>17.5087833719662</v>
      </c>
      <c r="J8" s="3" cm="1">
        <f t="array" ref="J8">_xlfn.STDEV.S(IF('Fractional-Calorimetry-Data'!$B$4:$B$2948=$B8,IF('Fractional-Calorimetry-Data'!$J$4:$J$2853=100,'Fractional-Calorimetry-Data'!X$4:X$2948)))</f>
        <v>9.64849492542318</v>
      </c>
      <c r="K8" s="3" cm="1">
        <f t="array" ref="K8">_xlfn.STDEV.S(IF('Fractional-Calorimetry-Data'!$B$4:$B$2948=$B8,IF('Fractional-Calorimetry-Data'!$J$4:$J$2853=100,'Fractional-Calorimetry-Data'!Y$4:Y$2948)))</f>
        <v>11.2760481609176</v>
      </c>
      <c r="L8" s="3" cm="1">
        <f t="array" ref="L8">_xlfn.STDEV.S(IF('Fractional-Calorimetry-Data'!$B$4:$B$2948=$B8,IF('Fractional-Calorimetry-Data'!$J$4:$J$2853=100,'Fractional-Calorimetry-Data'!Z$4:Z$2948)))</f>
        <v>24.5057204551312</v>
      </c>
      <c r="M8" s="3" cm="1">
        <f t="array" ref="M8">_xlfn.STDEV.S(IF('Fractional-Calorimetry-Data'!$B$4:$B$2948=$B8,IF('Fractional-Calorimetry-Data'!$J$4:$J$2853=100,'Fractional-Calorimetry-Data'!AA$4:AA$2948)))</f>
        <v>14.806449957734</v>
      </c>
      <c r="N8" s="3" cm="1">
        <f t="array" ref="N8">_xlfn.STDEV.S(IF('Fractional-Calorimetry-Data'!$B$4:$B$2948=$B8,IF('Fractional-Calorimetry-Data'!$J$4:$J$2853=100,'Fractional-Calorimetry-Data'!AB$4:AB$2948)))</f>
        <v>1.81183612131451</v>
      </c>
      <c r="O8" s="3" cm="1">
        <f t="array" ref="O8">_xlfn.STDEV.S(IF('Fractional-Calorimetry-Data'!$B$4:$B$2948=$B8,IF('Fractional-Calorimetry-Data'!$J$4:$J$2853=100,'Fractional-Calorimetry-Data'!AC$4:AC$2948)))</f>
        <v>0.196720640263876</v>
      </c>
      <c r="P8" s="3" cm="1">
        <f t="array" ref="P8">_xlfn.STDEV.S(IF('Fractional-Calorimetry-Data'!$B$4:$B$2948=$B8,IF('Fractional-Calorimetry-Data'!$J$4:$J$2853=100,'Fractional-Calorimetry-Data'!BN$4:BN$2948)))</f>
        <v>0</v>
      </c>
      <c r="Q8" s="3" cm="1">
        <f t="array" ref="Q8">_xlfn.STDEV.S(IF('Fractional-Calorimetry-Data'!$B$4:$B$2948=$B8,IF('Fractional-Calorimetry-Data'!$J$4:$J$2853=100,'Fractional-Calorimetry-Data'!AG$4:AG$2948)))</f>
        <v>28.6277796361075</v>
      </c>
      <c r="R8" s="3" cm="1">
        <f t="array" ref="R8">_xlfn.STDEV.S(IF('Fractional-Calorimetry-Data'!$B$4:$B$2948=$B8,IF('Fractional-Calorimetry-Data'!$J$4:$J$2853=100,'Fractional-Calorimetry-Data'!AH$4:AH$2948)))</f>
        <v>5.80100957818742</v>
      </c>
      <c r="S8" s="3" cm="1">
        <f t="array" ref="S8">_xlfn.STDEV.S(IF('Fractional-Calorimetry-Data'!$B$4:$B$2948=$B8,IF('Fractional-Calorimetry-Data'!$J$4:$J$2853=100,'Fractional-Calorimetry-Data'!AI$4:AI$2948)))</f>
        <v>4.70461706348396</v>
      </c>
      <c r="T8" s="3" cm="1">
        <f t="array" ref="T8">_xlfn.STDEV.S(IF('Fractional-Calorimetry-Data'!$B$4:$B$2948=$B8,IF('Fractional-Calorimetry-Data'!$J$4:$J$2853=100,'Fractional-Calorimetry-Data'!AJ$4:AJ$2948)))</f>
        <v>9.65430771070038</v>
      </c>
      <c r="U8" s="3" cm="1">
        <f t="array" ref="U8">_xlfn.STDEV.S(IF('Fractional-Calorimetry-Data'!$B$4:$B$2948=$B8,IF('Fractional-Calorimetry-Data'!$J$4:$J$2853=100,'Fractional-Calorimetry-Data'!AK$4:AK$2948)))</f>
        <v>14.1461440205631</v>
      </c>
      <c r="V8" s="3" cm="1">
        <f t="array" ref="V8">_xlfn.STDEV.S(IF('Fractional-Calorimetry-Data'!$B$4:$B$2948=$B8,IF('Fractional-Calorimetry-Data'!$J$4:$J$2853=100,'Fractional-Calorimetry-Data'!AL$4:AL$2948)))</f>
        <v>4.75450242752418</v>
      </c>
      <c r="W8" s="3" cm="1">
        <f t="array" ref="W8">_xlfn.STDEV.S(IF('Fractional-Calorimetry-Data'!$B$4:$B$2948=$B8,IF('Fractional-Calorimetry-Data'!$J$4:$J$2853=100,'Fractional-Calorimetry-Data'!AM$4:AM$2948)))</f>
        <v>3.18602870183068</v>
      </c>
      <c r="X8" s="3" cm="1">
        <f t="array" ref="X8">_xlfn.STDEV.S(IF('Fractional-Calorimetry-Data'!$B$4:$B$2948=$B8,IF('Fractional-Calorimetry-Data'!$J$4:$J$2853=100,'Fractional-Calorimetry-Data'!AN$4:AN$2948)))</f>
        <v>4.22407070647891</v>
      </c>
      <c r="Y8" s="3" cm="1">
        <f t="array" ref="Y8">_xlfn.STDEV.S(IF('Fractional-Calorimetry-Data'!$B$4:$B$2948=$B8,IF('Fractional-Calorimetry-Data'!$J$4:$J$2853=100,'Fractional-Calorimetry-Data'!AO$4:AO$2948)))</f>
        <v>0.997252336283158</v>
      </c>
      <c r="Z8" s="3" cm="1">
        <f t="array" ref="Z8">_xlfn.STDEV.S(IF('Fractional-Calorimetry-Data'!$B$4:$B$2948=$B8,IF('Fractional-Calorimetry-Data'!$J$4:$J$2853=100,'Fractional-Calorimetry-Data'!AP$4:AP$2948)))</f>
        <v>2.3494739363904</v>
      </c>
      <c r="AA8" s="3" cm="1">
        <f t="array" ref="AA8">_xlfn.STDEV.S(IF('Fractional-Calorimetry-Data'!$B$4:$B$2948=$B8,IF('Fractional-Calorimetry-Data'!$J$4:$J$2853=100,'Fractional-Calorimetry-Data'!AQ$4:AQ$2948)))</f>
        <v>2.18555357848863</v>
      </c>
      <c r="AB8" s="3" cm="1">
        <f t="array" ref="AB8">_xlfn.STDEV.S(IF('Fractional-Calorimetry-Data'!$B$4:$B$2948=$B8,IF('Fractional-Calorimetry-Data'!$J$4:$J$2853=100,'Fractional-Calorimetry-Data'!AR$4:AR$2948)))</f>
        <v>0.438867228720082</v>
      </c>
      <c r="AC8" s="3" cm="1">
        <f t="array" ref="AC8">_xlfn.STDEV.S(IF('Fractional-Calorimetry-Data'!$B$4:$B$2948=$B8,IF('Fractional-Calorimetry-Data'!$J$4:$J$2853=100,'Fractional-Calorimetry-Data'!AS$4:AS$2948)))</f>
        <v>3.35474400579901</v>
      </c>
      <c r="AD8" s="3" cm="1">
        <f t="array" ref="AD8">_xlfn.STDEV.S(IF('Fractional-Calorimetry-Data'!$B$4:$B$2948=$B8,IF('Fractional-Calorimetry-Data'!$J$4:$J$2853=100,'Fractional-Calorimetry-Data'!AT$4:AT$2948)))</f>
        <v>4.790685338353</v>
      </c>
      <c r="AE8" s="3" cm="1">
        <f t="array" ref="AE8">_xlfn.STDEV.S(IF('Fractional-Calorimetry-Data'!$B$4:$B$2948=$B8,IF('Fractional-Calorimetry-Data'!$J$4:$J$2853=100,'Fractional-Calorimetry-Data'!AU$4:AU$2948)))</f>
        <v>10.5523215631406</v>
      </c>
    </row>
    <row r="9" spans="2:31">
      <c r="B9" s="14" t="s">
        <v>162</v>
      </c>
      <c r="C9" s="3" cm="1">
        <f t="array" ref="C9">_xlfn.STDEV.S(IF('Fractional-Calorimetry-Data'!$B$4:$B$2948=B9,IF('Fractional-Calorimetry-Data'!$J$4:$J2875=100,'Fractional-Calorimetry-Data'!$BE$4:$BE$2948)))</f>
        <v>0.122531925971814</v>
      </c>
      <c r="D9" s="3" cm="1">
        <f t="array" ref="D9">_xlfn.STDEV.S(IF('Fractional-Calorimetry-Data'!$B$4:$B$2948=$B9,IF('Fractional-Calorimetry-Data'!$J$4:$J$2853=100,'Fractional-Calorimetry-Data'!R$4:R$2948)))</f>
        <v>5.04553132879742</v>
      </c>
      <c r="E9" s="3" cm="1">
        <f t="array" ref="E9">_xlfn.STDEV.S(IF('Fractional-Calorimetry-Data'!$B$4:$B$2948=$B9,IF('Fractional-Calorimetry-Data'!$J$4:$J$2853=100,'Fractional-Calorimetry-Data'!S$4:S$2948)))</f>
        <v>0.0137168332770911</v>
      </c>
      <c r="F9" s="3" cm="1">
        <f t="array" ref="F9">_xlfn.STDEV.S(IF('Fractional-Calorimetry-Data'!$B$4:$B$2948=$B9,IF('Fractional-Calorimetry-Data'!$J$4:$J$2853=100,'Fractional-Calorimetry-Data'!T$4:T$2948)))</f>
        <v>4.92592177566507</v>
      </c>
      <c r="G9" s="3" cm="1">
        <f t="array" ref="G9">_xlfn.STDEV.S(IF('Fractional-Calorimetry-Data'!$B$4:$B$2948=$B9,IF('Fractional-Calorimetry-Data'!$J$4:$J$2853=100,'Fractional-Calorimetry-Data'!U$4:U$2948)))</f>
        <v>5.60215965543133</v>
      </c>
      <c r="H9" s="3" cm="1">
        <f t="array" ref="H9">_xlfn.STDEV.S(IF('Fractional-Calorimetry-Data'!$B$4:$B$2948=$B9,IF('Fractional-Calorimetry-Data'!$J$4:$J$2853=100,'Fractional-Calorimetry-Data'!V$4:V$2948)))</f>
        <v>3.66920749698035</v>
      </c>
      <c r="I9" s="3" cm="1">
        <f t="array" ref="I9">_xlfn.STDEV.S(IF('Fractional-Calorimetry-Data'!$B$4:$B$2948=$B9,IF('Fractional-Calorimetry-Data'!$J$4:$J$2853=100,'Fractional-Calorimetry-Data'!W$4:W$2948)))</f>
        <v>17.0383750756796</v>
      </c>
      <c r="J9" s="3" cm="1">
        <f t="array" ref="J9">_xlfn.STDEV.S(IF('Fractional-Calorimetry-Data'!$B$4:$B$2948=$B9,IF('Fractional-Calorimetry-Data'!$J$4:$J$2853=100,'Fractional-Calorimetry-Data'!X$4:X$2948)))</f>
        <v>12.3568984417878</v>
      </c>
      <c r="K9" s="3" cm="1">
        <f t="array" ref="K9">_xlfn.STDEV.S(IF('Fractional-Calorimetry-Data'!$B$4:$B$2948=$B9,IF('Fractional-Calorimetry-Data'!$J$4:$J$2853=100,'Fractional-Calorimetry-Data'!Y$4:Y$2948)))</f>
        <v>5.99155818881993</v>
      </c>
      <c r="L9" s="3" cm="1">
        <f t="array" ref="L9">_xlfn.STDEV.S(IF('Fractional-Calorimetry-Data'!$B$4:$B$2948=$B9,IF('Fractional-Calorimetry-Data'!$J$4:$J$2853=100,'Fractional-Calorimetry-Data'!Z$4:Z$2948)))</f>
        <v>21.2731950765681</v>
      </c>
      <c r="M9" s="3" cm="1">
        <f t="array" ref="M9">_xlfn.STDEV.S(IF('Fractional-Calorimetry-Data'!$B$4:$B$2948=$B9,IF('Fractional-Calorimetry-Data'!$J$4:$J$2853=100,'Fractional-Calorimetry-Data'!AA$4:AA$2948)))</f>
        <v>17.5038803333154</v>
      </c>
      <c r="N9" s="3" cm="1">
        <f t="array" ref="N9">_xlfn.STDEV.S(IF('Fractional-Calorimetry-Data'!$B$4:$B$2948=$B9,IF('Fractional-Calorimetry-Data'!$J$4:$J$2853=100,'Fractional-Calorimetry-Data'!AB$4:AB$2948)))</f>
        <v>2.40610298576822</v>
      </c>
      <c r="O9" s="3" cm="1">
        <f t="array" ref="O9">_xlfn.STDEV.S(IF('Fractional-Calorimetry-Data'!$B$4:$B$2948=$B9,IF('Fractional-Calorimetry-Data'!$J$4:$J$2853=100,'Fractional-Calorimetry-Data'!AC$4:AC$2948)))</f>
        <v>0.634627320365171</v>
      </c>
      <c r="P9" s="3" cm="1">
        <f t="array" ref="P9">_xlfn.STDEV.S(IF('Fractional-Calorimetry-Data'!$B$4:$B$2948=$B9,IF('Fractional-Calorimetry-Data'!$J$4:$J$2853=100,'Fractional-Calorimetry-Data'!BN$4:BN$2948)))</f>
        <v>0.707453806441347</v>
      </c>
      <c r="Q9" s="3" cm="1">
        <f t="array" ref="Q9">_xlfn.STDEV.S(IF('Fractional-Calorimetry-Data'!$B$4:$B$2948=$B9,IF('Fractional-Calorimetry-Data'!$J$4:$J$2853=100,'Fractional-Calorimetry-Data'!AG$4:AG$2948)))</f>
        <v>56.1204578671071</v>
      </c>
      <c r="R9" s="3" cm="1">
        <f t="array" ref="R9">_xlfn.STDEV.S(IF('Fractional-Calorimetry-Data'!$B$4:$B$2948=$B9,IF('Fractional-Calorimetry-Data'!$J$4:$J$2853=100,'Fractional-Calorimetry-Data'!AH$4:AH$2948)))</f>
        <v>132.811840002958</v>
      </c>
      <c r="S9" s="3" cm="1">
        <f t="array" ref="S9">_xlfn.STDEV.S(IF('Fractional-Calorimetry-Data'!$B$4:$B$2948=$B9,IF('Fractional-Calorimetry-Data'!$J$4:$J$2853=100,'Fractional-Calorimetry-Data'!AI$4:AI$2948)))</f>
        <v>4.38763300319893</v>
      </c>
      <c r="T9" s="3" cm="1">
        <f t="array" ref="T9">_xlfn.STDEV.S(IF('Fractional-Calorimetry-Data'!$B$4:$B$2948=$B9,IF('Fractional-Calorimetry-Data'!$J$4:$J$2853=100,'Fractional-Calorimetry-Data'!AJ$4:AJ$2948)))</f>
        <v>0</v>
      </c>
      <c r="U9" s="3" cm="1">
        <f t="array" ref="U9">_xlfn.STDEV.S(IF('Fractional-Calorimetry-Data'!$B$4:$B$2948=$B9,IF('Fractional-Calorimetry-Data'!$J$4:$J$2853=100,'Fractional-Calorimetry-Data'!AK$4:AK$2948)))</f>
        <v>32.6788649990711</v>
      </c>
      <c r="V9" s="3" cm="1">
        <f t="array" ref="V9">_xlfn.STDEV.S(IF('Fractional-Calorimetry-Data'!$B$4:$B$2948=$B9,IF('Fractional-Calorimetry-Data'!$J$4:$J$2853=100,'Fractional-Calorimetry-Data'!AL$4:AL$2948)))</f>
        <v>3.95235823351841</v>
      </c>
      <c r="W9" s="3" cm="1">
        <f t="array" ref="W9">_xlfn.STDEV.S(IF('Fractional-Calorimetry-Data'!$B$4:$B$2948=$B9,IF('Fractional-Calorimetry-Data'!$J$4:$J$2853=100,'Fractional-Calorimetry-Data'!AM$4:AM$2948)))</f>
        <v>3.5525572308955</v>
      </c>
      <c r="X9" s="3" cm="1">
        <f t="array" ref="X9">_xlfn.STDEV.S(IF('Fractional-Calorimetry-Data'!$B$4:$B$2948=$B9,IF('Fractional-Calorimetry-Data'!$J$4:$J$2853=100,'Fractional-Calorimetry-Data'!AN$4:AN$2948)))</f>
        <v>5.01800636496088</v>
      </c>
      <c r="Y9" s="3" cm="1">
        <f t="array" ref="Y9">_xlfn.STDEV.S(IF('Fractional-Calorimetry-Data'!$B$4:$B$2948=$B9,IF('Fractional-Calorimetry-Data'!$J$4:$J$2853=100,'Fractional-Calorimetry-Data'!AO$4:AO$2948)))</f>
        <v>0.54964658066467</v>
      </c>
      <c r="Z9" s="3" cm="1">
        <f t="array" ref="Z9">_xlfn.STDEV.S(IF('Fractional-Calorimetry-Data'!$B$4:$B$2948=$B9,IF('Fractional-Calorimetry-Data'!$J$4:$J$2853=100,'Fractional-Calorimetry-Data'!AP$4:AP$2948)))</f>
        <v>0.828278151933091</v>
      </c>
      <c r="AA9" s="3" cm="1">
        <f t="array" ref="AA9">_xlfn.STDEV.S(IF('Fractional-Calorimetry-Data'!$B$4:$B$2948=$B9,IF('Fractional-Calorimetry-Data'!$J$4:$J$2853=100,'Fractional-Calorimetry-Data'!AQ$4:AQ$2948)))</f>
        <v>2.82710728591269</v>
      </c>
      <c r="AB9" s="3" cm="1">
        <f t="array" ref="AB9">_xlfn.STDEV.S(IF('Fractional-Calorimetry-Data'!$B$4:$B$2948=$B9,IF('Fractional-Calorimetry-Data'!$J$4:$J$2853=100,'Fractional-Calorimetry-Data'!AR$4:AR$2948)))</f>
        <v>0.972508082072827</v>
      </c>
      <c r="AC9" s="3" cm="1">
        <f t="array" ref="AC9">_xlfn.STDEV.S(IF('Fractional-Calorimetry-Data'!$B$4:$B$2948=$B9,IF('Fractional-Calorimetry-Data'!$J$4:$J$2853=100,'Fractional-Calorimetry-Data'!AS$4:AS$2948)))</f>
        <v>5.11401604102674</v>
      </c>
      <c r="AD9" s="3" cm="1">
        <f t="array" ref="AD9">_xlfn.STDEV.S(IF('Fractional-Calorimetry-Data'!$B$4:$B$2948=$B9,IF('Fractional-Calorimetry-Data'!$J$4:$J$2853=100,'Fractional-Calorimetry-Data'!AT$4:AT$2948)))</f>
        <v>3.91393342118311</v>
      </c>
      <c r="AE9" s="3" cm="1">
        <f t="array" ref="AE9">_xlfn.STDEV.S(IF('Fractional-Calorimetry-Data'!$B$4:$B$2948=$B9,IF('Fractional-Calorimetry-Data'!$J$4:$J$2853=100,'Fractional-Calorimetry-Data'!AU$4:AU$2948)))</f>
        <v>8.2033531559134</v>
      </c>
    </row>
    <row r="10" spans="2:31">
      <c r="B10" s="15" t="s">
        <v>1333</v>
      </c>
      <c r="C10" s="16">
        <f t="shared" ref="C10:AE10" si="0">MIN(C4:C9)</f>
        <v>0.0750296803859432</v>
      </c>
      <c r="D10" s="16">
        <f t="shared" si="0"/>
        <v>2.7939953768386</v>
      </c>
      <c r="E10" s="16">
        <f t="shared" si="0"/>
        <v>0.00578161838165674</v>
      </c>
      <c r="F10" s="16">
        <f t="shared" si="0"/>
        <v>2.87433920382643</v>
      </c>
      <c r="G10" s="16">
        <f t="shared" si="0"/>
        <v>3.25046740927081</v>
      </c>
      <c r="H10" s="16">
        <f t="shared" si="0"/>
        <v>3.66920749698035</v>
      </c>
      <c r="I10" s="16">
        <f t="shared" si="0"/>
        <v>14.1676752727519</v>
      </c>
      <c r="J10" s="16">
        <f t="shared" si="0"/>
        <v>5.66581989520109</v>
      </c>
      <c r="K10" s="16">
        <f t="shared" si="0"/>
        <v>5.97970635402598</v>
      </c>
      <c r="L10" s="16">
        <f t="shared" si="0"/>
        <v>12.4132391884928</v>
      </c>
      <c r="M10" s="16">
        <f t="shared" si="0"/>
        <v>7.49215623583787</v>
      </c>
      <c r="N10" s="16">
        <f t="shared" si="0"/>
        <v>0.94812819354871</v>
      </c>
      <c r="O10" s="16">
        <f t="shared" si="0"/>
        <v>0.196720640263876</v>
      </c>
      <c r="P10" s="16">
        <f t="shared" si="0"/>
        <v>0</v>
      </c>
      <c r="Q10" s="16">
        <f t="shared" si="0"/>
        <v>28.6277796361075</v>
      </c>
      <c r="R10" s="16">
        <f t="shared" si="0"/>
        <v>5.80100957818742</v>
      </c>
      <c r="S10" s="16">
        <f t="shared" si="0"/>
        <v>4.38763300319893</v>
      </c>
      <c r="T10" s="16">
        <f t="shared" si="0"/>
        <v>0</v>
      </c>
      <c r="U10" s="16">
        <f t="shared" si="0"/>
        <v>14.1461440205631</v>
      </c>
      <c r="V10" s="16">
        <f t="shared" si="0"/>
        <v>3.55874349147213</v>
      </c>
      <c r="W10" s="16">
        <f t="shared" si="0"/>
        <v>1.4887639419037</v>
      </c>
      <c r="X10" s="16">
        <f t="shared" si="0"/>
        <v>2.66992391406507</v>
      </c>
      <c r="Y10" s="16">
        <f t="shared" si="0"/>
        <v>0.54964658066467</v>
      </c>
      <c r="Z10" s="16">
        <f t="shared" si="0"/>
        <v>0.39496835316263</v>
      </c>
      <c r="AA10" s="16">
        <f t="shared" si="0"/>
        <v>0.992735518415559</v>
      </c>
      <c r="AB10" s="16">
        <f t="shared" si="0"/>
        <v>0.186955558762988</v>
      </c>
      <c r="AC10" s="16">
        <f t="shared" si="0"/>
        <v>1.9818240756098</v>
      </c>
      <c r="AD10" s="16">
        <f t="shared" si="0"/>
        <v>3.55874349147213</v>
      </c>
      <c r="AE10" s="16">
        <f t="shared" si="0"/>
        <v>6.07957119528572</v>
      </c>
    </row>
    <row r="11" spans="2:31">
      <c r="B11" s="15" t="s">
        <v>1334</v>
      </c>
      <c r="C11" s="16">
        <f t="shared" ref="C11:AE11" si="1">MAX(C4:C9)</f>
        <v>0.192807873609782</v>
      </c>
      <c r="D11" s="16">
        <f t="shared" si="1"/>
        <v>12.5548249850116</v>
      </c>
      <c r="E11" s="16">
        <f t="shared" si="1"/>
        <v>0.0137168332770911</v>
      </c>
      <c r="F11" s="16">
        <f t="shared" si="1"/>
        <v>11.8767714718131</v>
      </c>
      <c r="G11" s="16">
        <f t="shared" si="1"/>
        <v>12.6327718789131</v>
      </c>
      <c r="H11" s="16">
        <f t="shared" si="1"/>
        <v>7.67505093045939</v>
      </c>
      <c r="I11" s="16">
        <f t="shared" si="1"/>
        <v>30.70304064642</v>
      </c>
      <c r="J11" s="16">
        <f t="shared" si="1"/>
        <v>28.3401077510312</v>
      </c>
      <c r="K11" s="16">
        <f t="shared" si="1"/>
        <v>11.2760481609176</v>
      </c>
      <c r="L11" s="16">
        <f t="shared" si="1"/>
        <v>27.8917956958543</v>
      </c>
      <c r="M11" s="16">
        <f t="shared" si="1"/>
        <v>30.1177104498443</v>
      </c>
      <c r="N11" s="16">
        <f t="shared" si="1"/>
        <v>3.1930530485975</v>
      </c>
      <c r="O11" s="16">
        <f t="shared" si="1"/>
        <v>1.52919468784846</v>
      </c>
      <c r="P11" s="16">
        <f t="shared" si="1"/>
        <v>1.74879783229582</v>
      </c>
      <c r="Q11" s="16">
        <f t="shared" si="1"/>
        <v>457.335139836863</v>
      </c>
      <c r="R11" s="16">
        <f t="shared" si="1"/>
        <v>132.811840002958</v>
      </c>
      <c r="S11" s="16">
        <f t="shared" si="1"/>
        <v>59.8691082858153</v>
      </c>
      <c r="T11" s="16">
        <f t="shared" si="1"/>
        <v>52.064681412308</v>
      </c>
      <c r="U11" s="16">
        <f t="shared" si="1"/>
        <v>102.001564628841</v>
      </c>
      <c r="V11" s="16">
        <f t="shared" si="1"/>
        <v>6.27343649742487</v>
      </c>
      <c r="W11" s="16">
        <f t="shared" si="1"/>
        <v>3.5525572308955</v>
      </c>
      <c r="X11" s="16">
        <f t="shared" si="1"/>
        <v>8.40499522778478</v>
      </c>
      <c r="Y11" s="16">
        <f t="shared" si="1"/>
        <v>1.63867629506257</v>
      </c>
      <c r="Z11" s="16">
        <f t="shared" si="1"/>
        <v>4.52308335687452</v>
      </c>
      <c r="AA11" s="16">
        <f t="shared" si="1"/>
        <v>6.20036180868462</v>
      </c>
      <c r="AB11" s="16">
        <f t="shared" si="1"/>
        <v>2.03728784786671</v>
      </c>
      <c r="AC11" s="16">
        <f t="shared" si="1"/>
        <v>5.11401604102674</v>
      </c>
      <c r="AD11" s="16">
        <f t="shared" si="1"/>
        <v>6.24045204541654</v>
      </c>
      <c r="AE11" s="16">
        <f t="shared" si="1"/>
        <v>10.5523215631406</v>
      </c>
    </row>
    <row r="13" customFormat="1" ht="35.1" customHeight="1" spans="2:31">
      <c r="B13" s="4" t="s">
        <v>1335</v>
      </c>
      <c r="C13" s="4"/>
      <c r="D13" s="4"/>
      <c r="E13" s="4"/>
      <c r="F13" s="4"/>
      <c r="G13" s="4"/>
      <c r="H13" s="4"/>
      <c r="I13" s="4"/>
      <c r="J13" s="4"/>
      <c r="K13" s="4"/>
      <c r="L13" s="4"/>
      <c r="M13" s="4"/>
      <c r="N13" s="4"/>
      <c r="O13" s="4"/>
      <c r="P13" s="4"/>
      <c r="Q13" s="5"/>
      <c r="R13" s="5"/>
      <c r="S13" s="5"/>
      <c r="T13" s="5"/>
      <c r="U13" s="5"/>
      <c r="V13" s="5"/>
      <c r="W13" s="5"/>
      <c r="X13" s="5"/>
      <c r="Y13" s="5"/>
      <c r="Z13" s="5"/>
      <c r="AA13" s="5"/>
      <c r="AB13" s="5"/>
      <c r="AC13" s="5"/>
      <c r="AD13" s="5"/>
      <c r="AE13" s="5"/>
    </row>
    <row r="14" customFormat="1" ht="29.1" customHeight="1" spans="2:31">
      <c r="B14" s="7" t="s">
        <v>46</v>
      </c>
      <c r="C14" s="17" t="s">
        <v>1336</v>
      </c>
      <c r="D14" s="17" t="s">
        <v>1337</v>
      </c>
      <c r="E14" s="17" t="s">
        <v>1338</v>
      </c>
      <c r="F14" s="17" t="s">
        <v>1339</v>
      </c>
      <c r="G14" s="17" t="s">
        <v>1340</v>
      </c>
      <c r="H14" s="17" t="e">
        <f t="shared" ref="H14:AD14" si="2">G14+1</f>
        <v>#VALUE!</v>
      </c>
      <c r="I14" s="17" t="e">
        <f t="shared" si="2"/>
        <v>#VALUE!</v>
      </c>
      <c r="J14" s="17" t="e">
        <f t="shared" si="2"/>
        <v>#VALUE!</v>
      </c>
      <c r="K14" s="17" t="s">
        <v>1349</v>
      </c>
      <c r="L14" s="17" t="s">
        <v>1350</v>
      </c>
      <c r="M14" s="17" t="s">
        <v>1351</v>
      </c>
      <c r="N14" s="17" t="s">
        <v>1352</v>
      </c>
      <c r="O14" s="17" t="s">
        <v>1353</v>
      </c>
      <c r="P14" s="17" t="s">
        <v>1354</v>
      </c>
      <c r="Q14" s="17" t="e">
        <f>#REF!+1</f>
        <v>#REF!</v>
      </c>
      <c r="R14" s="17" t="e">
        <f t="shared" si="2"/>
        <v>#REF!</v>
      </c>
      <c r="S14" s="17" t="e">
        <f t="shared" si="2"/>
        <v>#REF!</v>
      </c>
      <c r="T14" s="17" t="e">
        <f t="shared" si="2"/>
        <v>#REF!</v>
      </c>
      <c r="U14" s="17" t="e">
        <f t="shared" si="2"/>
        <v>#REF!</v>
      </c>
      <c r="V14" s="17" t="e">
        <f t="shared" si="2"/>
        <v>#REF!</v>
      </c>
      <c r="W14" s="17" t="e">
        <f t="shared" si="2"/>
        <v>#REF!</v>
      </c>
      <c r="X14" s="17" t="e">
        <f t="shared" si="2"/>
        <v>#REF!</v>
      </c>
      <c r="Y14" s="17" t="e">
        <f t="shared" si="2"/>
        <v>#REF!</v>
      </c>
      <c r="Z14" s="17" t="e">
        <f t="shared" si="2"/>
        <v>#REF!</v>
      </c>
      <c r="AA14" s="17" t="e">
        <f t="shared" si="2"/>
        <v>#REF!</v>
      </c>
      <c r="AB14" s="17" t="e">
        <f t="shared" si="2"/>
        <v>#REF!</v>
      </c>
      <c r="AC14" s="17" t="e">
        <f t="shared" si="2"/>
        <v>#REF!</v>
      </c>
      <c r="AD14" s="17" t="e">
        <f t="shared" si="2"/>
        <v>#REF!</v>
      </c>
      <c r="AE14" s="17" t="s">
        <v>1355</v>
      </c>
    </row>
    <row r="15" spans="2:31">
      <c r="B15" s="13" t="s">
        <v>133</v>
      </c>
      <c r="C15" s="3" cm="1">
        <f t="array" ref="C15">TREND($B$24:$B$74,C$24:C$74,C4)</f>
        <v>3.17745667108456</v>
      </c>
      <c r="D15" s="3" cm="1">
        <f t="array" ref="D15">TREND($B$24:$B$74,D$24:D$74,D4)</f>
        <v>0.458792296155236</v>
      </c>
      <c r="E15" s="3" cm="1">
        <f t="array" ref="E15">TREND($B$24:$B$74,E$24:E$74,E4)</f>
        <v>5.05876511713996</v>
      </c>
      <c r="F15" s="3" cm="1">
        <f t="array" ref="F15">TREND($B$24:$B$74,F$24:F$74,F4)</f>
        <v>0.108666923143648</v>
      </c>
      <c r="G15" s="3" cm="1">
        <f t="array" ref="G15">TREND($B$24:$B$74,G$24:G$74,G4)</f>
        <v>0.104359030040014</v>
      </c>
      <c r="H15" s="3" cm="1">
        <f t="array" ref="H15">TREND($B$24:$B$74,H$24:H$74,H4)</f>
        <v>1.51370163082504</v>
      </c>
      <c r="I15" s="3" cm="1">
        <f t="array" ref="I15">TREND($B$24:$B$74,I$24:I$74,I4)</f>
        <v>1.53562646122629</v>
      </c>
      <c r="J15" s="3" cm="1">
        <f t="array" ref="J15">TREND($B$24:$B$74,J$24:J$74,J4)</f>
        <v>11.368575750829</v>
      </c>
      <c r="K15" s="3" cm="1">
        <f t="array" ref="K15">TREND($B$24:$B$74,K$24:K$74,K4)</f>
        <v>5.27234431010132</v>
      </c>
      <c r="L15" s="3" cm="1">
        <f t="array" ref="L15">TREND($B$24:$B$74,L$24:L$74,L4)</f>
        <v>8.32197336071203</v>
      </c>
      <c r="M15" s="3" cm="1">
        <f t="array" ref="M15">TREND($B$24:$B$74,M$24:M$74,M4)</f>
        <v>8.80211781614807</v>
      </c>
      <c r="N15" s="3" cm="1">
        <f t="array" ref="N15">TREND($B$24:$B$74,N$24:N$74,N4)</f>
        <v>0.409010525593454</v>
      </c>
      <c r="O15" s="3" cm="1">
        <f t="array" ref="O15">TREND($B$24:$B$74,O$24:O$74,O4)</f>
        <v>3.54371316354068</v>
      </c>
      <c r="P15" s="3" cm="1">
        <f t="array" ref="P15">TREND($B$24:$B$74,P$24:P$74,P4)</f>
        <v>6.8155813620188</v>
      </c>
      <c r="Q15" s="3" cm="1">
        <f t="array" ref="Q15">TREND($B$24:$B$74,Q$24:Q$74,Q4)</f>
        <v>4.29953504579421</v>
      </c>
      <c r="R15" s="3" cm="1">
        <f t="array" ref="R15">TREND($B$24:$B$74,R$24:R$74,R4)</f>
        <v>0.787914254372217</v>
      </c>
      <c r="S15" s="3" cm="1">
        <f t="array" ref="S15">TREND($B$24:$B$74,S$24:S$74,S4)</f>
        <v>3.68982978811886</v>
      </c>
      <c r="T15" s="3" cm="1">
        <f t="array" ref="T15">TREND($B$24:$B$74,T$24:T$74,T4)</f>
        <v>9.98086662019212</v>
      </c>
      <c r="U15" s="3" cm="1">
        <f t="array" ref="U15">TREND($B$24:$B$74,U$24:U$74,U4)</f>
        <v>2.91267191642376</v>
      </c>
      <c r="V15" s="3" cm="1">
        <f t="array" ref="V15">TREND($B$24:$B$74,V$24:V$74,V4)</f>
        <v>3.02991857572788</v>
      </c>
      <c r="W15" s="3" cm="1">
        <f t="array" ref="W15">TREND($B$24:$B$74,W$24:W$74,W4)</f>
        <v>6.4433396405452</v>
      </c>
      <c r="X15" s="3" cm="1">
        <f t="array" ref="X15">TREND($B$24:$B$74,X$24:X$74,X4)</f>
        <v>0.964681199973093</v>
      </c>
      <c r="Y15" s="3" cm="1">
        <f t="array" ref="Y15">TREND($B$24:$B$74,Y$24:Y$74,Y4)</f>
        <v>9.19213747431377</v>
      </c>
      <c r="Z15" s="3" cm="1">
        <f t="array" ref="Z15">TREND($B$24:$B$74,Z$24:Z$74,Z4)</f>
        <v>3.31402021190214</v>
      </c>
      <c r="AA15" s="3" cm="1">
        <f t="array" ref="AA15">TREND($B$24:$B$74,AA$24:AA$74,AA4)</f>
        <v>4.90018469478058</v>
      </c>
      <c r="AB15" s="3" cm="1">
        <f t="array" ref="AB15">TREND($B$24:$B$74,AB$24:AB$74,AB4)</f>
        <v>5.48499803673206</v>
      </c>
      <c r="AC15" s="3" cm="1">
        <f t="array" ref="AC15">TREND($B$24:$B$74,AC$24:AC$74,AC4)</f>
        <v>2.72444927291796</v>
      </c>
      <c r="AD15" s="3" cm="1">
        <f t="array" ref="AD15">TREND($B$24:$B$74,AD$24:AD$74,AD4)</f>
        <v>3.66249775759779</v>
      </c>
      <c r="AE15" s="3" cm="1">
        <f t="array" ref="AE15">TREND($B$24:$B$74,AE$24:AE$74,AE4)</f>
        <v>7.12467516996505</v>
      </c>
    </row>
    <row r="16" spans="2:31">
      <c r="B16" s="13" t="s">
        <v>136</v>
      </c>
      <c r="C16" s="3" cm="1">
        <f t="array" ref="C16">TREND($B$24:$B$74,C$24:C$74,C5)</f>
        <v>4.79959066052428</v>
      </c>
      <c r="D16" s="3" cm="1">
        <f t="array" ref="D16">TREND($B$24:$B$74,D$24:D$74,D5)</f>
        <v>5.28581244587875</v>
      </c>
      <c r="E16" s="3" cm="1">
        <f t="array" ref="E16">TREND($B$24:$B$74,E$24:E$74,E5)</f>
        <v>4.97587851371138</v>
      </c>
      <c r="F16" s="3" cm="1">
        <f t="array" ref="F16">TREND($B$24:$B$74,F$24:F$74,F5)</f>
        <v>4.87867595283325</v>
      </c>
      <c r="G16" s="3" cm="1">
        <f t="array" ref="G16">TREND($B$24:$B$74,G$24:G$74,G5)</f>
        <v>5.33774094219857</v>
      </c>
      <c r="H16" s="3" cm="1">
        <f t="array" ref="H16">TREND($B$24:$B$74,H$24:H$74,H5)</f>
        <v>0.984417233808577</v>
      </c>
      <c r="I16" s="3" cm="1">
        <f t="array" ref="I16">TREND($B$24:$B$74,I$24:I$74,I5)</f>
        <v>0.447451746452669</v>
      </c>
      <c r="J16" s="3" cm="1">
        <f t="array" ref="J16">TREND($B$24:$B$74,J$24:J$74,J5)</f>
        <v>10.1936892469332</v>
      </c>
      <c r="K16" s="3" cm="1">
        <f t="array" ref="K16">TREND($B$24:$B$74,K$24:K$74,K5)</f>
        <v>0.181939194310328</v>
      </c>
      <c r="L16" s="3" cm="1">
        <f t="array" ref="L16">TREND($B$24:$B$74,L$24:L$74,L5)</f>
        <v>1.88496754392308</v>
      </c>
      <c r="M16" s="3" cm="1">
        <f t="array" ref="M16">TREND($B$24:$B$74,M$24:M$74,M5)</f>
        <v>4.15261780448061</v>
      </c>
      <c r="N16" s="3" cm="1">
        <f t="array" ref="N16">TREND($B$24:$B$74,N$24:N$74,N5)</f>
        <v>4.0509313336749</v>
      </c>
      <c r="O16" s="3" cm="1">
        <f t="array" ref="O16">TREND($B$24:$B$74,O$24:O$74,O5)</f>
        <v>6.20512687302944</v>
      </c>
      <c r="P16" s="3" cm="1">
        <f t="array" ref="P16">TREND($B$24:$B$74,P$24:P$74,P5)</f>
        <v>8.67815719044216</v>
      </c>
      <c r="Q16" s="3" cm="1">
        <f t="array" ref="Q16">TREND($B$24:$B$74,Q$24:Q$74,Q5)</f>
        <v>1.75025278583161</v>
      </c>
      <c r="R16" s="3" cm="1">
        <f t="array" ref="R16">TREND($B$24:$B$74,R$24:R$74,R5)</f>
        <v>5.77156629094477</v>
      </c>
      <c r="S16" s="3" cm="1">
        <f t="array" ref="S16">TREND($B$24:$B$74,S$24:S$74,S5)</f>
        <v>3.22010856279224</v>
      </c>
      <c r="T16" s="3" cm="1">
        <f t="array" ref="T16">TREND($B$24:$B$74,T$24:T$74,T5)</f>
        <v>9.5676637238588</v>
      </c>
      <c r="U16" s="3" cm="1">
        <f t="array" ref="U16">TREND($B$24:$B$74,U$24:U$74,U5)</f>
        <v>4.32122863690846</v>
      </c>
      <c r="V16" s="3" cm="1">
        <f t="array" ref="V16">TREND($B$24:$B$74,V$24:V$74,V5)</f>
        <v>3.02834621925345</v>
      </c>
      <c r="W16" s="3" cm="1">
        <f t="array" ref="W16">TREND($B$24:$B$74,W$24:W$74,W5)</f>
        <v>0.44173644513513</v>
      </c>
      <c r="X16" s="3" cm="1">
        <f t="array" ref="X16">TREND($B$24:$B$74,X$24:X$74,X5)</f>
        <v>0.168489972089863</v>
      </c>
      <c r="Y16" s="3" cm="1">
        <f t="array" ref="Y16">TREND($B$24:$B$74,Y$24:Y$74,Y5)</f>
        <v>3.60486300215113</v>
      </c>
      <c r="Z16" s="3" cm="1">
        <f t="array" ref="Z16">TREND($B$24:$B$74,Z$24:Z$74,Z5)</f>
        <v>3.25731305107651</v>
      </c>
      <c r="AA16" s="3" cm="1">
        <f t="array" ref="AA16">TREND($B$24:$B$74,AA$24:AA$74,AA5)</f>
        <v>4.30513938449317</v>
      </c>
      <c r="AB16" s="3" cm="1">
        <f t="array" ref="AB16">TREND($B$24:$B$74,AB$24:AB$74,AB5)</f>
        <v>4.41859878032025</v>
      </c>
      <c r="AC16" s="3" cm="1">
        <f t="array" ref="AC16">TREND($B$24:$B$74,AC$24:AC$74,AC5)</f>
        <v>6.29278894085984</v>
      </c>
      <c r="AD16" s="3" cm="1">
        <f t="array" ref="AD16">TREND($B$24:$B$74,AD$24:AD$74,AD5)</f>
        <v>3.48552153920794</v>
      </c>
      <c r="AE16" s="3" cm="1">
        <f t="array" ref="AE16">TREND($B$24:$B$74,AE$24:AE$74,AE5)</f>
        <v>0.214006724364994</v>
      </c>
    </row>
    <row r="17" spans="2:31">
      <c r="B17" s="14" t="s">
        <v>140</v>
      </c>
      <c r="C17" s="3" cm="1">
        <f t="array" ref="C17">TREND($B$24:$B$74,C$24:C$74,C6)</f>
        <v>6.60871794198692</v>
      </c>
      <c r="D17" s="3" cm="1">
        <f t="array" ref="D17">TREND($B$24:$B$74,D$24:D$74,D6)</f>
        <v>4.33027273528061</v>
      </c>
      <c r="E17" s="3" cm="1">
        <f t="array" ref="E17">TREND($B$24:$B$74,E$24:E$74,E6)</f>
        <v>5.09778660437152</v>
      </c>
      <c r="F17" s="3" cm="1">
        <f t="array" ref="F17">TREND($B$24:$B$74,F$24:F$74,F6)</f>
        <v>4.60950777156962</v>
      </c>
      <c r="G17" s="3" cm="1">
        <f t="array" ref="G17">TREND($B$24:$B$74,G$24:G$74,G6)</f>
        <v>5.54102227817615</v>
      </c>
      <c r="H17" s="3" cm="1">
        <f t="array" ref="H17">TREND($B$24:$B$74,H$24:H$74,H6)</f>
        <v>1.67648920964645</v>
      </c>
      <c r="I17" s="3" cm="1">
        <f t="array" ref="I17">TREND($B$24:$B$74,I$24:I$74,I6)</f>
        <v>0.0999999999999961</v>
      </c>
      <c r="J17" s="3" cm="1">
        <f t="array" ref="J17">TREND($B$24:$B$74,J$24:J$74,J6)</f>
        <v>0.0999999999999934</v>
      </c>
      <c r="K17" s="3" cm="1">
        <f t="array" ref="K17">TREND($B$24:$B$74,K$24:K$74,K6)</f>
        <v>0.489735812896635</v>
      </c>
      <c r="L17" s="3" cm="1">
        <f t="array" ref="L17">TREND($B$24:$B$74,L$24:L$74,L6)</f>
        <v>0.0637813818848931</v>
      </c>
      <c r="M17" s="3" cm="1">
        <f t="array" ref="M17">TREND($B$24:$B$74,M$24:M$74,M6)</f>
        <v>0.043810546312451</v>
      </c>
      <c r="N17" s="3" cm="1">
        <f t="array" ref="N17">TREND($B$24:$B$74,N$24:N$74,N6)</f>
        <v>9.59098947440655</v>
      </c>
      <c r="O17" s="3" cm="1">
        <f t="array" ref="O17">TREND($B$24:$B$74,O$24:O$74,O6)</f>
        <v>1.43473912873718</v>
      </c>
      <c r="P17" s="3" cm="1">
        <f t="array" ref="P17">TREND($B$24:$B$74,P$24:P$74,P6)</f>
        <v>3.01048191618082</v>
      </c>
      <c r="Q17" s="3" cm="1">
        <f t="array" ref="Q17">TREND($B$24:$B$74,Q$24:Q$74,Q6)</f>
        <v>0.432205301570882</v>
      </c>
      <c r="R17" s="3" cm="1">
        <f t="array" ref="R17">TREND($B$24:$B$74,R$24:R$74,R6)</f>
        <v>0.109909453367088</v>
      </c>
      <c r="S17" s="3" cm="1">
        <f t="array" ref="S17">TREND($B$24:$B$74,S$24:S$74,S6)</f>
        <v>0.218803319234381</v>
      </c>
      <c r="T17" s="3" cm="1">
        <f t="array" ref="T17">TREND($B$24:$B$74,T$24:T$74,T6)</f>
        <v>0.0191333798078857</v>
      </c>
      <c r="U17" s="3" cm="1">
        <f t="array" ref="U17">TREND($B$24:$B$74,U$24:U$74,U6)</f>
        <v>0.663872386498278</v>
      </c>
      <c r="V17" s="3" cm="1">
        <f t="array" ref="V17">TREND($B$24:$B$74,V$24:V$74,V6)</f>
        <v>0.343089305788871</v>
      </c>
      <c r="W17" s="3" cm="1">
        <f t="array" ref="W17">TREND($B$24:$B$74,W$24:W$74,W6)</f>
        <v>7.94951555054692</v>
      </c>
      <c r="X17" s="3" cm="1">
        <f t="array" ref="X17">TREND($B$24:$B$74,X$24:X$74,X6)</f>
        <v>0.366093301015372</v>
      </c>
      <c r="Y17" s="3" cm="1">
        <f t="array" ref="Y17">TREND($B$24:$B$74,Y$24:Y$74,Y6)</f>
        <v>9.22422269337127</v>
      </c>
      <c r="Z17" s="3" cm="1">
        <f t="array" ref="Z17">TREND($B$24:$B$74,Z$24:Z$74,Z6)</f>
        <v>0.231047465037871</v>
      </c>
      <c r="AA17" s="3" cm="1">
        <f t="array" ref="AA17">TREND($B$24:$B$74,AA$24:AA$74,AA6)</f>
        <v>0.184924021432377</v>
      </c>
      <c r="AB17" s="3" cm="1">
        <f t="array" ref="AB17">TREND($B$24:$B$74,AB$24:AB$74,AB6)</f>
        <v>0.487725821475082</v>
      </c>
      <c r="AC17" s="3" cm="1">
        <f t="array" ref="AC17">TREND($B$24:$B$74,AC$24:AC$74,AC6)</f>
        <v>0.300102758297982</v>
      </c>
      <c r="AD17" s="3" cm="1">
        <f t="array" ref="AD17">TREND($B$24:$B$74,AD$24:AD$74,AD6)</f>
        <v>0.347016355498978</v>
      </c>
      <c r="AE17" s="3" cm="1">
        <f t="array" ref="AE17">TREND($B$24:$B$74,AE$24:AE$74,AE6)</f>
        <v>3.40746528719846</v>
      </c>
    </row>
    <row r="18" spans="2:31">
      <c r="B18" s="14" t="s">
        <v>144</v>
      </c>
      <c r="C18" s="3" cm="1">
        <f t="array" ref="C18">TREND($B$24:$B$74,C$24:C$74,C7)</f>
        <v>6.85315096717284</v>
      </c>
      <c r="D18" s="3" cm="1">
        <f t="array" ref="D18">TREND($B$24:$B$74,D$24:D$74,D7)</f>
        <v>9.8996067557285</v>
      </c>
      <c r="E18" s="3" cm="1">
        <f t="array" ref="E18">TREND($B$24:$B$74,E$24:E$74,E7)</f>
        <v>4.97283576507344</v>
      </c>
      <c r="F18" s="3" cm="1">
        <f t="array" ref="F18">TREND($B$24:$B$74,F$24:F$74,F7)</f>
        <v>9.89133307685635</v>
      </c>
      <c r="G18" s="3" cm="1">
        <f t="array" ref="G18">TREND($B$24:$B$74,G$24:G$74,G7)</f>
        <v>9.89564096996</v>
      </c>
      <c r="H18" s="3" cm="1">
        <f t="array" ref="H18">TREND($B$24:$B$74,H$24:H$74,H7)</f>
        <v>4.10584343347904</v>
      </c>
      <c r="I18" s="3" cm="1">
        <f t="array" ref="I18">TREND($B$24:$B$74,I$24:I$74,I7)</f>
        <v>16.6353653736681</v>
      </c>
      <c r="J18" s="3" cm="1">
        <f t="array" ref="J18">TREND($B$24:$B$74,J$24:J$74,J7)</f>
        <v>22.7742878558302</v>
      </c>
      <c r="K18" s="3" cm="1">
        <f t="array" ref="K18">TREND($B$24:$B$74,K$24:K$74,K7)</f>
        <v>2.25113835529435</v>
      </c>
      <c r="L18" s="3" cm="1">
        <f t="array" ref="L18">TREND($B$24:$B$74,L$24:L$74,L7)</f>
        <v>9.93621861811514</v>
      </c>
      <c r="M18" s="3" cm="1">
        <f t="array" ref="M18">TREND($B$24:$B$74,M$24:M$74,M7)</f>
        <v>9.95618945368755</v>
      </c>
      <c r="N18" s="3" cm="1">
        <f t="array" ref="N18">TREND($B$24:$B$74,N$24:N$74,N7)</f>
        <v>4.85482973253859</v>
      </c>
      <c r="O18" s="3" cm="1">
        <f t="array" ref="O18">TREND($B$24:$B$74,O$24:O$74,O7)</f>
        <v>9.34746040131892</v>
      </c>
      <c r="P18" s="3" cm="1">
        <f t="array" ref="P18">TREND($B$24:$B$74,P$24:P$74,P7)</f>
        <v>9.48686314022531</v>
      </c>
      <c r="Q18" s="3" cm="1">
        <f t="array" ref="Q18">TREND($B$24:$B$74,Q$24:Q$74,Q7)</f>
        <v>9.99766849419526</v>
      </c>
      <c r="R18" s="3" cm="1">
        <f t="array" ref="R18">TREND($B$24:$B$74,R$24:R$74,R7)</f>
        <v>5.55694601719973</v>
      </c>
      <c r="S18" s="3" cm="1">
        <f t="array" ref="S18">TREND($B$24:$B$74,S$24:S$74,S7)</f>
        <v>9.98204070572979</v>
      </c>
      <c r="T18" s="3" cm="1">
        <f t="array" ref="T18">TREND($B$24:$B$74,T$24:T$74,T7)</f>
        <v>1.76461524020974</v>
      </c>
      <c r="U18" s="3" cm="1">
        <f t="array" ref="U18">TREND($B$24:$B$74,U$24:U$74,U7)</f>
        <v>9.98864351571896</v>
      </c>
      <c r="V18" s="3" cm="1">
        <f t="array" ref="V18">TREND($B$24:$B$74,V$24:V$74,V7)</f>
        <v>9.65691069421113</v>
      </c>
      <c r="W18" s="3" cm="1">
        <f t="array" ref="W18">TREND($B$24:$B$74,W$24:W$74,W7)</f>
        <v>8.76560114775293</v>
      </c>
      <c r="X18" s="3" cm="1">
        <f t="array" ref="X18">TREND($B$24:$B$74,X$24:X$74,X7)</f>
        <v>9.83151002791014</v>
      </c>
      <c r="Y18" s="3" cm="1">
        <f t="array" ref="Y18">TREND($B$24:$B$74,Y$24:Y$74,Y7)</f>
        <v>8.68141332810163</v>
      </c>
      <c r="Z18" s="3" cm="1">
        <f t="array" ref="Z18">TREND($B$24:$B$74,Z$24:Z$74,Z7)</f>
        <v>9.76895253496214</v>
      </c>
      <c r="AA18" s="3" cm="1">
        <f t="array" ref="AA18">TREND($B$24:$B$74,AA$24:AA$74,AA7)</f>
        <v>9.81507597856764</v>
      </c>
      <c r="AB18" s="3" cm="1">
        <f t="array" ref="AB18">TREND($B$24:$B$74,AB$24:AB$74,AB7)</f>
        <v>9.51227417852492</v>
      </c>
      <c r="AC18" s="3" cm="1">
        <f t="array" ref="AC18">TREND($B$24:$B$74,AC$24:AC$74,AC7)</f>
        <v>4.51466043691109</v>
      </c>
      <c r="AD18" s="3" cm="1">
        <f t="array" ref="AD18">TREND($B$24:$B$74,AD$24:AD$74,AD7)</f>
        <v>9.65298364450105</v>
      </c>
      <c r="AE18" s="3" cm="1">
        <f t="array" ref="AE18">TREND($B$24:$B$74,AE$24:AE$74,AE7)</f>
        <v>6.79723378458085</v>
      </c>
    </row>
    <row r="19" spans="2:31">
      <c r="B19" s="14" t="s">
        <v>146</v>
      </c>
      <c r="C19" s="3" cm="1">
        <f t="array" ref="C19">TREND($B$24:$B$74,C$24:C$74,C8)</f>
        <v>3.14684903282716</v>
      </c>
      <c r="D19" s="3" cm="1">
        <f t="array" ref="D19">TREND($B$24:$B$74,D$24:D$74,D8)</f>
        <v>0.100393244271495</v>
      </c>
      <c r="E19" s="3" cm="1">
        <f t="array" ref="E19">TREND($B$24:$B$74,E$24:E$74,E8)</f>
        <v>4.80919021101297</v>
      </c>
      <c r="F19" s="3" cm="1">
        <f t="array" ref="F19">TREND($B$24:$B$74,F$24:F$74,F8)</f>
        <v>0.162843302205023</v>
      </c>
      <c r="G19" s="3" cm="1">
        <f t="array" ref="G19">TREND($B$24:$B$74,G$24:G$74,G8)</f>
        <v>0.263901959947856</v>
      </c>
      <c r="H19" s="3" cm="1">
        <f t="array" ref="H19">TREND($B$24:$B$74,H$24:H$74,H8)</f>
        <v>3.64512947808435</v>
      </c>
      <c r="I19" s="3" cm="1">
        <f t="array" ref="I19">TREND($B$24:$B$74,I$24:I$74,I8)</f>
        <v>3.44110809921431</v>
      </c>
      <c r="J19" s="3" cm="1">
        <f t="array" ref="J19">TREND($B$24:$B$74,J$24:J$74,J8)</f>
        <v>4.0826750302221</v>
      </c>
      <c r="K19" s="3" cm="1">
        <f t="array" ref="K19">TREND($B$24:$B$74,K$24:K$74,K8)</f>
        <v>9.81806080568964</v>
      </c>
      <c r="L19" s="3" cm="1">
        <f t="array" ref="L19">TREND($B$24:$B$74,L$24:L$74,L8)</f>
        <v>7.77653303791951</v>
      </c>
      <c r="M19" s="3" cm="1">
        <f t="array" ref="M19">TREND($B$24:$B$74,M$24:M$74,M8)</f>
        <v>3.24824258477214</v>
      </c>
      <c r="N19" s="3" cm="1">
        <f t="array" ref="N19">TREND($B$24:$B$74,N$24:N$74,N8)</f>
        <v>3.94166686054068</v>
      </c>
      <c r="O19" s="3" cm="1">
        <f t="array" ref="O19">TREND($B$24:$B$74,O$24:O$74,O8)</f>
        <v>0.652539598681077</v>
      </c>
      <c r="P19" s="3" cm="1">
        <f t="array" ref="P19">TREND($B$24:$B$74,P$24:P$74,P8)</f>
        <v>0.51313685977469</v>
      </c>
      <c r="Q19" s="3" cm="1">
        <f t="array" ref="Q19">TREND($B$24:$B$74,Q$24:Q$74,Q8)</f>
        <v>0.00233150580473274</v>
      </c>
      <c r="R19" s="3" cm="1">
        <f t="array" ref="R19">TREND($B$24:$B$74,R$24:R$74,R8)</f>
        <v>0.00786096589937524</v>
      </c>
      <c r="S19" s="3" cm="1">
        <f t="array" ref="S19">TREND($B$24:$B$74,S$24:S$74,S8)</f>
        <v>0.0748873944464628</v>
      </c>
      <c r="T19" s="3" cm="1">
        <f t="array" ref="T19">TREND($B$24:$B$74,T$24:T$74,T8)</f>
        <v>1.8663287419185</v>
      </c>
      <c r="U19" s="3" cm="1">
        <f t="array" ref="U19">TREND($B$24:$B$74,U$24:U$74,U8)</f>
        <v>0.0113564842810556</v>
      </c>
      <c r="V19" s="3" cm="1">
        <f t="array" ref="V19">TREND($B$24:$B$74,V$24:V$74,V8)</f>
        <v>4.44561033839823</v>
      </c>
      <c r="W19" s="3" cm="1">
        <f t="array" ref="W19">TREND($B$24:$B$74,W$24:W$74,W8)</f>
        <v>7.93917346016783</v>
      </c>
      <c r="X19" s="3" cm="1">
        <f t="array" ref="X19">TREND($B$24:$B$74,X$24:X$74,X8)</f>
        <v>2.7870714688635</v>
      </c>
      <c r="Y19" s="3" cm="1">
        <f t="array" ref="Y19">TREND($B$24:$B$74,Y$24:Y$74,Y8)</f>
        <v>4.24820118188098</v>
      </c>
      <c r="Z19" s="3" cm="1">
        <f t="array" ref="Z19">TREND($B$24:$B$74,Z$24:Z$74,Z8)</f>
        <v>4.74688306910924</v>
      </c>
      <c r="AA19" s="3" cm="1">
        <f t="array" ref="AA19">TREND($B$24:$B$74,AA$24:AA$74,AA8)</f>
        <v>2.39073114649116</v>
      </c>
      <c r="AB19" s="3" cm="1">
        <f t="array" ref="AB19">TREND($B$24:$B$74,AB$24:AB$74,AB8)</f>
        <v>1.71636408316492</v>
      </c>
      <c r="AC19" s="3" cm="1">
        <f t="array" ref="AC19">TREND($B$24:$B$74,AC$24:AC$74,AC8)</f>
        <v>4.42027333801855</v>
      </c>
      <c r="AD19" s="3" cm="1">
        <f t="array" ref="AD19">TREND($B$24:$B$74,AD$24:AD$74,AD8)</f>
        <v>4.62205605441171</v>
      </c>
      <c r="AE19" s="3" cm="1">
        <f t="array" ref="AE19">TREND($B$24:$B$74,AE$24:AE$74,AE8)</f>
        <v>9.78599327563502</v>
      </c>
    </row>
    <row r="20" spans="2:31">
      <c r="B20" s="14" t="s">
        <v>162</v>
      </c>
      <c r="C20" s="3" cm="1">
        <f t="array" ref="C20">TREND($B$24:$B$74,C$24:C$74,C9)</f>
        <v>4.64167298861732</v>
      </c>
      <c r="D20" s="3" cm="1">
        <f t="array" ref="D20">TREND($B$24:$B$74,D$24:D$74,D9)</f>
        <v>2.36078323238193</v>
      </c>
      <c r="E20" s="3" cm="1">
        <f t="array" ref="E20">TREND($B$24:$B$74,E$24:E$74,E9)</f>
        <v>5.19080978898704</v>
      </c>
      <c r="F20" s="3" cm="1">
        <f t="array" ref="F20">TREND($B$24:$B$74,F$24:F$74,F9)</f>
        <v>2.33805857971217</v>
      </c>
      <c r="G20" s="3" cm="1">
        <f t="array" ref="G20">TREND($B$24:$B$74,G$24:G$74,G9)</f>
        <v>2.55856224765945</v>
      </c>
      <c r="H20" s="3" cm="1">
        <f t="array" ref="H20">TREND($B$24:$B$74,H$24:H$74,H9)</f>
        <v>0.0999999999999925</v>
      </c>
      <c r="I20" s="3" cm="1">
        <f t="array" ref="I20">TREND($B$24:$B$74,I$24:I$74,I9)</f>
        <v>2.97069980292768</v>
      </c>
      <c r="J20" s="3" cm="1">
        <f t="array" ref="J20">TREND($B$24:$B$74,J$24:J$74,J9)</f>
        <v>6.79107854658677</v>
      </c>
      <c r="K20" s="3" cm="1">
        <f t="array" ref="K20">TREND($B$24:$B$74,K$24:K$74,K9)</f>
        <v>0.203502327045436</v>
      </c>
      <c r="L20" s="3" cm="1">
        <f t="array" ref="L20">TREND($B$24:$B$74,L$24:L$74,L9)</f>
        <v>5.7147836816919</v>
      </c>
      <c r="M20" s="3" cm="1">
        <f t="array" ref="M20">TREND($B$24:$B$74,M$24:M$74,M9)</f>
        <v>4.43000156871224</v>
      </c>
      <c r="N20" s="3" cm="1">
        <f t="array" ref="N20">TREND($B$24:$B$74,N$24:N$74,N9)</f>
        <v>6.37228088627051</v>
      </c>
      <c r="O20" s="3" cm="1">
        <f t="array" ref="O20">TREND($B$24:$B$74,O$24:O$74,O9)</f>
        <v>3.51005409161167</v>
      </c>
      <c r="P20" s="3" cm="1">
        <f t="array" ref="P20">TREND($B$24:$B$74,P$24:P$74,P9)</f>
        <v>4.14334310650433</v>
      </c>
      <c r="Q20" s="3" cm="1">
        <f t="array" ref="Q20">TREND($B$24:$B$74,Q$24:Q$74,Q9)</f>
        <v>0.643324894636559</v>
      </c>
      <c r="R20" s="3" cm="1">
        <f t="array" ref="R20">TREND($B$24:$B$74,R$24:R$74,R9)</f>
        <v>9.99213903410064</v>
      </c>
      <c r="S20" s="3" cm="1">
        <f t="array" ref="S20">TREND($B$24:$B$74,S$24:S$74,S9)</f>
        <v>0.0179592942702099</v>
      </c>
      <c r="T20" s="3" cm="1">
        <f t="array" ref="T20">TREND($B$24:$B$74,T$24:T$74,T9)</f>
        <v>0.0191333798078857</v>
      </c>
      <c r="U20" s="3" cm="1">
        <f t="array" ref="U20">TREND($B$24:$B$74,U$24:U$74,U9)</f>
        <v>2.11602202905795</v>
      </c>
      <c r="V20" s="3" cm="1">
        <f t="array" ref="V20">TREND($B$24:$B$74,V$24:V$74,V9)</f>
        <v>1.69353939175811</v>
      </c>
      <c r="W20" s="3" cm="1">
        <f t="array" ref="W20">TREND($B$24:$B$74,W$24:W$74,W9)</f>
        <v>9.55826355486485</v>
      </c>
      <c r="X20" s="3" cm="1">
        <f t="array" ref="X20">TREND($B$24:$B$74,X$24:X$74,X9)</f>
        <v>4.12477343825125</v>
      </c>
      <c r="Y20" s="3" cm="1">
        <f t="array" ref="Y20">TREND($B$24:$B$74,Y$24:Y$74,Y9)</f>
        <v>0.775777306628726</v>
      </c>
      <c r="Z20" s="3" cm="1">
        <f t="array" ref="Z20">TREND($B$24:$B$74,Z$24:Z$74,Z9)</f>
        <v>1.23219877085771</v>
      </c>
      <c r="AA20" s="3" cm="1">
        <f t="array" ref="AA20">TREND($B$24:$B$74,AA$24:AA$74,AA9)</f>
        <v>3.57711806190824</v>
      </c>
      <c r="AB20" s="3" cm="1">
        <f t="array" ref="AB20">TREND($B$24:$B$74,AB$24:AB$74,AB9)</f>
        <v>4.31906831890625</v>
      </c>
      <c r="AC20" s="3" cm="1">
        <f t="array" ref="AC20">TREND($B$24:$B$74,AC$24:AC$74,AC9)</f>
        <v>9.69989724170201</v>
      </c>
      <c r="AD20" s="3" cm="1">
        <f t="array" ref="AD20">TREND($B$24:$B$74,AD$24:AD$74,AD9)</f>
        <v>1.57958350468137</v>
      </c>
      <c r="AE20" s="3" cm="1">
        <f t="array" ref="AE20">TREND($B$24:$B$74,AE$24:AE$74,AE9)</f>
        <v>4.75904293095921</v>
      </c>
    </row>
    <row r="21" spans="2:31">
      <c r="B21" s="2" t="s">
        <v>1341</v>
      </c>
      <c r="C21" s="3">
        <v>10</v>
      </c>
      <c r="D21" s="3">
        <v>10</v>
      </c>
      <c r="E21" s="3">
        <v>10</v>
      </c>
      <c r="F21" s="3">
        <v>10</v>
      </c>
      <c r="G21" s="3">
        <v>10</v>
      </c>
      <c r="H21" s="3">
        <v>10</v>
      </c>
      <c r="I21" s="3">
        <v>10</v>
      </c>
      <c r="J21" s="3">
        <v>10</v>
      </c>
      <c r="K21" s="3">
        <v>10</v>
      </c>
      <c r="L21" s="3">
        <v>10</v>
      </c>
      <c r="M21" s="3">
        <v>10</v>
      </c>
      <c r="N21" s="3">
        <v>10</v>
      </c>
      <c r="O21" s="3">
        <v>10</v>
      </c>
      <c r="P21" s="3">
        <v>10</v>
      </c>
      <c r="Q21" s="3">
        <v>10</v>
      </c>
      <c r="R21" s="3">
        <v>10</v>
      </c>
      <c r="S21" s="3">
        <v>10</v>
      </c>
      <c r="T21" s="3">
        <v>10</v>
      </c>
      <c r="U21" s="3">
        <v>10</v>
      </c>
      <c r="V21" s="3">
        <v>10</v>
      </c>
      <c r="W21" s="3">
        <v>10</v>
      </c>
      <c r="X21" s="3">
        <v>10</v>
      </c>
      <c r="Y21" s="3">
        <v>10</v>
      </c>
      <c r="Z21" s="3">
        <v>10</v>
      </c>
      <c r="AA21" s="3">
        <v>10</v>
      </c>
      <c r="AB21" s="3">
        <v>10</v>
      </c>
      <c r="AC21" s="3">
        <v>10</v>
      </c>
      <c r="AD21" s="3">
        <v>10</v>
      </c>
      <c r="AE21" s="3">
        <v>10</v>
      </c>
    </row>
    <row r="22" ht="51.95" customHeight="1" spans="2:31">
      <c r="B22" s="19" t="s">
        <v>1342</v>
      </c>
      <c r="C22" s="19"/>
      <c r="D22" s="19"/>
      <c r="E22" s="19"/>
      <c r="F22" s="19"/>
      <c r="G22" s="19"/>
      <c r="H22" s="19"/>
      <c r="I22" s="19"/>
      <c r="J22" s="19"/>
      <c r="K22" s="19"/>
      <c r="L22" s="19"/>
      <c r="M22" s="19"/>
      <c r="N22" s="19"/>
      <c r="O22" s="19"/>
      <c r="P22" s="19"/>
      <c r="Q22" s="20"/>
      <c r="R22" s="20"/>
      <c r="S22" s="20"/>
      <c r="T22" s="20"/>
      <c r="U22" s="20"/>
      <c r="V22" s="20"/>
      <c r="W22" s="20"/>
      <c r="X22" s="20"/>
      <c r="Y22" s="20"/>
      <c r="Z22" s="20"/>
      <c r="AA22" s="20"/>
      <c r="AB22" s="20"/>
      <c r="AC22" s="20"/>
      <c r="AD22" s="20"/>
      <c r="AE22" s="20"/>
    </row>
    <row r="23" spans="2:31">
      <c r="B23" s="22" t="s">
        <v>1343</v>
      </c>
      <c r="C23" s="22" t="s">
        <v>1346</v>
      </c>
      <c r="D23" s="23" t="s">
        <v>72</v>
      </c>
      <c r="E23" s="24" t="s">
        <v>74</v>
      </c>
      <c r="F23" s="24" t="s">
        <v>76</v>
      </c>
      <c r="G23" s="23" t="s">
        <v>78</v>
      </c>
      <c r="H23" s="23" t="s">
        <v>80</v>
      </c>
      <c r="I23" s="23" t="s">
        <v>82</v>
      </c>
      <c r="J23" s="23" t="s">
        <v>84</v>
      </c>
      <c r="K23" s="23" t="s">
        <v>86</v>
      </c>
      <c r="L23" s="23" t="s">
        <v>88</v>
      </c>
      <c r="M23" s="23" t="s">
        <v>90</v>
      </c>
      <c r="N23" s="23" t="s">
        <v>92</v>
      </c>
      <c r="O23" s="23" t="s">
        <v>94</v>
      </c>
      <c r="P23" s="23" t="s">
        <v>1356</v>
      </c>
      <c r="Q23" s="23" t="s">
        <v>96</v>
      </c>
      <c r="R23" s="23" t="s">
        <v>98</v>
      </c>
      <c r="S23" s="23" t="s">
        <v>100</v>
      </c>
      <c r="T23" s="23" t="s">
        <v>169</v>
      </c>
      <c r="U23" s="25" t="s">
        <v>1357</v>
      </c>
      <c r="V23" s="23" t="s">
        <v>104</v>
      </c>
      <c r="W23" s="23" t="s">
        <v>106</v>
      </c>
      <c r="X23" s="23" t="s">
        <v>108</v>
      </c>
      <c r="Y23" s="23" t="s">
        <v>110</v>
      </c>
      <c r="Z23" s="23" t="s">
        <v>112</v>
      </c>
      <c r="AA23" s="23" t="s">
        <v>114</v>
      </c>
      <c r="AB23" s="23" t="s">
        <v>116</v>
      </c>
      <c r="AC23" s="23" t="s">
        <v>118</v>
      </c>
      <c r="AD23" s="26" t="s">
        <v>171</v>
      </c>
      <c r="AE23" s="26" t="s">
        <v>172</v>
      </c>
    </row>
    <row r="24" spans="2:31">
      <c r="B24" s="3">
        <v>0</v>
      </c>
      <c r="C24" s="3">
        <f t="shared" ref="C24:AE24" si="3">C$10-0.1</f>
        <v>-0.0249703196140568</v>
      </c>
      <c r="D24" s="3">
        <f t="shared" si="3"/>
        <v>2.6939953768386</v>
      </c>
      <c r="E24" s="3">
        <f t="shared" si="3"/>
        <v>-0.0942183816183433</v>
      </c>
      <c r="F24" s="3">
        <f t="shared" si="3"/>
        <v>2.77433920382643</v>
      </c>
      <c r="G24" s="3">
        <f t="shared" si="3"/>
        <v>3.15046740927081</v>
      </c>
      <c r="H24" s="3">
        <f t="shared" si="3"/>
        <v>3.56920749698035</v>
      </c>
      <c r="I24" s="3">
        <f t="shared" si="3"/>
        <v>14.0676752727519</v>
      </c>
      <c r="J24" s="3">
        <f t="shared" si="3"/>
        <v>5.56581989520109</v>
      </c>
      <c r="K24" s="3">
        <f t="shared" si="3"/>
        <v>5.87970635402598</v>
      </c>
      <c r="L24" s="3">
        <f t="shared" si="3"/>
        <v>12.3132391884928</v>
      </c>
      <c r="M24" s="3">
        <f t="shared" si="3"/>
        <v>7.39215623583787</v>
      </c>
      <c r="N24" s="3">
        <f t="shared" si="3"/>
        <v>0.84812819354871</v>
      </c>
      <c r="O24" s="3">
        <f t="shared" si="3"/>
        <v>0.0967206402638755</v>
      </c>
      <c r="P24" s="3">
        <f t="shared" si="3"/>
        <v>-0.1</v>
      </c>
      <c r="Q24" s="3">
        <f t="shared" si="3"/>
        <v>28.5277796361075</v>
      </c>
      <c r="R24" s="3">
        <f t="shared" si="3"/>
        <v>5.70100957818742</v>
      </c>
      <c r="S24" s="3">
        <f t="shared" si="3"/>
        <v>4.28763300319893</v>
      </c>
      <c r="T24" s="3">
        <f t="shared" si="3"/>
        <v>-0.1</v>
      </c>
      <c r="U24" s="3">
        <f t="shared" si="3"/>
        <v>14.0461440205631</v>
      </c>
      <c r="V24" s="3">
        <f t="shared" si="3"/>
        <v>3.45874349147213</v>
      </c>
      <c r="W24" s="3">
        <f t="shared" si="3"/>
        <v>1.3887639419037</v>
      </c>
      <c r="X24" s="3">
        <f t="shared" si="3"/>
        <v>2.56992391406507</v>
      </c>
      <c r="Y24" s="3">
        <f t="shared" si="3"/>
        <v>0.44964658066467</v>
      </c>
      <c r="Z24" s="3">
        <f t="shared" si="3"/>
        <v>0.29496835316263</v>
      </c>
      <c r="AA24" s="3">
        <f t="shared" si="3"/>
        <v>0.892735518415559</v>
      </c>
      <c r="AB24" s="3">
        <f t="shared" si="3"/>
        <v>0.0869555587629877</v>
      </c>
      <c r="AC24" s="3">
        <f t="shared" si="3"/>
        <v>1.8818240756098</v>
      </c>
      <c r="AD24" s="3">
        <f t="shared" si="3"/>
        <v>3.45874349147213</v>
      </c>
      <c r="AE24" s="3">
        <f t="shared" si="3"/>
        <v>5.97957119528572</v>
      </c>
    </row>
    <row r="25" spans="2:31">
      <c r="B25" s="3">
        <v>0.2</v>
      </c>
      <c r="C25" s="3">
        <f>C24+(((C$11+0.1)-(C$10-0.1))/50)</f>
        <v>-0.0186147557495801</v>
      </c>
      <c r="D25" s="3">
        <f>D24+(((D$11+0.1)-(D$10-0.1))/50)</f>
        <v>2.89321196900206</v>
      </c>
      <c r="E25" s="3">
        <f>E24+(((E$11+0.1)-(E$10-0.1))/50)</f>
        <v>-0.0900596773204346</v>
      </c>
      <c r="F25" s="3">
        <f>F24+(((F$11+0.1)-(F$10-0.1))/50)</f>
        <v>2.95838784918616</v>
      </c>
      <c r="G25" s="3">
        <f>G24+(((G$11+0.1)-(G$10-0.1))/50)</f>
        <v>3.34211349866365</v>
      </c>
      <c r="H25" s="3">
        <f>H24+0.2</f>
        <v>3.76920749698035</v>
      </c>
      <c r="I25" s="3">
        <f>I24+0.2</f>
        <v>14.2676752727519</v>
      </c>
      <c r="J25" s="3">
        <f>J24+0.2</f>
        <v>5.76581989520109</v>
      </c>
      <c r="K25" s="3">
        <f t="shared" ref="K25:AE36" si="4">K24+(((K$11+0.1)-(K$10-0.1))/50)</f>
        <v>5.98963319016381</v>
      </c>
      <c r="L25" s="3">
        <f t="shared" si="4"/>
        <v>12.62681031864</v>
      </c>
      <c r="M25" s="3">
        <f t="shared" si="4"/>
        <v>7.848667320118</v>
      </c>
      <c r="N25" s="3">
        <f t="shared" si="4"/>
        <v>0.897026690649685</v>
      </c>
      <c r="O25" s="3">
        <f t="shared" si="4"/>
        <v>0.127370121215567</v>
      </c>
      <c r="P25" s="3">
        <f t="shared" si="4"/>
        <v>-0.0610240433540836</v>
      </c>
      <c r="Q25" s="3">
        <f t="shared" si="4"/>
        <v>37.1059268401227</v>
      </c>
      <c r="R25" s="3">
        <f t="shared" si="4"/>
        <v>8.24522618668283</v>
      </c>
      <c r="S25" s="3">
        <f t="shared" si="4"/>
        <v>5.40126250885126</v>
      </c>
      <c r="T25" s="3">
        <f t="shared" si="4"/>
        <v>0.94529362824616</v>
      </c>
      <c r="U25" s="3">
        <f t="shared" si="4"/>
        <v>15.8072524327287</v>
      </c>
      <c r="V25" s="3">
        <f t="shared" si="4"/>
        <v>3.51703735159118</v>
      </c>
      <c r="W25" s="3">
        <f t="shared" si="4"/>
        <v>1.43403980768354</v>
      </c>
      <c r="X25" s="3">
        <f t="shared" si="4"/>
        <v>2.68862534033947</v>
      </c>
      <c r="Y25" s="3">
        <f t="shared" si="4"/>
        <v>0.475427174952628</v>
      </c>
      <c r="Z25" s="3">
        <f t="shared" si="4"/>
        <v>0.381530653236868</v>
      </c>
      <c r="AA25" s="3">
        <f t="shared" si="4"/>
        <v>1.00088804422094</v>
      </c>
      <c r="AB25" s="3">
        <f t="shared" si="4"/>
        <v>0.127962204545062</v>
      </c>
      <c r="AC25" s="3">
        <f t="shared" si="4"/>
        <v>1.94846791491814</v>
      </c>
      <c r="AD25" s="3">
        <f t="shared" si="4"/>
        <v>3.51637766255102</v>
      </c>
      <c r="AE25" s="3">
        <f t="shared" si="4"/>
        <v>6.07302620264282</v>
      </c>
    </row>
    <row r="26" spans="2:31">
      <c r="B26" s="3">
        <f>B25+0.2</f>
        <v>0.4</v>
      </c>
      <c r="C26" s="3">
        <f t="shared" ref="C26:G41" si="5">C25+(((C$11+0.1)-(C$10-0.1))/50)</f>
        <v>-0.0122591918851033</v>
      </c>
      <c r="D26" s="3">
        <f t="shared" si="5"/>
        <v>3.09242856116552</v>
      </c>
      <c r="E26" s="3">
        <f t="shared" si="5"/>
        <v>-0.0859009730225259</v>
      </c>
      <c r="F26" s="3">
        <f t="shared" si="5"/>
        <v>3.1424364945459</v>
      </c>
      <c r="G26" s="3">
        <f t="shared" si="5"/>
        <v>3.5337595880565</v>
      </c>
      <c r="H26" s="3">
        <f t="shared" ref="H26:J41" si="6">H25+0.2</f>
        <v>3.96920749698035</v>
      </c>
      <c r="I26" s="3">
        <f t="shared" si="6"/>
        <v>14.4676752727519</v>
      </c>
      <c r="J26" s="3">
        <f t="shared" si="6"/>
        <v>5.96581989520109</v>
      </c>
      <c r="K26" s="3">
        <f t="shared" si="4"/>
        <v>6.09956002630164</v>
      </c>
      <c r="L26" s="3">
        <f t="shared" si="4"/>
        <v>12.9403814487873</v>
      </c>
      <c r="M26" s="3">
        <f t="shared" si="4"/>
        <v>8.30517840439813</v>
      </c>
      <c r="N26" s="3">
        <f t="shared" si="4"/>
        <v>0.945925187750661</v>
      </c>
      <c r="O26" s="3">
        <f t="shared" si="4"/>
        <v>0.158019602167259</v>
      </c>
      <c r="P26" s="3">
        <f t="shared" si="4"/>
        <v>-0.0220480867081672</v>
      </c>
      <c r="Q26" s="3">
        <f t="shared" si="4"/>
        <v>45.6840740441378</v>
      </c>
      <c r="R26" s="3">
        <f t="shared" si="4"/>
        <v>10.7894427951782</v>
      </c>
      <c r="S26" s="3">
        <f t="shared" si="4"/>
        <v>6.51489201450359</v>
      </c>
      <c r="T26" s="3">
        <f t="shared" si="4"/>
        <v>1.99058725649232</v>
      </c>
      <c r="U26" s="3">
        <f t="shared" si="4"/>
        <v>17.5683608448942</v>
      </c>
      <c r="V26" s="3">
        <f t="shared" si="4"/>
        <v>3.57533121171024</v>
      </c>
      <c r="W26" s="3">
        <f t="shared" si="4"/>
        <v>1.47931567346337</v>
      </c>
      <c r="X26" s="3">
        <f t="shared" si="4"/>
        <v>2.80732676661386</v>
      </c>
      <c r="Y26" s="3">
        <f t="shared" si="4"/>
        <v>0.501207769240586</v>
      </c>
      <c r="Z26" s="3">
        <f t="shared" si="4"/>
        <v>0.468092953311106</v>
      </c>
      <c r="AA26" s="3">
        <f t="shared" si="4"/>
        <v>1.10904057002632</v>
      </c>
      <c r="AB26" s="3">
        <f t="shared" si="4"/>
        <v>0.168968850327136</v>
      </c>
      <c r="AC26" s="3">
        <f t="shared" si="4"/>
        <v>2.01511175422648</v>
      </c>
      <c r="AD26" s="3">
        <f t="shared" si="4"/>
        <v>3.5740118336299</v>
      </c>
      <c r="AE26" s="3">
        <f t="shared" si="4"/>
        <v>6.16648120999992</v>
      </c>
    </row>
    <row r="27" spans="2:31">
      <c r="B27" s="3">
        <f t="shared" ref="B27:B74" si="7">B26+0.2</f>
        <v>0.6</v>
      </c>
      <c r="C27" s="3">
        <f t="shared" si="5"/>
        <v>-0.0059036280206265</v>
      </c>
      <c r="D27" s="3">
        <f t="shared" si="5"/>
        <v>3.29164515332898</v>
      </c>
      <c r="E27" s="3">
        <f t="shared" si="5"/>
        <v>-0.0817422687246172</v>
      </c>
      <c r="F27" s="3">
        <f t="shared" si="5"/>
        <v>3.32648513990563</v>
      </c>
      <c r="G27" s="3">
        <f t="shared" si="5"/>
        <v>3.72540567744935</v>
      </c>
      <c r="H27" s="3">
        <f t="shared" si="6"/>
        <v>4.16920749698035</v>
      </c>
      <c r="I27" s="3">
        <f t="shared" si="6"/>
        <v>14.6676752727519</v>
      </c>
      <c r="J27" s="3">
        <f t="shared" si="6"/>
        <v>6.16581989520109</v>
      </c>
      <c r="K27" s="3">
        <f t="shared" si="4"/>
        <v>6.20948686243948</v>
      </c>
      <c r="L27" s="3">
        <f t="shared" si="4"/>
        <v>13.2539525789345</v>
      </c>
      <c r="M27" s="3">
        <f t="shared" si="4"/>
        <v>8.76168948867825</v>
      </c>
      <c r="N27" s="3">
        <f t="shared" si="4"/>
        <v>0.994823684851637</v>
      </c>
      <c r="O27" s="3">
        <f t="shared" si="4"/>
        <v>0.18866908311895</v>
      </c>
      <c r="P27" s="3">
        <f t="shared" si="4"/>
        <v>0.0169278699377491</v>
      </c>
      <c r="Q27" s="3">
        <f t="shared" si="4"/>
        <v>54.2622212481529</v>
      </c>
      <c r="R27" s="3">
        <f t="shared" si="4"/>
        <v>13.3336594036736</v>
      </c>
      <c r="S27" s="3">
        <f t="shared" si="4"/>
        <v>7.62852152015591</v>
      </c>
      <c r="T27" s="3">
        <f t="shared" si="4"/>
        <v>3.03588088473848</v>
      </c>
      <c r="U27" s="3">
        <f t="shared" si="4"/>
        <v>19.3294692570598</v>
      </c>
      <c r="V27" s="3">
        <f t="shared" si="4"/>
        <v>3.63362507182929</v>
      </c>
      <c r="W27" s="3">
        <f t="shared" si="4"/>
        <v>1.52459153924321</v>
      </c>
      <c r="X27" s="3">
        <f t="shared" si="4"/>
        <v>2.92602819288826</v>
      </c>
      <c r="Y27" s="3">
        <f t="shared" si="4"/>
        <v>0.526988363528545</v>
      </c>
      <c r="Z27" s="3">
        <f t="shared" si="4"/>
        <v>0.554655253385343</v>
      </c>
      <c r="AA27" s="3">
        <f t="shared" si="4"/>
        <v>1.2171930958317</v>
      </c>
      <c r="AB27" s="3">
        <f t="shared" si="4"/>
        <v>0.209975496109211</v>
      </c>
      <c r="AC27" s="3">
        <f t="shared" si="4"/>
        <v>2.08175559353482</v>
      </c>
      <c r="AD27" s="3">
        <f t="shared" si="4"/>
        <v>3.63164600470879</v>
      </c>
      <c r="AE27" s="3">
        <f t="shared" si="4"/>
        <v>6.25993621735702</v>
      </c>
    </row>
    <row r="28" spans="2:31">
      <c r="B28" s="3">
        <f t="shared" si="7"/>
        <v>0.8</v>
      </c>
      <c r="C28" s="3">
        <f t="shared" si="5"/>
        <v>0.000451935843850284</v>
      </c>
      <c r="D28" s="3">
        <f t="shared" si="5"/>
        <v>3.49086174549244</v>
      </c>
      <c r="E28" s="3">
        <f t="shared" si="5"/>
        <v>-0.0775835644267085</v>
      </c>
      <c r="F28" s="3">
        <f t="shared" si="5"/>
        <v>3.51053378526536</v>
      </c>
      <c r="G28" s="3">
        <f t="shared" si="5"/>
        <v>3.91705176684219</v>
      </c>
      <c r="H28" s="3">
        <f t="shared" si="6"/>
        <v>4.36920749698035</v>
      </c>
      <c r="I28" s="3">
        <f t="shared" si="6"/>
        <v>14.8676752727519</v>
      </c>
      <c r="J28" s="3">
        <f t="shared" si="6"/>
        <v>6.36581989520109</v>
      </c>
      <c r="K28" s="3">
        <f t="shared" si="4"/>
        <v>6.31941369857731</v>
      </c>
      <c r="L28" s="3">
        <f t="shared" si="4"/>
        <v>13.5675237090817</v>
      </c>
      <c r="M28" s="3">
        <f t="shared" si="4"/>
        <v>9.21820057295838</v>
      </c>
      <c r="N28" s="3">
        <f t="shared" si="4"/>
        <v>1.04372218195261</v>
      </c>
      <c r="O28" s="3">
        <f t="shared" si="4"/>
        <v>0.219318564070642</v>
      </c>
      <c r="P28" s="3">
        <f t="shared" si="4"/>
        <v>0.0559038265836655</v>
      </c>
      <c r="Q28" s="3">
        <f t="shared" si="4"/>
        <v>62.840368452168</v>
      </c>
      <c r="R28" s="3">
        <f t="shared" si="4"/>
        <v>15.877876012169</v>
      </c>
      <c r="S28" s="3">
        <f t="shared" si="4"/>
        <v>8.74215102580824</v>
      </c>
      <c r="T28" s="3">
        <f t="shared" si="4"/>
        <v>4.08117451298464</v>
      </c>
      <c r="U28" s="3">
        <f t="shared" si="4"/>
        <v>21.0905776692254</v>
      </c>
      <c r="V28" s="3">
        <f t="shared" si="4"/>
        <v>3.69191893194835</v>
      </c>
      <c r="W28" s="3">
        <f t="shared" si="4"/>
        <v>1.56986740502304</v>
      </c>
      <c r="X28" s="3">
        <f t="shared" si="4"/>
        <v>3.04472961916265</v>
      </c>
      <c r="Y28" s="3">
        <f t="shared" si="4"/>
        <v>0.552768957816503</v>
      </c>
      <c r="Z28" s="3">
        <f t="shared" si="4"/>
        <v>0.641217553459581</v>
      </c>
      <c r="AA28" s="3">
        <f t="shared" si="4"/>
        <v>1.32534562163708</v>
      </c>
      <c r="AB28" s="3">
        <f t="shared" si="4"/>
        <v>0.250982141891285</v>
      </c>
      <c r="AC28" s="3">
        <f t="shared" si="4"/>
        <v>2.14839943284316</v>
      </c>
      <c r="AD28" s="3">
        <f t="shared" si="4"/>
        <v>3.68928017578768</v>
      </c>
      <c r="AE28" s="3">
        <f t="shared" si="4"/>
        <v>6.35339122471411</v>
      </c>
    </row>
    <row r="29" spans="2:31">
      <c r="B29" s="3">
        <f t="shared" si="7"/>
        <v>1</v>
      </c>
      <c r="C29" s="3">
        <f t="shared" si="5"/>
        <v>0.00680749970832706</v>
      </c>
      <c r="D29" s="3">
        <f t="shared" si="5"/>
        <v>3.6900783376559</v>
      </c>
      <c r="E29" s="3">
        <f t="shared" si="5"/>
        <v>-0.0734248601287999</v>
      </c>
      <c r="F29" s="3">
        <f t="shared" si="5"/>
        <v>3.6945824306251</v>
      </c>
      <c r="G29" s="3">
        <f t="shared" si="5"/>
        <v>4.10869785623504</v>
      </c>
      <c r="H29" s="3">
        <f t="shared" si="6"/>
        <v>4.56920749698035</v>
      </c>
      <c r="I29" s="3">
        <f t="shared" si="6"/>
        <v>15.0676752727519</v>
      </c>
      <c r="J29" s="3">
        <f t="shared" si="6"/>
        <v>6.56581989520109</v>
      </c>
      <c r="K29" s="3">
        <f t="shared" si="4"/>
        <v>6.42934053471514</v>
      </c>
      <c r="L29" s="3">
        <f t="shared" si="4"/>
        <v>13.8810948392289</v>
      </c>
      <c r="M29" s="3">
        <f t="shared" si="4"/>
        <v>9.67471165723851</v>
      </c>
      <c r="N29" s="3">
        <f t="shared" si="4"/>
        <v>1.09262067905359</v>
      </c>
      <c r="O29" s="3">
        <f t="shared" si="4"/>
        <v>0.249968045022334</v>
      </c>
      <c r="P29" s="3">
        <f t="shared" si="4"/>
        <v>0.0948797832295819</v>
      </c>
      <c r="Q29" s="3">
        <f t="shared" si="4"/>
        <v>71.4185156561831</v>
      </c>
      <c r="R29" s="3">
        <f t="shared" si="4"/>
        <v>18.4220926206645</v>
      </c>
      <c r="S29" s="3">
        <f t="shared" si="4"/>
        <v>9.85578053146057</v>
      </c>
      <c r="T29" s="3">
        <f t="shared" si="4"/>
        <v>5.1264681412308</v>
      </c>
      <c r="U29" s="3">
        <f t="shared" si="4"/>
        <v>22.8516860813909</v>
      </c>
      <c r="V29" s="3">
        <f t="shared" si="4"/>
        <v>3.7502127920674</v>
      </c>
      <c r="W29" s="3">
        <f t="shared" si="4"/>
        <v>1.61514327080288</v>
      </c>
      <c r="X29" s="3">
        <f t="shared" si="4"/>
        <v>3.16343104543704</v>
      </c>
      <c r="Y29" s="3">
        <f t="shared" si="4"/>
        <v>0.578549552104461</v>
      </c>
      <c r="Z29" s="3">
        <f t="shared" si="4"/>
        <v>0.727779853533819</v>
      </c>
      <c r="AA29" s="3">
        <f t="shared" si="4"/>
        <v>1.43349814744246</v>
      </c>
      <c r="AB29" s="3">
        <f t="shared" si="4"/>
        <v>0.29198878767336</v>
      </c>
      <c r="AC29" s="3">
        <f t="shared" si="4"/>
        <v>2.2150432721515</v>
      </c>
      <c r="AD29" s="3">
        <f t="shared" si="4"/>
        <v>3.74691434686657</v>
      </c>
      <c r="AE29" s="3">
        <f t="shared" si="4"/>
        <v>6.44684623207121</v>
      </c>
    </row>
    <row r="30" spans="2:31">
      <c r="B30" s="3">
        <f t="shared" si="7"/>
        <v>1.2</v>
      </c>
      <c r="C30" s="3">
        <f t="shared" si="5"/>
        <v>0.0131630635728038</v>
      </c>
      <c r="D30" s="3">
        <f t="shared" si="5"/>
        <v>3.88929492981936</v>
      </c>
      <c r="E30" s="3">
        <f t="shared" si="5"/>
        <v>-0.0692661558308912</v>
      </c>
      <c r="F30" s="3">
        <f t="shared" si="5"/>
        <v>3.87863107598483</v>
      </c>
      <c r="G30" s="3">
        <f t="shared" si="5"/>
        <v>4.30034394562788</v>
      </c>
      <c r="H30" s="3">
        <f t="shared" si="6"/>
        <v>4.76920749698035</v>
      </c>
      <c r="I30" s="3">
        <f t="shared" si="6"/>
        <v>15.2676752727519</v>
      </c>
      <c r="J30" s="3">
        <f t="shared" si="6"/>
        <v>6.76581989520109</v>
      </c>
      <c r="K30" s="3">
        <f t="shared" si="4"/>
        <v>6.53926737085298</v>
      </c>
      <c r="L30" s="3">
        <f t="shared" si="4"/>
        <v>14.1946659693762</v>
      </c>
      <c r="M30" s="3">
        <f t="shared" si="4"/>
        <v>10.1312227415186</v>
      </c>
      <c r="N30" s="3">
        <f t="shared" si="4"/>
        <v>1.14151917615456</v>
      </c>
      <c r="O30" s="3">
        <f t="shared" si="4"/>
        <v>0.280617525974025</v>
      </c>
      <c r="P30" s="3">
        <f t="shared" si="4"/>
        <v>0.133855739875498</v>
      </c>
      <c r="Q30" s="3">
        <f t="shared" si="4"/>
        <v>79.9966628601982</v>
      </c>
      <c r="R30" s="3">
        <f t="shared" si="4"/>
        <v>20.9663092291599</v>
      </c>
      <c r="S30" s="3">
        <f t="shared" si="4"/>
        <v>10.9694100371129</v>
      </c>
      <c r="T30" s="3">
        <f t="shared" si="4"/>
        <v>6.17176176947696</v>
      </c>
      <c r="U30" s="3">
        <f t="shared" si="4"/>
        <v>24.6127944935565</v>
      </c>
      <c r="V30" s="3">
        <f t="shared" si="4"/>
        <v>3.80850665218646</v>
      </c>
      <c r="W30" s="3">
        <f t="shared" si="4"/>
        <v>1.66041913658272</v>
      </c>
      <c r="X30" s="3">
        <f t="shared" si="4"/>
        <v>3.28213247171144</v>
      </c>
      <c r="Y30" s="3">
        <f t="shared" si="4"/>
        <v>0.604330146392419</v>
      </c>
      <c r="Z30" s="3">
        <f t="shared" si="4"/>
        <v>0.814342153608057</v>
      </c>
      <c r="AA30" s="3">
        <f t="shared" si="4"/>
        <v>1.54165067324785</v>
      </c>
      <c r="AB30" s="3">
        <f t="shared" si="4"/>
        <v>0.332995433455434</v>
      </c>
      <c r="AC30" s="3">
        <f t="shared" si="4"/>
        <v>2.28168711145983</v>
      </c>
      <c r="AD30" s="3">
        <f t="shared" si="4"/>
        <v>3.80454851794546</v>
      </c>
      <c r="AE30" s="3">
        <f t="shared" si="4"/>
        <v>6.54030123942831</v>
      </c>
    </row>
    <row r="31" spans="2:31">
      <c r="B31" s="3">
        <f t="shared" si="7"/>
        <v>1.4</v>
      </c>
      <c r="C31" s="3">
        <f t="shared" si="5"/>
        <v>0.0195186274372806</v>
      </c>
      <c r="D31" s="3">
        <f t="shared" si="5"/>
        <v>4.08851152198282</v>
      </c>
      <c r="E31" s="3">
        <f t="shared" si="5"/>
        <v>-0.0651074515329825</v>
      </c>
      <c r="F31" s="3">
        <f t="shared" si="5"/>
        <v>4.06267972134456</v>
      </c>
      <c r="G31" s="3">
        <f t="shared" si="5"/>
        <v>4.49199003502073</v>
      </c>
      <c r="H31" s="3">
        <f t="shared" si="6"/>
        <v>4.96920749698035</v>
      </c>
      <c r="I31" s="3">
        <f t="shared" si="6"/>
        <v>15.4676752727519</v>
      </c>
      <c r="J31" s="3">
        <f t="shared" si="6"/>
        <v>6.96581989520109</v>
      </c>
      <c r="K31" s="3">
        <f t="shared" si="4"/>
        <v>6.64919420699081</v>
      </c>
      <c r="L31" s="3">
        <f t="shared" si="4"/>
        <v>14.5082370995234</v>
      </c>
      <c r="M31" s="3">
        <f t="shared" si="4"/>
        <v>10.5877338257988</v>
      </c>
      <c r="N31" s="3">
        <f t="shared" si="4"/>
        <v>1.19041767325554</v>
      </c>
      <c r="O31" s="3">
        <f t="shared" si="4"/>
        <v>0.311267006925717</v>
      </c>
      <c r="P31" s="3">
        <f t="shared" si="4"/>
        <v>0.172831696521415</v>
      </c>
      <c r="Q31" s="3">
        <f t="shared" si="4"/>
        <v>88.5748100642133</v>
      </c>
      <c r="R31" s="3">
        <f t="shared" si="4"/>
        <v>23.5105258376553</v>
      </c>
      <c r="S31" s="3">
        <f t="shared" si="4"/>
        <v>12.0830395427652</v>
      </c>
      <c r="T31" s="3">
        <f t="shared" si="4"/>
        <v>7.21705539772312</v>
      </c>
      <c r="U31" s="3">
        <f t="shared" si="4"/>
        <v>26.373902905722</v>
      </c>
      <c r="V31" s="3">
        <f t="shared" si="4"/>
        <v>3.86680051230551</v>
      </c>
      <c r="W31" s="3">
        <f t="shared" si="4"/>
        <v>1.70569500236255</v>
      </c>
      <c r="X31" s="3">
        <f t="shared" si="4"/>
        <v>3.40083389798583</v>
      </c>
      <c r="Y31" s="3">
        <f t="shared" si="4"/>
        <v>0.630110740680377</v>
      </c>
      <c r="Z31" s="3">
        <f t="shared" si="4"/>
        <v>0.900904453682295</v>
      </c>
      <c r="AA31" s="3">
        <f t="shared" si="4"/>
        <v>1.64980319905323</v>
      </c>
      <c r="AB31" s="3">
        <f t="shared" si="4"/>
        <v>0.374002079237508</v>
      </c>
      <c r="AC31" s="3">
        <f t="shared" si="4"/>
        <v>2.34833095076817</v>
      </c>
      <c r="AD31" s="3">
        <f t="shared" si="4"/>
        <v>3.86218268902435</v>
      </c>
      <c r="AE31" s="3">
        <f t="shared" si="4"/>
        <v>6.63375624678541</v>
      </c>
    </row>
    <row r="32" spans="2:31">
      <c r="B32" s="3">
        <f t="shared" si="7"/>
        <v>1.6</v>
      </c>
      <c r="C32" s="3">
        <f t="shared" si="5"/>
        <v>0.0258741913017574</v>
      </c>
      <c r="D32" s="3">
        <f t="shared" si="5"/>
        <v>4.28772811414628</v>
      </c>
      <c r="E32" s="3">
        <f t="shared" si="5"/>
        <v>-0.0609487472350738</v>
      </c>
      <c r="F32" s="3">
        <f t="shared" si="5"/>
        <v>4.2467283667043</v>
      </c>
      <c r="G32" s="3">
        <f t="shared" si="5"/>
        <v>4.68363612441358</v>
      </c>
      <c r="H32" s="3">
        <f t="shared" si="6"/>
        <v>5.16920749698035</v>
      </c>
      <c r="I32" s="3">
        <f t="shared" si="6"/>
        <v>15.6676752727519</v>
      </c>
      <c r="J32" s="3">
        <f t="shared" si="6"/>
        <v>7.16581989520109</v>
      </c>
      <c r="K32" s="3">
        <f t="shared" si="4"/>
        <v>6.75912104312865</v>
      </c>
      <c r="L32" s="3">
        <f t="shared" si="4"/>
        <v>14.8218082296706</v>
      </c>
      <c r="M32" s="3">
        <f t="shared" si="4"/>
        <v>11.0442449100789</v>
      </c>
      <c r="N32" s="3">
        <f t="shared" si="4"/>
        <v>1.23931617035652</v>
      </c>
      <c r="O32" s="3">
        <f t="shared" si="4"/>
        <v>0.341916487877409</v>
      </c>
      <c r="P32" s="3">
        <f t="shared" si="4"/>
        <v>0.211807653167331</v>
      </c>
      <c r="Q32" s="3">
        <f t="shared" si="4"/>
        <v>97.1529572682284</v>
      </c>
      <c r="R32" s="3">
        <f t="shared" si="4"/>
        <v>26.0547424461507</v>
      </c>
      <c r="S32" s="3">
        <f t="shared" si="4"/>
        <v>13.1966690484175</v>
      </c>
      <c r="T32" s="3">
        <f t="shared" si="4"/>
        <v>8.26234902596928</v>
      </c>
      <c r="U32" s="3">
        <f t="shared" si="4"/>
        <v>28.1350113178876</v>
      </c>
      <c r="V32" s="3">
        <f t="shared" si="4"/>
        <v>3.92509437242457</v>
      </c>
      <c r="W32" s="3">
        <f t="shared" si="4"/>
        <v>1.75097086814239</v>
      </c>
      <c r="X32" s="3">
        <f t="shared" si="4"/>
        <v>3.51953532426023</v>
      </c>
      <c r="Y32" s="3">
        <f t="shared" si="4"/>
        <v>0.655891334968335</v>
      </c>
      <c r="Z32" s="3">
        <f t="shared" si="4"/>
        <v>0.987466753756532</v>
      </c>
      <c r="AA32" s="3">
        <f t="shared" si="4"/>
        <v>1.75795572485861</v>
      </c>
      <c r="AB32" s="3">
        <f t="shared" si="4"/>
        <v>0.415008725019583</v>
      </c>
      <c r="AC32" s="3">
        <f t="shared" si="4"/>
        <v>2.41497479007651</v>
      </c>
      <c r="AD32" s="3">
        <f t="shared" si="4"/>
        <v>3.91981686010323</v>
      </c>
      <c r="AE32" s="3">
        <f t="shared" si="4"/>
        <v>6.7272112541425</v>
      </c>
    </row>
    <row r="33" spans="2:31">
      <c r="B33" s="3">
        <f t="shared" si="7"/>
        <v>1.8</v>
      </c>
      <c r="C33" s="3">
        <f t="shared" si="5"/>
        <v>0.0322297551662342</v>
      </c>
      <c r="D33" s="3">
        <f t="shared" si="5"/>
        <v>4.48694470630974</v>
      </c>
      <c r="E33" s="3">
        <f t="shared" si="5"/>
        <v>-0.0567900429371651</v>
      </c>
      <c r="F33" s="3">
        <f t="shared" si="5"/>
        <v>4.43077701206403</v>
      </c>
      <c r="G33" s="3">
        <f t="shared" si="5"/>
        <v>4.87528221380642</v>
      </c>
      <c r="H33" s="3">
        <f t="shared" si="6"/>
        <v>5.36920749698035</v>
      </c>
      <c r="I33" s="3">
        <f t="shared" si="6"/>
        <v>15.8676752727519</v>
      </c>
      <c r="J33" s="3">
        <f t="shared" si="6"/>
        <v>7.36581989520109</v>
      </c>
      <c r="K33" s="3">
        <f t="shared" si="4"/>
        <v>6.86904787926648</v>
      </c>
      <c r="L33" s="3">
        <f t="shared" si="4"/>
        <v>15.1353793598179</v>
      </c>
      <c r="M33" s="3">
        <f t="shared" si="4"/>
        <v>11.500755994359</v>
      </c>
      <c r="N33" s="3">
        <f t="shared" si="4"/>
        <v>1.28821466745749</v>
      </c>
      <c r="O33" s="3">
        <f t="shared" si="4"/>
        <v>0.3725659688291</v>
      </c>
      <c r="P33" s="3">
        <f t="shared" si="4"/>
        <v>0.250783609813247</v>
      </c>
      <c r="Q33" s="3">
        <f t="shared" si="4"/>
        <v>105.731104472244</v>
      </c>
      <c r="R33" s="3">
        <f t="shared" si="4"/>
        <v>28.5989590546461</v>
      </c>
      <c r="S33" s="3">
        <f t="shared" si="4"/>
        <v>14.3102985540699</v>
      </c>
      <c r="T33" s="3">
        <f t="shared" si="4"/>
        <v>9.30764265421544</v>
      </c>
      <c r="U33" s="3">
        <f t="shared" si="4"/>
        <v>29.8961197300532</v>
      </c>
      <c r="V33" s="3">
        <f t="shared" si="4"/>
        <v>3.98338823254362</v>
      </c>
      <c r="W33" s="3">
        <f t="shared" si="4"/>
        <v>1.79624673392222</v>
      </c>
      <c r="X33" s="3">
        <f t="shared" si="4"/>
        <v>3.63823675053462</v>
      </c>
      <c r="Y33" s="3">
        <f t="shared" si="4"/>
        <v>0.681671929256293</v>
      </c>
      <c r="Z33" s="3">
        <f t="shared" si="4"/>
        <v>1.07402905383077</v>
      </c>
      <c r="AA33" s="3">
        <f t="shared" si="4"/>
        <v>1.86610825066399</v>
      </c>
      <c r="AB33" s="3">
        <f t="shared" si="4"/>
        <v>0.456015370801657</v>
      </c>
      <c r="AC33" s="3">
        <f t="shared" si="4"/>
        <v>2.48161862938485</v>
      </c>
      <c r="AD33" s="3">
        <f t="shared" si="4"/>
        <v>3.97745103118212</v>
      </c>
      <c r="AE33" s="3">
        <f t="shared" si="4"/>
        <v>6.8206662614996</v>
      </c>
    </row>
    <row r="34" spans="2:31">
      <c r="B34" s="3">
        <f t="shared" si="7"/>
        <v>2</v>
      </c>
      <c r="C34" s="3">
        <f t="shared" si="5"/>
        <v>0.038585319030711</v>
      </c>
      <c r="D34" s="3">
        <f t="shared" si="5"/>
        <v>4.68616129847319</v>
      </c>
      <c r="E34" s="3">
        <f t="shared" si="5"/>
        <v>-0.0526313386392564</v>
      </c>
      <c r="F34" s="3">
        <f t="shared" si="5"/>
        <v>4.61482565742376</v>
      </c>
      <c r="G34" s="3">
        <f t="shared" si="5"/>
        <v>5.06692830319927</v>
      </c>
      <c r="H34" s="3">
        <f t="shared" si="6"/>
        <v>5.56920749698035</v>
      </c>
      <c r="I34" s="3">
        <f t="shared" si="6"/>
        <v>16.0676752727519</v>
      </c>
      <c r="J34" s="3">
        <f t="shared" si="6"/>
        <v>7.56581989520109</v>
      </c>
      <c r="K34" s="3">
        <f t="shared" si="4"/>
        <v>6.97897471540431</v>
      </c>
      <c r="L34" s="3">
        <f t="shared" si="4"/>
        <v>15.4489504899651</v>
      </c>
      <c r="M34" s="3">
        <f t="shared" si="4"/>
        <v>11.9572670786392</v>
      </c>
      <c r="N34" s="3">
        <f t="shared" si="4"/>
        <v>1.33711316455847</v>
      </c>
      <c r="O34" s="3">
        <f t="shared" si="4"/>
        <v>0.403215449780792</v>
      </c>
      <c r="P34" s="3">
        <f t="shared" si="4"/>
        <v>0.289759566459164</v>
      </c>
      <c r="Q34" s="3">
        <f t="shared" si="4"/>
        <v>114.309251676259</v>
      </c>
      <c r="R34" s="3">
        <f t="shared" si="4"/>
        <v>31.1431756631415</v>
      </c>
      <c r="S34" s="3">
        <f t="shared" si="4"/>
        <v>15.4239280597222</v>
      </c>
      <c r="T34" s="3">
        <f t="shared" si="4"/>
        <v>10.3529362824616</v>
      </c>
      <c r="U34" s="3">
        <f t="shared" si="4"/>
        <v>31.6572281422187</v>
      </c>
      <c r="V34" s="3">
        <f t="shared" si="4"/>
        <v>4.04168209266268</v>
      </c>
      <c r="W34" s="3">
        <f t="shared" si="4"/>
        <v>1.84152259970206</v>
      </c>
      <c r="X34" s="3">
        <f t="shared" si="4"/>
        <v>3.75693817680901</v>
      </c>
      <c r="Y34" s="3">
        <f t="shared" si="4"/>
        <v>0.707452523544251</v>
      </c>
      <c r="Z34" s="3">
        <f t="shared" si="4"/>
        <v>1.16059135390501</v>
      </c>
      <c r="AA34" s="3">
        <f t="shared" si="4"/>
        <v>1.97426077646937</v>
      </c>
      <c r="AB34" s="3">
        <f t="shared" si="4"/>
        <v>0.497022016583731</v>
      </c>
      <c r="AC34" s="3">
        <f t="shared" si="4"/>
        <v>2.54826246869319</v>
      </c>
      <c r="AD34" s="3">
        <f t="shared" si="4"/>
        <v>4.03508520226101</v>
      </c>
      <c r="AE34" s="3">
        <f t="shared" si="4"/>
        <v>6.9141212688567</v>
      </c>
    </row>
    <row r="35" spans="2:31">
      <c r="B35" s="3">
        <f t="shared" si="7"/>
        <v>2.2</v>
      </c>
      <c r="C35" s="3">
        <f t="shared" si="5"/>
        <v>0.0449408828951878</v>
      </c>
      <c r="D35" s="3">
        <f t="shared" si="5"/>
        <v>4.88537789063665</v>
      </c>
      <c r="E35" s="3">
        <f t="shared" si="5"/>
        <v>-0.0484726343413477</v>
      </c>
      <c r="F35" s="3">
        <f t="shared" si="5"/>
        <v>4.7988743027835</v>
      </c>
      <c r="G35" s="3">
        <f t="shared" si="5"/>
        <v>5.25857439259212</v>
      </c>
      <c r="H35" s="3">
        <f t="shared" si="6"/>
        <v>5.76920749698035</v>
      </c>
      <c r="I35" s="3">
        <f t="shared" si="6"/>
        <v>16.2676752727519</v>
      </c>
      <c r="J35" s="3">
        <f t="shared" si="6"/>
        <v>7.76581989520109</v>
      </c>
      <c r="K35" s="3">
        <f t="shared" si="4"/>
        <v>7.08890155154215</v>
      </c>
      <c r="L35" s="3">
        <f t="shared" si="4"/>
        <v>15.7625216201123</v>
      </c>
      <c r="M35" s="3">
        <f t="shared" si="4"/>
        <v>12.4137781629193</v>
      </c>
      <c r="N35" s="3">
        <f t="shared" si="4"/>
        <v>1.38601166165944</v>
      </c>
      <c r="O35" s="3">
        <f t="shared" si="4"/>
        <v>0.433864930732483</v>
      </c>
      <c r="P35" s="3">
        <f t="shared" si="4"/>
        <v>0.32873552310508</v>
      </c>
      <c r="Q35" s="3">
        <f t="shared" si="4"/>
        <v>122.887398880274</v>
      </c>
      <c r="R35" s="3">
        <f t="shared" si="4"/>
        <v>33.6873922716369</v>
      </c>
      <c r="S35" s="3">
        <f t="shared" si="4"/>
        <v>16.5375575653745</v>
      </c>
      <c r="T35" s="3">
        <f t="shared" si="4"/>
        <v>11.3982299107078</v>
      </c>
      <c r="U35" s="3">
        <f t="shared" si="4"/>
        <v>33.4183365543843</v>
      </c>
      <c r="V35" s="3">
        <f t="shared" si="4"/>
        <v>4.09997595278173</v>
      </c>
      <c r="W35" s="3">
        <f t="shared" si="4"/>
        <v>1.8867984654819</v>
      </c>
      <c r="X35" s="3">
        <f t="shared" si="4"/>
        <v>3.87563960308341</v>
      </c>
      <c r="Y35" s="3">
        <f t="shared" si="4"/>
        <v>0.733233117832209</v>
      </c>
      <c r="Z35" s="3">
        <f t="shared" si="4"/>
        <v>1.24715365397925</v>
      </c>
      <c r="AA35" s="3">
        <f t="shared" si="4"/>
        <v>2.08241330227475</v>
      </c>
      <c r="AB35" s="3">
        <f t="shared" si="4"/>
        <v>0.538028662365806</v>
      </c>
      <c r="AC35" s="3">
        <f t="shared" si="4"/>
        <v>2.61490630800153</v>
      </c>
      <c r="AD35" s="3">
        <f t="shared" si="4"/>
        <v>4.0927193733399</v>
      </c>
      <c r="AE35" s="3">
        <f t="shared" si="4"/>
        <v>7.0075762762138</v>
      </c>
    </row>
    <row r="36" spans="2:31">
      <c r="B36" s="3">
        <f t="shared" si="7"/>
        <v>2.4</v>
      </c>
      <c r="C36" s="3">
        <f t="shared" si="5"/>
        <v>0.0512964467596645</v>
      </c>
      <c r="D36" s="3">
        <f t="shared" si="5"/>
        <v>5.08459448280011</v>
      </c>
      <c r="E36" s="3">
        <f t="shared" si="5"/>
        <v>-0.044313930043439</v>
      </c>
      <c r="F36" s="3">
        <f t="shared" si="5"/>
        <v>4.98292294814323</v>
      </c>
      <c r="G36" s="3">
        <f t="shared" si="5"/>
        <v>5.45022048198496</v>
      </c>
      <c r="H36" s="3">
        <f t="shared" si="6"/>
        <v>5.96920749698035</v>
      </c>
      <c r="I36" s="3">
        <f t="shared" si="6"/>
        <v>16.4676752727519</v>
      </c>
      <c r="J36" s="3">
        <f t="shared" si="6"/>
        <v>7.96581989520109</v>
      </c>
      <c r="K36" s="3">
        <f t="shared" si="4"/>
        <v>7.19882838767998</v>
      </c>
      <c r="L36" s="3">
        <f t="shared" si="4"/>
        <v>16.0760927502595</v>
      </c>
      <c r="M36" s="3">
        <f t="shared" ref="M36:AE48" si="8">M35+(((M$11+0.1)-(M$10-0.1))/50)</f>
        <v>12.8702892471994</v>
      </c>
      <c r="N36" s="3">
        <f t="shared" si="8"/>
        <v>1.43491015876042</v>
      </c>
      <c r="O36" s="3">
        <f t="shared" si="8"/>
        <v>0.464514411684175</v>
      </c>
      <c r="P36" s="3">
        <f t="shared" si="8"/>
        <v>0.367711479750996</v>
      </c>
      <c r="Q36" s="3">
        <f t="shared" si="8"/>
        <v>131.465546084289</v>
      </c>
      <c r="R36" s="3">
        <f t="shared" si="8"/>
        <v>36.2316088801323</v>
      </c>
      <c r="S36" s="3">
        <f t="shared" si="8"/>
        <v>17.6511870710269</v>
      </c>
      <c r="T36" s="3">
        <f t="shared" si="8"/>
        <v>12.4435235389539</v>
      </c>
      <c r="U36" s="3">
        <f t="shared" si="8"/>
        <v>35.1794449665499</v>
      </c>
      <c r="V36" s="3">
        <f t="shared" si="8"/>
        <v>4.15826981290079</v>
      </c>
      <c r="W36" s="3">
        <f t="shared" si="8"/>
        <v>1.93207433126173</v>
      </c>
      <c r="X36" s="3">
        <f t="shared" si="8"/>
        <v>3.9943410293578</v>
      </c>
      <c r="Y36" s="3">
        <f t="shared" si="8"/>
        <v>0.759013712120167</v>
      </c>
      <c r="Z36" s="3">
        <f t="shared" si="8"/>
        <v>1.33371595405348</v>
      </c>
      <c r="AA36" s="3">
        <f t="shared" si="8"/>
        <v>2.19056582808013</v>
      </c>
      <c r="AB36" s="3">
        <f t="shared" si="8"/>
        <v>0.57903530814788</v>
      </c>
      <c r="AC36" s="3">
        <f t="shared" si="8"/>
        <v>2.68155014730987</v>
      </c>
      <c r="AD36" s="3">
        <f t="shared" si="8"/>
        <v>4.15035354441879</v>
      </c>
      <c r="AE36" s="3">
        <f t="shared" si="8"/>
        <v>7.10103128357089</v>
      </c>
    </row>
    <row r="37" spans="2:31">
      <c r="B37" s="3">
        <f t="shared" si="7"/>
        <v>2.6</v>
      </c>
      <c r="C37" s="3">
        <f t="shared" si="5"/>
        <v>0.0576520106241413</v>
      </c>
      <c r="D37" s="3">
        <f t="shared" si="5"/>
        <v>5.28381107496357</v>
      </c>
      <c r="E37" s="3">
        <f t="shared" si="5"/>
        <v>-0.0401552257455303</v>
      </c>
      <c r="F37" s="3">
        <f t="shared" si="5"/>
        <v>5.16697159350296</v>
      </c>
      <c r="G37" s="3">
        <f t="shared" si="5"/>
        <v>5.64186657137781</v>
      </c>
      <c r="H37" s="3">
        <f t="shared" si="6"/>
        <v>6.16920749698035</v>
      </c>
      <c r="I37" s="3">
        <f t="shared" si="6"/>
        <v>16.6676752727519</v>
      </c>
      <c r="J37" s="3">
        <f t="shared" si="6"/>
        <v>8.16581989520109</v>
      </c>
      <c r="K37" s="3">
        <f t="shared" ref="K37:O52" si="9">K36+(((K$11+0.1)-(K$10-0.1))/50)</f>
        <v>7.30875522381781</v>
      </c>
      <c r="L37" s="3">
        <f t="shared" si="9"/>
        <v>16.3896638804068</v>
      </c>
      <c r="M37" s="3">
        <f t="shared" si="8"/>
        <v>13.3268003314795</v>
      </c>
      <c r="N37" s="3">
        <f t="shared" si="8"/>
        <v>1.4838086558614</v>
      </c>
      <c r="O37" s="3">
        <f t="shared" si="8"/>
        <v>0.495163892635867</v>
      </c>
      <c r="P37" s="3">
        <f t="shared" si="8"/>
        <v>0.406687436396913</v>
      </c>
      <c r="Q37" s="3">
        <f t="shared" si="8"/>
        <v>140.043693288304</v>
      </c>
      <c r="R37" s="3">
        <f t="shared" si="8"/>
        <v>38.7758254886277</v>
      </c>
      <c r="S37" s="3">
        <f t="shared" si="8"/>
        <v>18.7648165766792</v>
      </c>
      <c r="T37" s="3">
        <f t="shared" si="8"/>
        <v>13.4888171672001</v>
      </c>
      <c r="U37" s="3">
        <f t="shared" si="8"/>
        <v>36.9405533787154</v>
      </c>
      <c r="V37" s="3">
        <f t="shared" si="8"/>
        <v>4.21656367301984</v>
      </c>
      <c r="W37" s="3">
        <f t="shared" si="8"/>
        <v>1.97735019704157</v>
      </c>
      <c r="X37" s="3">
        <f t="shared" si="8"/>
        <v>4.1130424556322</v>
      </c>
      <c r="Y37" s="3">
        <f t="shared" si="8"/>
        <v>0.784794306408125</v>
      </c>
      <c r="Z37" s="3">
        <f t="shared" si="8"/>
        <v>1.42027825412772</v>
      </c>
      <c r="AA37" s="3">
        <f t="shared" si="8"/>
        <v>2.29871835388551</v>
      </c>
      <c r="AB37" s="3">
        <f t="shared" si="8"/>
        <v>0.620041953929954</v>
      </c>
      <c r="AC37" s="3">
        <f t="shared" si="8"/>
        <v>2.74819398661821</v>
      </c>
      <c r="AD37" s="3">
        <f t="shared" si="8"/>
        <v>4.20798771549767</v>
      </c>
      <c r="AE37" s="3">
        <f t="shared" si="8"/>
        <v>7.19448629092799</v>
      </c>
    </row>
    <row r="38" spans="2:31">
      <c r="B38" s="3">
        <f t="shared" si="7"/>
        <v>2.8</v>
      </c>
      <c r="C38" s="3">
        <f t="shared" si="5"/>
        <v>0.0640075744886181</v>
      </c>
      <c r="D38" s="3">
        <f t="shared" si="5"/>
        <v>5.48302766712703</v>
      </c>
      <c r="E38" s="3">
        <f t="shared" si="5"/>
        <v>-0.0359965214476217</v>
      </c>
      <c r="F38" s="3">
        <f t="shared" si="5"/>
        <v>5.3510202388627</v>
      </c>
      <c r="G38" s="3">
        <f t="shared" si="5"/>
        <v>5.83351266077066</v>
      </c>
      <c r="H38" s="3">
        <f t="shared" si="6"/>
        <v>6.36920749698035</v>
      </c>
      <c r="I38" s="3">
        <f t="shared" si="6"/>
        <v>16.8676752727519</v>
      </c>
      <c r="J38" s="3">
        <f t="shared" si="6"/>
        <v>8.36581989520109</v>
      </c>
      <c r="K38" s="3">
        <f t="shared" si="9"/>
        <v>7.41868205995565</v>
      </c>
      <c r="L38" s="3">
        <f t="shared" si="9"/>
        <v>16.703235010554</v>
      </c>
      <c r="M38" s="3">
        <f t="shared" si="8"/>
        <v>13.7833114157597</v>
      </c>
      <c r="N38" s="3">
        <f t="shared" si="8"/>
        <v>1.53270715296237</v>
      </c>
      <c r="O38" s="3">
        <f t="shared" si="8"/>
        <v>0.525813373587558</v>
      </c>
      <c r="P38" s="3">
        <f t="shared" si="8"/>
        <v>0.445663393042829</v>
      </c>
      <c r="Q38" s="3">
        <f t="shared" si="8"/>
        <v>148.621840492319</v>
      </c>
      <c r="R38" s="3">
        <f t="shared" si="8"/>
        <v>41.3200420971231</v>
      </c>
      <c r="S38" s="3">
        <f t="shared" si="8"/>
        <v>19.8784460823315</v>
      </c>
      <c r="T38" s="3">
        <f t="shared" si="8"/>
        <v>14.5341107954462</v>
      </c>
      <c r="U38" s="3">
        <f t="shared" si="8"/>
        <v>38.701661790881</v>
      </c>
      <c r="V38" s="3">
        <f t="shared" si="8"/>
        <v>4.2748575331389</v>
      </c>
      <c r="W38" s="3">
        <f t="shared" si="8"/>
        <v>2.0226260628214</v>
      </c>
      <c r="X38" s="3">
        <f t="shared" si="8"/>
        <v>4.23174388190659</v>
      </c>
      <c r="Y38" s="3">
        <f t="shared" si="8"/>
        <v>0.810574900696084</v>
      </c>
      <c r="Z38" s="3">
        <f t="shared" si="8"/>
        <v>1.50684055420196</v>
      </c>
      <c r="AA38" s="3">
        <f t="shared" si="8"/>
        <v>2.40687087969089</v>
      </c>
      <c r="AB38" s="3">
        <f t="shared" si="8"/>
        <v>0.661048599712029</v>
      </c>
      <c r="AC38" s="3">
        <f t="shared" si="8"/>
        <v>2.81483782592655</v>
      </c>
      <c r="AD38" s="3">
        <f t="shared" si="8"/>
        <v>4.26562188657656</v>
      </c>
      <c r="AE38" s="3">
        <f t="shared" si="8"/>
        <v>7.28794129828509</v>
      </c>
    </row>
    <row r="39" spans="2:31">
      <c r="B39" s="3">
        <f t="shared" si="7"/>
        <v>3</v>
      </c>
      <c r="C39" s="3">
        <f t="shared" si="5"/>
        <v>0.0703631383530949</v>
      </c>
      <c r="D39" s="3">
        <f t="shared" si="5"/>
        <v>5.68224425929049</v>
      </c>
      <c r="E39" s="3">
        <f t="shared" si="5"/>
        <v>-0.031837817149713</v>
      </c>
      <c r="F39" s="3">
        <f t="shared" si="5"/>
        <v>5.53506888422243</v>
      </c>
      <c r="G39" s="3">
        <f t="shared" si="5"/>
        <v>6.0251587501635</v>
      </c>
      <c r="H39" s="3">
        <f t="shared" si="6"/>
        <v>6.56920749698035</v>
      </c>
      <c r="I39" s="3">
        <f t="shared" si="6"/>
        <v>17.0676752727519</v>
      </c>
      <c r="J39" s="3">
        <f t="shared" si="6"/>
        <v>8.56581989520109</v>
      </c>
      <c r="K39" s="3">
        <f t="shared" si="9"/>
        <v>7.52860889609348</v>
      </c>
      <c r="L39" s="3">
        <f t="shared" si="9"/>
        <v>17.0168061407012</v>
      </c>
      <c r="M39" s="3">
        <f t="shared" si="8"/>
        <v>14.2398225000398</v>
      </c>
      <c r="N39" s="3">
        <f t="shared" si="8"/>
        <v>1.58160565006335</v>
      </c>
      <c r="O39" s="3">
        <f t="shared" si="8"/>
        <v>0.55646285453925</v>
      </c>
      <c r="P39" s="3">
        <f t="shared" si="8"/>
        <v>0.484639349688746</v>
      </c>
      <c r="Q39" s="3">
        <f t="shared" si="8"/>
        <v>157.199987696334</v>
      </c>
      <c r="R39" s="3">
        <f t="shared" si="8"/>
        <v>43.8642587056185</v>
      </c>
      <c r="S39" s="3">
        <f t="shared" si="8"/>
        <v>20.9920755879838</v>
      </c>
      <c r="T39" s="3">
        <f t="shared" si="8"/>
        <v>15.5794044236924</v>
      </c>
      <c r="U39" s="3">
        <f t="shared" si="8"/>
        <v>40.4627702030465</v>
      </c>
      <c r="V39" s="3">
        <f t="shared" si="8"/>
        <v>4.33315139325795</v>
      </c>
      <c r="W39" s="3">
        <f t="shared" si="8"/>
        <v>2.06790192860124</v>
      </c>
      <c r="X39" s="3">
        <f t="shared" si="8"/>
        <v>4.35044530818099</v>
      </c>
      <c r="Y39" s="3">
        <f t="shared" si="8"/>
        <v>0.836355494984042</v>
      </c>
      <c r="Z39" s="3">
        <f t="shared" si="8"/>
        <v>1.5934028542762</v>
      </c>
      <c r="AA39" s="3">
        <f t="shared" si="8"/>
        <v>2.51502340549627</v>
      </c>
      <c r="AB39" s="3">
        <f t="shared" si="8"/>
        <v>0.702055245494103</v>
      </c>
      <c r="AC39" s="3">
        <f t="shared" si="8"/>
        <v>2.88148166523488</v>
      </c>
      <c r="AD39" s="3">
        <f t="shared" si="8"/>
        <v>4.32325605765545</v>
      </c>
      <c r="AE39" s="3">
        <f t="shared" si="8"/>
        <v>7.38139630564219</v>
      </c>
    </row>
    <row r="40" spans="2:31">
      <c r="B40" s="3">
        <f t="shared" si="7"/>
        <v>3.2</v>
      </c>
      <c r="C40" s="3">
        <f t="shared" si="5"/>
        <v>0.0767187022175717</v>
      </c>
      <c r="D40" s="3">
        <f t="shared" si="5"/>
        <v>5.88146085145395</v>
      </c>
      <c r="E40" s="3">
        <f t="shared" si="5"/>
        <v>-0.0276791128518043</v>
      </c>
      <c r="F40" s="3">
        <f t="shared" si="5"/>
        <v>5.71911752958216</v>
      </c>
      <c r="G40" s="3">
        <f t="shared" si="5"/>
        <v>6.21680483955635</v>
      </c>
      <c r="H40" s="3">
        <f t="shared" si="6"/>
        <v>6.76920749698035</v>
      </c>
      <c r="I40" s="3">
        <f t="shared" si="6"/>
        <v>17.2676752727519</v>
      </c>
      <c r="J40" s="3">
        <f t="shared" si="6"/>
        <v>8.76581989520109</v>
      </c>
      <c r="K40" s="3">
        <f t="shared" si="9"/>
        <v>7.63853573223131</v>
      </c>
      <c r="L40" s="3">
        <f t="shared" si="9"/>
        <v>17.3303772708485</v>
      </c>
      <c r="M40" s="3">
        <f t="shared" si="8"/>
        <v>14.6963335843199</v>
      </c>
      <c r="N40" s="3">
        <f t="shared" si="8"/>
        <v>1.63050414716432</v>
      </c>
      <c r="O40" s="3">
        <f t="shared" si="8"/>
        <v>0.587112335490942</v>
      </c>
      <c r="P40" s="3">
        <f t="shared" si="8"/>
        <v>0.523615306334662</v>
      </c>
      <c r="Q40" s="3">
        <f t="shared" si="8"/>
        <v>165.778134900349</v>
      </c>
      <c r="R40" s="3">
        <f t="shared" si="8"/>
        <v>46.4084753141139</v>
      </c>
      <c r="S40" s="3">
        <f t="shared" si="8"/>
        <v>22.1057050936362</v>
      </c>
      <c r="T40" s="3">
        <f t="shared" si="8"/>
        <v>16.6246980519386</v>
      </c>
      <c r="U40" s="3">
        <f t="shared" si="8"/>
        <v>42.2238786152121</v>
      </c>
      <c r="V40" s="3">
        <f t="shared" si="8"/>
        <v>4.39144525337701</v>
      </c>
      <c r="W40" s="3">
        <f t="shared" si="8"/>
        <v>2.11317779438108</v>
      </c>
      <c r="X40" s="3">
        <f t="shared" si="8"/>
        <v>4.46914673445538</v>
      </c>
      <c r="Y40" s="3">
        <f t="shared" si="8"/>
        <v>0.862136089272</v>
      </c>
      <c r="Z40" s="3">
        <f t="shared" si="8"/>
        <v>1.67996515435044</v>
      </c>
      <c r="AA40" s="3">
        <f t="shared" si="8"/>
        <v>2.62317593130166</v>
      </c>
      <c r="AB40" s="3">
        <f t="shared" si="8"/>
        <v>0.743061891276177</v>
      </c>
      <c r="AC40" s="3">
        <f t="shared" si="8"/>
        <v>2.94812550454322</v>
      </c>
      <c r="AD40" s="3">
        <f t="shared" si="8"/>
        <v>4.38089022873434</v>
      </c>
      <c r="AE40" s="3">
        <f t="shared" si="8"/>
        <v>7.47485131299929</v>
      </c>
    </row>
    <row r="41" spans="2:31">
      <c r="B41" s="3">
        <f t="shared" si="7"/>
        <v>3.4</v>
      </c>
      <c r="C41" s="3">
        <f t="shared" si="5"/>
        <v>0.0830742660820484</v>
      </c>
      <c r="D41" s="3">
        <f t="shared" si="5"/>
        <v>6.08067744361741</v>
      </c>
      <c r="E41" s="3">
        <f t="shared" si="5"/>
        <v>-0.0235204085538956</v>
      </c>
      <c r="F41" s="3">
        <f t="shared" si="5"/>
        <v>5.9031661749419</v>
      </c>
      <c r="G41" s="3">
        <f t="shared" si="5"/>
        <v>6.4084509289492</v>
      </c>
      <c r="H41" s="3">
        <f t="shared" si="6"/>
        <v>6.96920749698035</v>
      </c>
      <c r="I41" s="3">
        <f t="shared" si="6"/>
        <v>17.4676752727519</v>
      </c>
      <c r="J41" s="3">
        <f t="shared" si="6"/>
        <v>8.96581989520109</v>
      </c>
      <c r="K41" s="3">
        <f t="shared" si="9"/>
        <v>7.74846256836915</v>
      </c>
      <c r="L41" s="3">
        <f t="shared" si="9"/>
        <v>17.6439484009957</v>
      </c>
      <c r="M41" s="3">
        <f t="shared" si="8"/>
        <v>15.1528446686001</v>
      </c>
      <c r="N41" s="3">
        <f t="shared" si="8"/>
        <v>1.6794026442653</v>
      </c>
      <c r="O41" s="3">
        <f t="shared" si="8"/>
        <v>0.617761816442633</v>
      </c>
      <c r="P41" s="3">
        <f t="shared" si="8"/>
        <v>0.562591262980578</v>
      </c>
      <c r="Q41" s="3">
        <f t="shared" si="8"/>
        <v>174.356282104365</v>
      </c>
      <c r="R41" s="3">
        <f t="shared" si="8"/>
        <v>48.9526919226093</v>
      </c>
      <c r="S41" s="3">
        <f t="shared" si="8"/>
        <v>23.2193345992885</v>
      </c>
      <c r="T41" s="3">
        <f t="shared" si="8"/>
        <v>17.6699916801847</v>
      </c>
      <c r="U41" s="3">
        <f t="shared" si="8"/>
        <v>43.9849870273777</v>
      </c>
      <c r="V41" s="3">
        <f t="shared" si="8"/>
        <v>4.44973911349606</v>
      </c>
      <c r="W41" s="3">
        <f t="shared" si="8"/>
        <v>2.15845366016091</v>
      </c>
      <c r="X41" s="3">
        <f t="shared" si="8"/>
        <v>4.58784816072977</v>
      </c>
      <c r="Y41" s="3">
        <f t="shared" si="8"/>
        <v>0.887916683559958</v>
      </c>
      <c r="Z41" s="3">
        <f t="shared" si="8"/>
        <v>1.76652745442467</v>
      </c>
      <c r="AA41" s="3">
        <f t="shared" si="8"/>
        <v>2.73132845710704</v>
      </c>
      <c r="AB41" s="3">
        <f t="shared" si="8"/>
        <v>0.784068537058252</v>
      </c>
      <c r="AC41" s="3">
        <f t="shared" si="8"/>
        <v>3.01476934385156</v>
      </c>
      <c r="AD41" s="3">
        <f t="shared" si="8"/>
        <v>4.43852439981323</v>
      </c>
      <c r="AE41" s="3">
        <f t="shared" si="8"/>
        <v>7.56830632035638</v>
      </c>
    </row>
    <row r="42" spans="2:31">
      <c r="B42" s="3">
        <f t="shared" si="7"/>
        <v>3.6</v>
      </c>
      <c r="C42" s="3">
        <f t="shared" ref="C42:G57" si="10">C41+(((C$11+0.1)-(C$10-0.1))/50)</f>
        <v>0.0894298299465252</v>
      </c>
      <c r="D42" s="3">
        <f t="shared" si="10"/>
        <v>6.27989403578087</v>
      </c>
      <c r="E42" s="3">
        <f t="shared" si="10"/>
        <v>-0.0193617042559869</v>
      </c>
      <c r="F42" s="3">
        <f t="shared" si="10"/>
        <v>6.08721482030163</v>
      </c>
      <c r="G42" s="3">
        <f t="shared" si="10"/>
        <v>6.60009701834204</v>
      </c>
      <c r="H42" s="3">
        <f t="shared" ref="H42:J57" si="11">H41+0.2</f>
        <v>7.16920749698035</v>
      </c>
      <c r="I42" s="3">
        <f t="shared" si="11"/>
        <v>17.6676752727519</v>
      </c>
      <c r="J42" s="3">
        <f t="shared" si="11"/>
        <v>9.16581989520109</v>
      </c>
      <c r="K42" s="3">
        <f t="shared" si="9"/>
        <v>7.85838940450698</v>
      </c>
      <c r="L42" s="3">
        <f t="shared" si="9"/>
        <v>17.9575195311429</v>
      </c>
      <c r="M42" s="3">
        <f t="shared" si="8"/>
        <v>15.6093557528802</v>
      </c>
      <c r="N42" s="3">
        <f t="shared" si="8"/>
        <v>1.72830114136627</v>
      </c>
      <c r="O42" s="3">
        <f t="shared" si="8"/>
        <v>0.648411297394325</v>
      </c>
      <c r="P42" s="3">
        <f t="shared" si="8"/>
        <v>0.601567219626495</v>
      </c>
      <c r="Q42" s="3">
        <f t="shared" si="8"/>
        <v>182.93442930838</v>
      </c>
      <c r="R42" s="3">
        <f t="shared" si="8"/>
        <v>51.4969085311047</v>
      </c>
      <c r="S42" s="3">
        <f t="shared" si="8"/>
        <v>24.3329641049408</v>
      </c>
      <c r="T42" s="3">
        <f t="shared" si="8"/>
        <v>18.7152853084309</v>
      </c>
      <c r="U42" s="3">
        <f t="shared" si="8"/>
        <v>45.7460954395432</v>
      </c>
      <c r="V42" s="3">
        <f t="shared" si="8"/>
        <v>4.50803297361512</v>
      </c>
      <c r="W42" s="3">
        <f t="shared" si="8"/>
        <v>2.20372952594075</v>
      </c>
      <c r="X42" s="3">
        <f t="shared" si="8"/>
        <v>4.70654958700417</v>
      </c>
      <c r="Y42" s="3">
        <f t="shared" si="8"/>
        <v>0.913697277847916</v>
      </c>
      <c r="Z42" s="3">
        <f t="shared" si="8"/>
        <v>1.85308975449891</v>
      </c>
      <c r="AA42" s="3">
        <f t="shared" si="8"/>
        <v>2.83948098291242</v>
      </c>
      <c r="AB42" s="3">
        <f t="shared" si="8"/>
        <v>0.825075182840326</v>
      </c>
      <c r="AC42" s="3">
        <f t="shared" si="8"/>
        <v>3.0814131831599</v>
      </c>
      <c r="AD42" s="3">
        <f t="shared" si="8"/>
        <v>4.49615857089212</v>
      </c>
      <c r="AE42" s="3">
        <f t="shared" si="8"/>
        <v>7.66176132771348</v>
      </c>
    </row>
    <row r="43" spans="2:31">
      <c r="B43" s="3">
        <f t="shared" si="7"/>
        <v>3.8</v>
      </c>
      <c r="C43" s="3">
        <f t="shared" si="10"/>
        <v>0.095785393811002</v>
      </c>
      <c r="D43" s="3">
        <f t="shared" si="10"/>
        <v>6.47911062794433</v>
      </c>
      <c r="E43" s="3">
        <f t="shared" si="10"/>
        <v>-0.0152029999580782</v>
      </c>
      <c r="F43" s="3">
        <f t="shared" si="10"/>
        <v>6.27126346566136</v>
      </c>
      <c r="G43" s="3">
        <f t="shared" si="10"/>
        <v>6.79174310773489</v>
      </c>
      <c r="H43" s="3">
        <f t="shared" si="11"/>
        <v>7.36920749698035</v>
      </c>
      <c r="I43" s="3">
        <f t="shared" si="11"/>
        <v>17.8676752727519</v>
      </c>
      <c r="J43" s="3">
        <f t="shared" si="11"/>
        <v>9.36581989520108</v>
      </c>
      <c r="K43" s="3">
        <f t="shared" si="9"/>
        <v>7.96831624064481</v>
      </c>
      <c r="L43" s="3">
        <f t="shared" si="9"/>
        <v>18.2710906612901</v>
      </c>
      <c r="M43" s="3">
        <f t="shared" si="8"/>
        <v>16.0658668371603</v>
      </c>
      <c r="N43" s="3">
        <f t="shared" si="8"/>
        <v>1.77719963846725</v>
      </c>
      <c r="O43" s="3">
        <f t="shared" si="8"/>
        <v>0.679060778346016</v>
      </c>
      <c r="P43" s="3">
        <f t="shared" si="8"/>
        <v>0.640543176272411</v>
      </c>
      <c r="Q43" s="3">
        <f t="shared" si="8"/>
        <v>191.512576512395</v>
      </c>
      <c r="R43" s="3">
        <f t="shared" si="8"/>
        <v>54.0411251396001</v>
      </c>
      <c r="S43" s="3">
        <f t="shared" si="8"/>
        <v>25.4465936105931</v>
      </c>
      <c r="T43" s="3">
        <f t="shared" si="8"/>
        <v>19.760578936677</v>
      </c>
      <c r="U43" s="3">
        <f t="shared" si="8"/>
        <v>47.5072038517088</v>
      </c>
      <c r="V43" s="3">
        <f t="shared" si="8"/>
        <v>4.56632683373417</v>
      </c>
      <c r="W43" s="3">
        <f t="shared" si="8"/>
        <v>2.24900539172058</v>
      </c>
      <c r="X43" s="3">
        <f t="shared" si="8"/>
        <v>4.82525101327856</v>
      </c>
      <c r="Y43" s="3">
        <f t="shared" si="8"/>
        <v>0.939477872135874</v>
      </c>
      <c r="Z43" s="3">
        <f t="shared" si="8"/>
        <v>1.93965205457315</v>
      </c>
      <c r="AA43" s="3">
        <f t="shared" si="8"/>
        <v>2.9476335087178</v>
      </c>
      <c r="AB43" s="3">
        <f t="shared" si="8"/>
        <v>0.866081828622401</v>
      </c>
      <c r="AC43" s="3">
        <f t="shared" si="8"/>
        <v>3.14805702246824</v>
      </c>
      <c r="AD43" s="3">
        <f t="shared" si="8"/>
        <v>4.553792741971</v>
      </c>
      <c r="AE43" s="3">
        <f t="shared" si="8"/>
        <v>7.75521633507058</v>
      </c>
    </row>
    <row r="44" spans="2:31">
      <c r="B44" s="3">
        <f t="shared" si="7"/>
        <v>4</v>
      </c>
      <c r="C44" s="3">
        <f t="shared" si="10"/>
        <v>0.102140957675479</v>
      </c>
      <c r="D44" s="3">
        <f t="shared" si="10"/>
        <v>6.67832722010779</v>
      </c>
      <c r="E44" s="3">
        <f t="shared" si="10"/>
        <v>-0.0110442956601695</v>
      </c>
      <c r="F44" s="3">
        <f t="shared" si="10"/>
        <v>6.4553121110211</v>
      </c>
      <c r="G44" s="3">
        <f t="shared" si="10"/>
        <v>6.98338919712773</v>
      </c>
      <c r="H44" s="3">
        <f t="shared" si="11"/>
        <v>7.56920749698035</v>
      </c>
      <c r="I44" s="3">
        <f t="shared" si="11"/>
        <v>18.0676752727519</v>
      </c>
      <c r="J44" s="3">
        <f t="shared" si="11"/>
        <v>9.56581989520108</v>
      </c>
      <c r="K44" s="3">
        <f t="shared" si="9"/>
        <v>8.07824307678265</v>
      </c>
      <c r="L44" s="3">
        <f t="shared" si="9"/>
        <v>18.5846617914374</v>
      </c>
      <c r="M44" s="3">
        <f t="shared" si="8"/>
        <v>16.5223779214404</v>
      </c>
      <c r="N44" s="3">
        <f t="shared" si="8"/>
        <v>1.82609813556823</v>
      </c>
      <c r="O44" s="3">
        <f t="shared" si="8"/>
        <v>0.709710259297708</v>
      </c>
      <c r="P44" s="3">
        <f t="shared" si="8"/>
        <v>0.679519132918327</v>
      </c>
      <c r="Q44" s="3">
        <f t="shared" si="8"/>
        <v>200.09072371641</v>
      </c>
      <c r="R44" s="3">
        <f t="shared" si="8"/>
        <v>56.5853417480955</v>
      </c>
      <c r="S44" s="3">
        <f t="shared" si="8"/>
        <v>26.5602231162455</v>
      </c>
      <c r="T44" s="3">
        <f t="shared" si="8"/>
        <v>20.8058725649232</v>
      </c>
      <c r="U44" s="3">
        <f t="shared" si="8"/>
        <v>49.2683122638744</v>
      </c>
      <c r="V44" s="3">
        <f t="shared" si="8"/>
        <v>4.62462069385323</v>
      </c>
      <c r="W44" s="3">
        <f t="shared" si="8"/>
        <v>2.29428125750042</v>
      </c>
      <c r="X44" s="3">
        <f t="shared" si="8"/>
        <v>4.94395243955296</v>
      </c>
      <c r="Y44" s="3">
        <f t="shared" si="8"/>
        <v>0.965258466423832</v>
      </c>
      <c r="Z44" s="3">
        <f t="shared" si="8"/>
        <v>2.02621435464739</v>
      </c>
      <c r="AA44" s="3">
        <f t="shared" si="8"/>
        <v>3.05578603452318</v>
      </c>
      <c r="AB44" s="3">
        <f t="shared" si="8"/>
        <v>0.907088474404475</v>
      </c>
      <c r="AC44" s="3">
        <f t="shared" si="8"/>
        <v>3.21470086177658</v>
      </c>
      <c r="AD44" s="3">
        <f t="shared" si="8"/>
        <v>4.61142691304989</v>
      </c>
      <c r="AE44" s="3">
        <f t="shared" si="8"/>
        <v>7.84867134242768</v>
      </c>
    </row>
    <row r="45" spans="2:31">
      <c r="B45" s="3">
        <f t="shared" si="7"/>
        <v>4.2</v>
      </c>
      <c r="C45" s="3">
        <f t="shared" si="10"/>
        <v>0.108496521539956</v>
      </c>
      <c r="D45" s="3">
        <f t="shared" si="10"/>
        <v>6.87754381227125</v>
      </c>
      <c r="E45" s="3">
        <f t="shared" si="10"/>
        <v>-0.00688559136226085</v>
      </c>
      <c r="F45" s="3">
        <f t="shared" si="10"/>
        <v>6.63936075638083</v>
      </c>
      <c r="G45" s="3">
        <f t="shared" si="10"/>
        <v>7.17503528652058</v>
      </c>
      <c r="H45" s="3">
        <f t="shared" si="11"/>
        <v>7.76920749698035</v>
      </c>
      <c r="I45" s="3">
        <f t="shared" si="11"/>
        <v>18.2676752727519</v>
      </c>
      <c r="J45" s="3">
        <f t="shared" si="11"/>
        <v>9.76581989520108</v>
      </c>
      <c r="K45" s="3">
        <f t="shared" si="9"/>
        <v>8.18816991292048</v>
      </c>
      <c r="L45" s="3">
        <f t="shared" si="9"/>
        <v>18.8982329215846</v>
      </c>
      <c r="M45" s="3">
        <f t="shared" si="8"/>
        <v>16.9788890057206</v>
      </c>
      <c r="N45" s="3">
        <f t="shared" si="8"/>
        <v>1.8749966326692</v>
      </c>
      <c r="O45" s="3">
        <f t="shared" si="8"/>
        <v>0.7403597402494</v>
      </c>
      <c r="P45" s="3">
        <f t="shared" si="8"/>
        <v>0.718495089564244</v>
      </c>
      <c r="Q45" s="3">
        <f t="shared" si="8"/>
        <v>208.668870920425</v>
      </c>
      <c r="R45" s="3">
        <f t="shared" si="8"/>
        <v>59.1295583565909</v>
      </c>
      <c r="S45" s="3">
        <f t="shared" si="8"/>
        <v>27.6738526218978</v>
      </c>
      <c r="T45" s="3">
        <f t="shared" si="8"/>
        <v>21.8511661931694</v>
      </c>
      <c r="U45" s="3">
        <f t="shared" si="8"/>
        <v>51.0294206760399</v>
      </c>
      <c r="V45" s="3">
        <f t="shared" si="8"/>
        <v>4.68291455397228</v>
      </c>
      <c r="W45" s="3">
        <f t="shared" si="8"/>
        <v>2.33955712328026</v>
      </c>
      <c r="X45" s="3">
        <f t="shared" si="8"/>
        <v>5.06265386582735</v>
      </c>
      <c r="Y45" s="3">
        <f t="shared" si="8"/>
        <v>0.99103906071179</v>
      </c>
      <c r="Z45" s="3">
        <f t="shared" si="8"/>
        <v>2.11277665472163</v>
      </c>
      <c r="AA45" s="3">
        <f t="shared" si="8"/>
        <v>3.16393856032856</v>
      </c>
      <c r="AB45" s="3">
        <f t="shared" si="8"/>
        <v>0.948095120186549</v>
      </c>
      <c r="AC45" s="3">
        <f t="shared" si="8"/>
        <v>3.28134470108492</v>
      </c>
      <c r="AD45" s="3">
        <f t="shared" si="8"/>
        <v>4.66906108412878</v>
      </c>
      <c r="AE45" s="3">
        <f t="shared" si="8"/>
        <v>7.94212634978477</v>
      </c>
    </row>
    <row r="46" spans="2:31">
      <c r="B46" s="3">
        <f t="shared" si="7"/>
        <v>4.4</v>
      </c>
      <c r="C46" s="3">
        <f t="shared" si="10"/>
        <v>0.114852085404432</v>
      </c>
      <c r="D46" s="3">
        <f t="shared" si="10"/>
        <v>7.07676040443471</v>
      </c>
      <c r="E46" s="3">
        <f t="shared" si="10"/>
        <v>-0.00272688706435216</v>
      </c>
      <c r="F46" s="3">
        <f t="shared" si="10"/>
        <v>6.82340940174056</v>
      </c>
      <c r="G46" s="3">
        <f t="shared" si="10"/>
        <v>7.36668137591343</v>
      </c>
      <c r="H46" s="3">
        <f t="shared" si="11"/>
        <v>7.96920749698035</v>
      </c>
      <c r="I46" s="3">
        <f t="shared" si="11"/>
        <v>18.4676752727519</v>
      </c>
      <c r="J46" s="3">
        <f t="shared" si="11"/>
        <v>9.96581989520108</v>
      </c>
      <c r="K46" s="3">
        <f t="shared" si="9"/>
        <v>8.29809674905832</v>
      </c>
      <c r="L46" s="3">
        <f t="shared" si="9"/>
        <v>19.2118040517318</v>
      </c>
      <c r="M46" s="3">
        <f t="shared" si="8"/>
        <v>17.4354000900007</v>
      </c>
      <c r="N46" s="3">
        <f t="shared" si="8"/>
        <v>1.92389512977018</v>
      </c>
      <c r="O46" s="3">
        <f t="shared" si="8"/>
        <v>0.771009221201091</v>
      </c>
      <c r="P46" s="3">
        <f t="shared" si="8"/>
        <v>0.75747104621016</v>
      </c>
      <c r="Q46" s="3">
        <f t="shared" si="8"/>
        <v>217.24701812444</v>
      </c>
      <c r="R46" s="3">
        <f t="shared" si="8"/>
        <v>61.6737749650863</v>
      </c>
      <c r="S46" s="3">
        <f t="shared" si="8"/>
        <v>28.7874821275501</v>
      </c>
      <c r="T46" s="3">
        <f t="shared" si="8"/>
        <v>22.8964598214155</v>
      </c>
      <c r="U46" s="3">
        <f t="shared" si="8"/>
        <v>52.7905290882055</v>
      </c>
      <c r="V46" s="3">
        <f t="shared" si="8"/>
        <v>4.74120841409134</v>
      </c>
      <c r="W46" s="3">
        <f t="shared" si="8"/>
        <v>2.38483298906009</v>
      </c>
      <c r="X46" s="3">
        <f t="shared" si="8"/>
        <v>5.18135529210174</v>
      </c>
      <c r="Y46" s="3">
        <f t="shared" si="8"/>
        <v>1.01681965499975</v>
      </c>
      <c r="Z46" s="3">
        <f t="shared" si="8"/>
        <v>2.19933895479586</v>
      </c>
      <c r="AA46" s="3">
        <f t="shared" si="8"/>
        <v>3.27209108613394</v>
      </c>
      <c r="AB46" s="3">
        <f t="shared" si="8"/>
        <v>0.989101765968624</v>
      </c>
      <c r="AC46" s="3">
        <f t="shared" si="8"/>
        <v>3.34798854039326</v>
      </c>
      <c r="AD46" s="3">
        <f t="shared" si="8"/>
        <v>4.72669525520767</v>
      </c>
      <c r="AE46" s="3">
        <f t="shared" si="8"/>
        <v>8.03558135714187</v>
      </c>
    </row>
    <row r="47" spans="2:31">
      <c r="B47" s="3">
        <f t="shared" si="7"/>
        <v>4.6</v>
      </c>
      <c r="C47" s="3">
        <f t="shared" si="10"/>
        <v>0.121207649268909</v>
      </c>
      <c r="D47" s="3">
        <f t="shared" si="10"/>
        <v>7.27597699659817</v>
      </c>
      <c r="E47" s="3">
        <f t="shared" si="10"/>
        <v>0.00143181723355653</v>
      </c>
      <c r="F47" s="3">
        <f t="shared" si="10"/>
        <v>7.0074580471003</v>
      </c>
      <c r="G47" s="3">
        <f t="shared" si="10"/>
        <v>7.55832746530627</v>
      </c>
      <c r="H47" s="3">
        <f t="shared" si="11"/>
        <v>8.16920749698035</v>
      </c>
      <c r="I47" s="3">
        <f t="shared" si="11"/>
        <v>18.6676752727519</v>
      </c>
      <c r="J47" s="3">
        <f t="shared" si="11"/>
        <v>10.1658198952011</v>
      </c>
      <c r="K47" s="3">
        <f t="shared" si="9"/>
        <v>8.40802358519615</v>
      </c>
      <c r="L47" s="3">
        <f t="shared" si="9"/>
        <v>19.5253751818791</v>
      </c>
      <c r="M47" s="3">
        <f t="shared" si="8"/>
        <v>17.8919111742808</v>
      </c>
      <c r="N47" s="3">
        <f t="shared" si="8"/>
        <v>1.97279362687115</v>
      </c>
      <c r="O47" s="3">
        <f t="shared" si="8"/>
        <v>0.801658702152783</v>
      </c>
      <c r="P47" s="3">
        <f t="shared" si="8"/>
        <v>0.796447002856076</v>
      </c>
      <c r="Q47" s="3">
        <f t="shared" si="8"/>
        <v>225.825165328455</v>
      </c>
      <c r="R47" s="3">
        <f t="shared" si="8"/>
        <v>64.2179915735817</v>
      </c>
      <c r="S47" s="3">
        <f t="shared" si="8"/>
        <v>29.9011116332024</v>
      </c>
      <c r="T47" s="3">
        <f t="shared" si="8"/>
        <v>23.9417534496617</v>
      </c>
      <c r="U47" s="3">
        <f t="shared" si="8"/>
        <v>54.551637500371</v>
      </c>
      <c r="V47" s="3">
        <f t="shared" si="8"/>
        <v>4.79950227421039</v>
      </c>
      <c r="W47" s="3">
        <f t="shared" si="8"/>
        <v>2.43010885483993</v>
      </c>
      <c r="X47" s="3">
        <f t="shared" si="8"/>
        <v>5.30005671837614</v>
      </c>
      <c r="Y47" s="3">
        <f t="shared" si="8"/>
        <v>1.04260024928771</v>
      </c>
      <c r="Z47" s="3">
        <f t="shared" si="8"/>
        <v>2.2859012548701</v>
      </c>
      <c r="AA47" s="3">
        <f t="shared" si="8"/>
        <v>3.38024361193932</v>
      </c>
      <c r="AB47" s="3">
        <f t="shared" si="8"/>
        <v>1.0301084117507</v>
      </c>
      <c r="AC47" s="3">
        <f t="shared" si="8"/>
        <v>3.41463237970159</v>
      </c>
      <c r="AD47" s="3">
        <f t="shared" si="8"/>
        <v>4.78432942628656</v>
      </c>
      <c r="AE47" s="3">
        <f t="shared" si="8"/>
        <v>8.12903636449897</v>
      </c>
    </row>
    <row r="48" spans="2:31">
      <c r="B48" s="3">
        <f t="shared" si="7"/>
        <v>4.8</v>
      </c>
      <c r="C48" s="3">
        <f t="shared" si="10"/>
        <v>0.127563213133386</v>
      </c>
      <c r="D48" s="3">
        <f t="shared" si="10"/>
        <v>7.47519358876163</v>
      </c>
      <c r="E48" s="3">
        <f t="shared" si="10"/>
        <v>0.00559052153146521</v>
      </c>
      <c r="F48" s="3">
        <f t="shared" si="10"/>
        <v>7.19150669246003</v>
      </c>
      <c r="G48" s="3">
        <f t="shared" si="10"/>
        <v>7.74997355469912</v>
      </c>
      <c r="H48" s="3">
        <f t="shared" si="11"/>
        <v>8.36920749698035</v>
      </c>
      <c r="I48" s="3">
        <f t="shared" si="11"/>
        <v>18.8676752727519</v>
      </c>
      <c r="J48" s="3">
        <f t="shared" si="11"/>
        <v>10.3658198952011</v>
      </c>
      <c r="K48" s="3">
        <f t="shared" si="9"/>
        <v>8.51795042133398</v>
      </c>
      <c r="L48" s="3">
        <f t="shared" si="9"/>
        <v>19.8389463120263</v>
      </c>
      <c r="M48" s="3">
        <f t="shared" si="8"/>
        <v>18.348422258561</v>
      </c>
      <c r="N48" s="3">
        <f t="shared" si="8"/>
        <v>2.02169212397213</v>
      </c>
      <c r="O48" s="3">
        <f t="shared" si="8"/>
        <v>0.832308183104475</v>
      </c>
      <c r="P48" s="3">
        <f t="shared" ref="P48:AE62" si="12">P47+(((P$11+0.1)-(P$10-0.1))/50)</f>
        <v>0.835422959501993</v>
      </c>
      <c r="Q48" s="3">
        <f t="shared" si="12"/>
        <v>234.40331253247</v>
      </c>
      <c r="R48" s="3">
        <f t="shared" si="12"/>
        <v>66.7622081820771</v>
      </c>
      <c r="S48" s="3">
        <f t="shared" si="12"/>
        <v>31.0147411388548</v>
      </c>
      <c r="T48" s="3">
        <f t="shared" si="12"/>
        <v>24.9870470779078</v>
      </c>
      <c r="U48" s="3">
        <f t="shared" si="12"/>
        <v>56.3127459125366</v>
      </c>
      <c r="V48" s="3">
        <f t="shared" si="12"/>
        <v>4.85779613432945</v>
      </c>
      <c r="W48" s="3">
        <f t="shared" si="12"/>
        <v>2.47538472061976</v>
      </c>
      <c r="X48" s="3">
        <f t="shared" si="12"/>
        <v>5.41875814465053</v>
      </c>
      <c r="Y48" s="3">
        <f t="shared" si="12"/>
        <v>1.06838084357566</v>
      </c>
      <c r="Z48" s="3">
        <f t="shared" si="12"/>
        <v>2.37246355494434</v>
      </c>
      <c r="AA48" s="3">
        <f t="shared" si="12"/>
        <v>3.4883961377447</v>
      </c>
      <c r="AB48" s="3">
        <f t="shared" si="12"/>
        <v>1.07111505753277</v>
      </c>
      <c r="AC48" s="3">
        <f t="shared" si="12"/>
        <v>3.48127621900993</v>
      </c>
      <c r="AD48" s="3">
        <f t="shared" si="12"/>
        <v>4.84196359736544</v>
      </c>
      <c r="AE48" s="3">
        <f t="shared" si="12"/>
        <v>8.22249137185606</v>
      </c>
    </row>
    <row r="49" spans="2:31">
      <c r="B49" s="3">
        <f t="shared" si="7"/>
        <v>5</v>
      </c>
      <c r="C49" s="3">
        <f t="shared" si="10"/>
        <v>0.133918776997863</v>
      </c>
      <c r="D49" s="3">
        <f t="shared" si="10"/>
        <v>7.67441018092509</v>
      </c>
      <c r="E49" s="3">
        <f t="shared" si="10"/>
        <v>0.0097492258293739</v>
      </c>
      <c r="F49" s="3">
        <f t="shared" si="10"/>
        <v>7.37555533781976</v>
      </c>
      <c r="G49" s="3">
        <f t="shared" si="10"/>
        <v>7.94161964409197</v>
      </c>
      <c r="H49" s="3">
        <f t="shared" si="11"/>
        <v>8.56920749698035</v>
      </c>
      <c r="I49" s="3">
        <f t="shared" si="11"/>
        <v>19.0676752727519</v>
      </c>
      <c r="J49" s="3">
        <f t="shared" si="11"/>
        <v>10.5658198952011</v>
      </c>
      <c r="K49" s="3">
        <f t="shared" si="9"/>
        <v>8.62787725747182</v>
      </c>
      <c r="L49" s="3">
        <f t="shared" si="9"/>
        <v>20.1525174421735</v>
      </c>
      <c r="M49" s="3">
        <f t="shared" si="9"/>
        <v>18.8049333428411</v>
      </c>
      <c r="N49" s="3">
        <f t="shared" si="9"/>
        <v>2.0705906210731</v>
      </c>
      <c r="O49" s="3">
        <f t="shared" si="9"/>
        <v>0.862957664056166</v>
      </c>
      <c r="P49" s="3">
        <f t="shared" si="12"/>
        <v>0.874398916147909</v>
      </c>
      <c r="Q49" s="3">
        <f t="shared" si="12"/>
        <v>242.981459736486</v>
      </c>
      <c r="R49" s="3">
        <f t="shared" si="12"/>
        <v>69.3064247905725</v>
      </c>
      <c r="S49" s="3">
        <f t="shared" si="12"/>
        <v>32.1283706445071</v>
      </c>
      <c r="T49" s="3">
        <f t="shared" si="12"/>
        <v>26.032340706154</v>
      </c>
      <c r="U49" s="3">
        <f t="shared" si="12"/>
        <v>58.0738543247022</v>
      </c>
      <c r="V49" s="3">
        <f t="shared" si="12"/>
        <v>4.9160899944485</v>
      </c>
      <c r="W49" s="3">
        <f t="shared" si="12"/>
        <v>2.5206605863996</v>
      </c>
      <c r="X49" s="3">
        <f t="shared" si="12"/>
        <v>5.53745957092493</v>
      </c>
      <c r="Y49" s="3">
        <f t="shared" si="12"/>
        <v>1.09416143786362</v>
      </c>
      <c r="Z49" s="3">
        <f t="shared" si="12"/>
        <v>2.45902585501858</v>
      </c>
      <c r="AA49" s="3">
        <f t="shared" si="12"/>
        <v>3.59654866355009</v>
      </c>
      <c r="AB49" s="3">
        <f t="shared" si="12"/>
        <v>1.11212170331485</v>
      </c>
      <c r="AC49" s="3">
        <f t="shared" si="12"/>
        <v>3.54792005831827</v>
      </c>
      <c r="AD49" s="3">
        <f t="shared" si="12"/>
        <v>4.89959776844433</v>
      </c>
      <c r="AE49" s="3">
        <f t="shared" si="12"/>
        <v>8.31594637921316</v>
      </c>
    </row>
    <row r="50" spans="2:31">
      <c r="B50" s="3">
        <f t="shared" si="7"/>
        <v>5.2</v>
      </c>
      <c r="C50" s="3">
        <f t="shared" si="10"/>
        <v>0.140274340862339</v>
      </c>
      <c r="D50" s="3">
        <f t="shared" si="10"/>
        <v>7.87362677308855</v>
      </c>
      <c r="E50" s="3">
        <f t="shared" si="10"/>
        <v>0.0139079301272826</v>
      </c>
      <c r="F50" s="3">
        <f t="shared" si="10"/>
        <v>7.5596039831795</v>
      </c>
      <c r="G50" s="3">
        <f t="shared" si="10"/>
        <v>8.13326573348481</v>
      </c>
      <c r="H50" s="3">
        <f t="shared" si="11"/>
        <v>8.76920749698035</v>
      </c>
      <c r="I50" s="3">
        <f t="shared" si="11"/>
        <v>19.2676752727519</v>
      </c>
      <c r="J50" s="3">
        <f t="shared" si="11"/>
        <v>10.7658198952011</v>
      </c>
      <c r="K50" s="3">
        <f t="shared" si="9"/>
        <v>8.73780409360965</v>
      </c>
      <c r="L50" s="3">
        <f t="shared" si="9"/>
        <v>20.4660885723207</v>
      </c>
      <c r="M50" s="3">
        <f t="shared" si="9"/>
        <v>19.2614444271212</v>
      </c>
      <c r="N50" s="3">
        <f t="shared" si="9"/>
        <v>2.11948911817408</v>
      </c>
      <c r="O50" s="3">
        <f t="shared" si="9"/>
        <v>0.893607145007858</v>
      </c>
      <c r="P50" s="3">
        <f t="shared" si="12"/>
        <v>0.913374872793825</v>
      </c>
      <c r="Q50" s="3">
        <f t="shared" si="12"/>
        <v>251.559606940501</v>
      </c>
      <c r="R50" s="3">
        <f t="shared" si="12"/>
        <v>71.8506413990679</v>
      </c>
      <c r="S50" s="3">
        <f t="shared" si="12"/>
        <v>33.2420001501594</v>
      </c>
      <c r="T50" s="3">
        <f t="shared" si="12"/>
        <v>27.0776343344002</v>
      </c>
      <c r="U50" s="3">
        <f t="shared" si="12"/>
        <v>59.8349627368677</v>
      </c>
      <c r="V50" s="3">
        <f t="shared" si="12"/>
        <v>4.97438385456756</v>
      </c>
      <c r="W50" s="3">
        <f t="shared" si="12"/>
        <v>2.56593645217944</v>
      </c>
      <c r="X50" s="3">
        <f t="shared" si="12"/>
        <v>5.65616099719932</v>
      </c>
      <c r="Y50" s="3">
        <f t="shared" si="12"/>
        <v>1.11994203215158</v>
      </c>
      <c r="Z50" s="3">
        <f t="shared" si="12"/>
        <v>2.54558815509281</v>
      </c>
      <c r="AA50" s="3">
        <f t="shared" si="12"/>
        <v>3.70470118935547</v>
      </c>
      <c r="AB50" s="3">
        <f t="shared" si="12"/>
        <v>1.15312834909692</v>
      </c>
      <c r="AC50" s="3">
        <f t="shared" si="12"/>
        <v>3.61456389762661</v>
      </c>
      <c r="AD50" s="3">
        <f t="shared" si="12"/>
        <v>4.95723193952322</v>
      </c>
      <c r="AE50" s="3">
        <f t="shared" si="12"/>
        <v>8.40940138657026</v>
      </c>
    </row>
    <row r="51" spans="2:31">
      <c r="B51" s="3">
        <f t="shared" si="7"/>
        <v>5.4</v>
      </c>
      <c r="C51" s="3">
        <f t="shared" si="10"/>
        <v>0.146629904726816</v>
      </c>
      <c r="D51" s="3">
        <f t="shared" si="10"/>
        <v>8.07284336525201</v>
      </c>
      <c r="E51" s="3">
        <f t="shared" si="10"/>
        <v>0.0180666344251913</v>
      </c>
      <c r="F51" s="3">
        <f t="shared" si="10"/>
        <v>7.74365262853923</v>
      </c>
      <c r="G51" s="3">
        <f t="shared" si="10"/>
        <v>8.32491182287766</v>
      </c>
      <c r="H51" s="3">
        <f t="shared" si="11"/>
        <v>8.96920749698035</v>
      </c>
      <c r="I51" s="3">
        <f t="shared" si="11"/>
        <v>19.4676752727519</v>
      </c>
      <c r="J51" s="3">
        <f t="shared" si="11"/>
        <v>10.9658198952011</v>
      </c>
      <c r="K51" s="3">
        <f t="shared" si="9"/>
        <v>8.84773092974749</v>
      </c>
      <c r="L51" s="3">
        <f t="shared" si="9"/>
        <v>20.779659702468</v>
      </c>
      <c r="M51" s="3">
        <f t="shared" si="9"/>
        <v>19.7179555114014</v>
      </c>
      <c r="N51" s="3">
        <f t="shared" si="9"/>
        <v>2.16838761527506</v>
      </c>
      <c r="O51" s="3">
        <f t="shared" si="9"/>
        <v>0.924256625959549</v>
      </c>
      <c r="P51" s="3">
        <f t="shared" si="12"/>
        <v>0.952350829439742</v>
      </c>
      <c r="Q51" s="3">
        <f t="shared" si="12"/>
        <v>260.137754144516</v>
      </c>
      <c r="R51" s="3">
        <f t="shared" si="12"/>
        <v>74.3948580075633</v>
      </c>
      <c r="S51" s="3">
        <f t="shared" si="12"/>
        <v>34.3556296558118</v>
      </c>
      <c r="T51" s="3">
        <f t="shared" si="12"/>
        <v>28.1229279626463</v>
      </c>
      <c r="U51" s="3">
        <f t="shared" si="12"/>
        <v>61.5960711490333</v>
      </c>
      <c r="V51" s="3">
        <f t="shared" si="12"/>
        <v>5.03267771468661</v>
      </c>
      <c r="W51" s="3">
        <f t="shared" si="12"/>
        <v>2.61121231795927</v>
      </c>
      <c r="X51" s="3">
        <f t="shared" si="12"/>
        <v>5.77486242347372</v>
      </c>
      <c r="Y51" s="3">
        <f t="shared" si="12"/>
        <v>1.14572262643954</v>
      </c>
      <c r="Z51" s="3">
        <f t="shared" si="12"/>
        <v>2.63215045516705</v>
      </c>
      <c r="AA51" s="3">
        <f t="shared" si="12"/>
        <v>3.81285371516085</v>
      </c>
      <c r="AB51" s="3">
        <f t="shared" si="12"/>
        <v>1.194134994879</v>
      </c>
      <c r="AC51" s="3">
        <f t="shared" si="12"/>
        <v>3.68120773693495</v>
      </c>
      <c r="AD51" s="3">
        <f t="shared" si="12"/>
        <v>5.01486611060211</v>
      </c>
      <c r="AE51" s="3">
        <f t="shared" si="12"/>
        <v>8.50285639392735</v>
      </c>
    </row>
    <row r="52" spans="2:31">
      <c r="B52" s="3">
        <f t="shared" si="7"/>
        <v>5.6</v>
      </c>
      <c r="C52" s="3">
        <f t="shared" si="10"/>
        <v>0.152985468591293</v>
      </c>
      <c r="D52" s="3">
        <f t="shared" si="10"/>
        <v>8.27205995741546</v>
      </c>
      <c r="E52" s="3">
        <f t="shared" si="10"/>
        <v>0.0222253387231</v>
      </c>
      <c r="F52" s="3">
        <f t="shared" si="10"/>
        <v>7.92770127389896</v>
      </c>
      <c r="G52" s="3">
        <f t="shared" si="10"/>
        <v>8.5165579122705</v>
      </c>
      <c r="H52" s="3">
        <f t="shared" si="11"/>
        <v>9.16920749698035</v>
      </c>
      <c r="I52" s="3">
        <f t="shared" si="11"/>
        <v>19.6676752727519</v>
      </c>
      <c r="J52" s="3">
        <f t="shared" si="11"/>
        <v>11.1658198952011</v>
      </c>
      <c r="K52" s="3">
        <f t="shared" si="9"/>
        <v>8.95765776588532</v>
      </c>
      <c r="L52" s="3">
        <f t="shared" si="9"/>
        <v>21.0932308326152</v>
      </c>
      <c r="M52" s="3">
        <f t="shared" si="9"/>
        <v>20.1744665956815</v>
      </c>
      <c r="N52" s="3">
        <f t="shared" si="9"/>
        <v>2.21728611237603</v>
      </c>
      <c r="O52" s="3">
        <f t="shared" si="9"/>
        <v>0.954906106911241</v>
      </c>
      <c r="P52" s="3">
        <f t="shared" si="12"/>
        <v>0.991326786085658</v>
      </c>
      <c r="Q52" s="3">
        <f t="shared" si="12"/>
        <v>268.715901348531</v>
      </c>
      <c r="R52" s="3">
        <f t="shared" si="12"/>
        <v>76.9390746160587</v>
      </c>
      <c r="S52" s="3">
        <f t="shared" si="12"/>
        <v>35.4692591614641</v>
      </c>
      <c r="T52" s="3">
        <f t="shared" si="12"/>
        <v>29.1682215908925</v>
      </c>
      <c r="U52" s="3">
        <f t="shared" si="12"/>
        <v>63.3571795611989</v>
      </c>
      <c r="V52" s="3">
        <f t="shared" si="12"/>
        <v>5.09097157480567</v>
      </c>
      <c r="W52" s="3">
        <f t="shared" si="12"/>
        <v>2.65648818373911</v>
      </c>
      <c r="X52" s="3">
        <f t="shared" si="12"/>
        <v>5.89356384974811</v>
      </c>
      <c r="Y52" s="3">
        <f t="shared" si="12"/>
        <v>1.1715032207275</v>
      </c>
      <c r="Z52" s="3">
        <f t="shared" si="12"/>
        <v>2.71871275524129</v>
      </c>
      <c r="AA52" s="3">
        <f t="shared" si="12"/>
        <v>3.92100624096623</v>
      </c>
      <c r="AB52" s="3">
        <f t="shared" si="12"/>
        <v>1.23514164066107</v>
      </c>
      <c r="AC52" s="3">
        <f t="shared" si="12"/>
        <v>3.74785157624329</v>
      </c>
      <c r="AD52" s="3">
        <f t="shared" si="12"/>
        <v>5.072500281681</v>
      </c>
      <c r="AE52" s="3">
        <f t="shared" si="12"/>
        <v>8.59631140128445</v>
      </c>
    </row>
    <row r="53" spans="2:31">
      <c r="B53" s="3">
        <f t="shared" si="7"/>
        <v>5.8</v>
      </c>
      <c r="C53" s="3">
        <f t="shared" si="10"/>
        <v>0.15934103245577</v>
      </c>
      <c r="D53" s="3">
        <f t="shared" si="10"/>
        <v>8.47127654957892</v>
      </c>
      <c r="E53" s="3">
        <f t="shared" si="10"/>
        <v>0.0263840430210086</v>
      </c>
      <c r="F53" s="3">
        <f t="shared" si="10"/>
        <v>8.1117499192587</v>
      </c>
      <c r="G53" s="3">
        <f t="shared" si="10"/>
        <v>8.70820400166335</v>
      </c>
      <c r="H53" s="3">
        <f t="shared" si="11"/>
        <v>9.36920749698035</v>
      </c>
      <c r="I53" s="3">
        <f t="shared" si="11"/>
        <v>19.8676752727519</v>
      </c>
      <c r="J53" s="3">
        <f t="shared" si="11"/>
        <v>11.3658198952011</v>
      </c>
      <c r="K53" s="3">
        <f t="shared" ref="K53:P68" si="13">K52+(((K$11+0.1)-(K$10-0.1))/50)</f>
        <v>9.06758460202315</v>
      </c>
      <c r="L53" s="3">
        <f t="shared" si="13"/>
        <v>21.4068019627624</v>
      </c>
      <c r="M53" s="3">
        <f t="shared" si="13"/>
        <v>20.6309776799616</v>
      </c>
      <c r="N53" s="3">
        <f t="shared" si="13"/>
        <v>2.26618460947701</v>
      </c>
      <c r="O53" s="3">
        <f t="shared" si="13"/>
        <v>0.985555587862933</v>
      </c>
      <c r="P53" s="3">
        <f t="shared" si="12"/>
        <v>1.03030274273157</v>
      </c>
      <c r="Q53" s="3">
        <f t="shared" si="12"/>
        <v>277.294048552546</v>
      </c>
      <c r="R53" s="3">
        <f t="shared" si="12"/>
        <v>79.4832912245542</v>
      </c>
      <c r="S53" s="3">
        <f t="shared" si="12"/>
        <v>36.5828886671164</v>
      </c>
      <c r="T53" s="3">
        <f t="shared" si="12"/>
        <v>30.2135152191386</v>
      </c>
      <c r="U53" s="3">
        <f t="shared" si="12"/>
        <v>65.1182879733644</v>
      </c>
      <c r="V53" s="3">
        <f t="shared" si="12"/>
        <v>5.14926543492472</v>
      </c>
      <c r="W53" s="3">
        <f t="shared" si="12"/>
        <v>2.70176404951894</v>
      </c>
      <c r="X53" s="3">
        <f t="shared" si="12"/>
        <v>6.0122652760225</v>
      </c>
      <c r="Y53" s="3">
        <f t="shared" si="12"/>
        <v>1.19728381501545</v>
      </c>
      <c r="Z53" s="3">
        <f t="shared" si="12"/>
        <v>2.80527505531553</v>
      </c>
      <c r="AA53" s="3">
        <f t="shared" si="12"/>
        <v>4.02915876677161</v>
      </c>
      <c r="AB53" s="3">
        <f t="shared" si="12"/>
        <v>1.27614828644314</v>
      </c>
      <c r="AC53" s="3">
        <f t="shared" si="12"/>
        <v>3.81449541555163</v>
      </c>
      <c r="AD53" s="3">
        <f t="shared" si="12"/>
        <v>5.13013445275988</v>
      </c>
      <c r="AE53" s="3">
        <f t="shared" si="12"/>
        <v>8.68976640864155</v>
      </c>
    </row>
    <row r="54" spans="2:31">
      <c r="B54" s="3">
        <f t="shared" si="7"/>
        <v>6</v>
      </c>
      <c r="C54" s="3">
        <f t="shared" si="10"/>
        <v>0.165696596320247</v>
      </c>
      <c r="D54" s="3">
        <f t="shared" si="10"/>
        <v>8.67049314174238</v>
      </c>
      <c r="E54" s="3">
        <f t="shared" si="10"/>
        <v>0.0305427473189173</v>
      </c>
      <c r="F54" s="3">
        <f t="shared" si="10"/>
        <v>8.29579856461843</v>
      </c>
      <c r="G54" s="3">
        <f t="shared" si="10"/>
        <v>8.89985009105619</v>
      </c>
      <c r="H54" s="3">
        <f t="shared" si="11"/>
        <v>9.56920749698035</v>
      </c>
      <c r="I54" s="3">
        <f t="shared" si="11"/>
        <v>20.0676752727519</v>
      </c>
      <c r="J54" s="3">
        <f t="shared" si="11"/>
        <v>11.5658198952011</v>
      </c>
      <c r="K54" s="3">
        <f t="shared" si="13"/>
        <v>9.17751143816099</v>
      </c>
      <c r="L54" s="3">
        <f t="shared" si="13"/>
        <v>21.7203730929096</v>
      </c>
      <c r="M54" s="3">
        <f t="shared" si="13"/>
        <v>21.0874887642417</v>
      </c>
      <c r="N54" s="3">
        <f t="shared" si="13"/>
        <v>2.31508310657798</v>
      </c>
      <c r="O54" s="3">
        <f t="shared" si="13"/>
        <v>1.01620506881462</v>
      </c>
      <c r="P54" s="3">
        <f t="shared" si="12"/>
        <v>1.06927869937749</v>
      </c>
      <c r="Q54" s="3">
        <f t="shared" si="12"/>
        <v>285.872195756561</v>
      </c>
      <c r="R54" s="3">
        <f t="shared" si="12"/>
        <v>82.0275078330496</v>
      </c>
      <c r="S54" s="3">
        <f t="shared" si="12"/>
        <v>37.6965181727687</v>
      </c>
      <c r="T54" s="3">
        <f t="shared" si="12"/>
        <v>31.2588088473848</v>
      </c>
      <c r="U54" s="3">
        <f t="shared" si="12"/>
        <v>66.87939638553</v>
      </c>
      <c r="V54" s="3">
        <f t="shared" si="12"/>
        <v>5.20755929504378</v>
      </c>
      <c r="W54" s="3">
        <f t="shared" si="12"/>
        <v>2.74703991529878</v>
      </c>
      <c r="X54" s="3">
        <f t="shared" si="12"/>
        <v>6.1309667022969</v>
      </c>
      <c r="Y54" s="3">
        <f t="shared" si="12"/>
        <v>1.22306440930341</v>
      </c>
      <c r="Z54" s="3">
        <f t="shared" si="12"/>
        <v>2.89183735538976</v>
      </c>
      <c r="AA54" s="3">
        <f t="shared" si="12"/>
        <v>4.13731129257699</v>
      </c>
      <c r="AB54" s="3">
        <f t="shared" si="12"/>
        <v>1.31715493222522</v>
      </c>
      <c r="AC54" s="3">
        <f t="shared" si="12"/>
        <v>3.88113925485997</v>
      </c>
      <c r="AD54" s="3">
        <f t="shared" si="12"/>
        <v>5.18776862383877</v>
      </c>
      <c r="AE54" s="3">
        <f t="shared" si="12"/>
        <v>8.78322141599864</v>
      </c>
    </row>
    <row r="55" spans="2:31">
      <c r="B55" s="3">
        <f t="shared" si="7"/>
        <v>6.2</v>
      </c>
      <c r="C55" s="3">
        <f t="shared" si="10"/>
        <v>0.172052160184723</v>
      </c>
      <c r="D55" s="3">
        <f t="shared" si="10"/>
        <v>8.86970973390584</v>
      </c>
      <c r="E55" s="3">
        <f t="shared" si="10"/>
        <v>0.034701451616826</v>
      </c>
      <c r="F55" s="3">
        <f t="shared" si="10"/>
        <v>8.47984720997816</v>
      </c>
      <c r="G55" s="3">
        <f t="shared" si="10"/>
        <v>9.09149618044904</v>
      </c>
      <c r="H55" s="3">
        <f t="shared" si="11"/>
        <v>9.76920749698035</v>
      </c>
      <c r="I55" s="3">
        <f t="shared" si="11"/>
        <v>20.2676752727519</v>
      </c>
      <c r="J55" s="3">
        <f t="shared" si="11"/>
        <v>11.7658198952011</v>
      </c>
      <c r="K55" s="3">
        <f t="shared" si="13"/>
        <v>9.28743827429882</v>
      </c>
      <c r="L55" s="3">
        <f t="shared" si="13"/>
        <v>22.0339442230569</v>
      </c>
      <c r="M55" s="3">
        <f t="shared" si="13"/>
        <v>21.5439998485219</v>
      </c>
      <c r="N55" s="3">
        <f t="shared" si="13"/>
        <v>2.36398160367896</v>
      </c>
      <c r="O55" s="3">
        <f t="shared" si="13"/>
        <v>1.04685454976632</v>
      </c>
      <c r="P55" s="3">
        <f t="shared" si="12"/>
        <v>1.10825465602341</v>
      </c>
      <c r="Q55" s="3">
        <f t="shared" si="12"/>
        <v>294.450342960576</v>
      </c>
      <c r="R55" s="3">
        <f t="shared" si="12"/>
        <v>84.571724441545</v>
      </c>
      <c r="S55" s="3">
        <f t="shared" si="12"/>
        <v>38.8101476784211</v>
      </c>
      <c r="T55" s="3">
        <f t="shared" si="12"/>
        <v>32.304102475631</v>
      </c>
      <c r="U55" s="3">
        <f t="shared" si="12"/>
        <v>68.6405047976955</v>
      </c>
      <c r="V55" s="3">
        <f t="shared" si="12"/>
        <v>5.26585315516283</v>
      </c>
      <c r="W55" s="3">
        <f t="shared" si="12"/>
        <v>2.79231578107862</v>
      </c>
      <c r="X55" s="3">
        <f t="shared" si="12"/>
        <v>6.24966812857129</v>
      </c>
      <c r="Y55" s="3">
        <f t="shared" si="12"/>
        <v>1.24884500359137</v>
      </c>
      <c r="Z55" s="3">
        <f t="shared" si="12"/>
        <v>2.978399655464</v>
      </c>
      <c r="AA55" s="3">
        <f t="shared" si="12"/>
        <v>4.24546381838237</v>
      </c>
      <c r="AB55" s="3">
        <f t="shared" si="12"/>
        <v>1.35816157800729</v>
      </c>
      <c r="AC55" s="3">
        <f t="shared" si="12"/>
        <v>3.94778309416831</v>
      </c>
      <c r="AD55" s="3">
        <f t="shared" si="12"/>
        <v>5.24540279491766</v>
      </c>
      <c r="AE55" s="3">
        <f t="shared" si="12"/>
        <v>8.87667642335574</v>
      </c>
    </row>
    <row r="56" spans="2:31">
      <c r="B56" s="3">
        <f t="shared" si="7"/>
        <v>6.4</v>
      </c>
      <c r="C56" s="3">
        <f t="shared" si="10"/>
        <v>0.1784077240492</v>
      </c>
      <c r="D56" s="3">
        <f t="shared" si="10"/>
        <v>9.0689263260693</v>
      </c>
      <c r="E56" s="3">
        <f t="shared" si="10"/>
        <v>0.0388601559147347</v>
      </c>
      <c r="F56" s="3">
        <f t="shared" si="10"/>
        <v>8.66389585533789</v>
      </c>
      <c r="G56" s="3">
        <f t="shared" si="10"/>
        <v>9.28314226984189</v>
      </c>
      <c r="H56" s="3">
        <f t="shared" si="11"/>
        <v>9.96920749698035</v>
      </c>
      <c r="I56" s="3">
        <f t="shared" si="11"/>
        <v>20.4676752727519</v>
      </c>
      <c r="J56" s="3">
        <f t="shared" si="11"/>
        <v>11.9658198952011</v>
      </c>
      <c r="K56" s="3">
        <f t="shared" si="13"/>
        <v>9.39736511043666</v>
      </c>
      <c r="L56" s="3">
        <f t="shared" si="13"/>
        <v>22.3475153532041</v>
      </c>
      <c r="M56" s="3">
        <f t="shared" si="13"/>
        <v>22.000510932802</v>
      </c>
      <c r="N56" s="3">
        <f t="shared" si="13"/>
        <v>2.41288010077994</v>
      </c>
      <c r="O56" s="3">
        <f t="shared" si="13"/>
        <v>1.07750403071801</v>
      </c>
      <c r="P56" s="3">
        <f t="shared" si="12"/>
        <v>1.14723061266932</v>
      </c>
      <c r="Q56" s="3">
        <f t="shared" si="12"/>
        <v>303.028490164591</v>
      </c>
      <c r="R56" s="3">
        <f t="shared" si="12"/>
        <v>87.1159410500404</v>
      </c>
      <c r="S56" s="3">
        <f t="shared" si="12"/>
        <v>39.9237771840734</v>
      </c>
      <c r="T56" s="3">
        <f t="shared" si="12"/>
        <v>33.3493961038771</v>
      </c>
      <c r="U56" s="3">
        <f t="shared" si="12"/>
        <v>70.4016132098611</v>
      </c>
      <c r="V56" s="3">
        <f t="shared" si="12"/>
        <v>5.32414701528189</v>
      </c>
      <c r="W56" s="3">
        <f t="shared" si="12"/>
        <v>2.83759164685845</v>
      </c>
      <c r="X56" s="3">
        <f t="shared" si="12"/>
        <v>6.36836955484569</v>
      </c>
      <c r="Y56" s="3">
        <f t="shared" si="12"/>
        <v>1.27462559787933</v>
      </c>
      <c r="Z56" s="3">
        <f t="shared" si="12"/>
        <v>3.06496195553824</v>
      </c>
      <c r="AA56" s="3">
        <f t="shared" si="12"/>
        <v>4.35361634418775</v>
      </c>
      <c r="AB56" s="3">
        <f t="shared" si="12"/>
        <v>1.39916822378937</v>
      </c>
      <c r="AC56" s="3">
        <f t="shared" si="12"/>
        <v>4.01442693347664</v>
      </c>
      <c r="AD56" s="3">
        <f t="shared" si="12"/>
        <v>5.30303696599655</v>
      </c>
      <c r="AE56" s="3">
        <f t="shared" si="12"/>
        <v>8.97013143071284</v>
      </c>
    </row>
    <row r="57" spans="2:31">
      <c r="B57" s="3">
        <f t="shared" si="7"/>
        <v>6.6</v>
      </c>
      <c r="C57" s="3">
        <f t="shared" si="10"/>
        <v>0.184763287913677</v>
      </c>
      <c r="D57" s="3">
        <f t="shared" si="10"/>
        <v>9.26814291823276</v>
      </c>
      <c r="E57" s="3">
        <f t="shared" si="10"/>
        <v>0.0430188602126434</v>
      </c>
      <c r="F57" s="3">
        <f t="shared" si="10"/>
        <v>8.84794450069763</v>
      </c>
      <c r="G57" s="3">
        <f t="shared" si="10"/>
        <v>9.47478835923473</v>
      </c>
      <c r="H57" s="3">
        <f t="shared" si="11"/>
        <v>10.1692074969803</v>
      </c>
      <c r="I57" s="3">
        <f t="shared" si="11"/>
        <v>20.6676752727519</v>
      </c>
      <c r="J57" s="3">
        <f t="shared" si="11"/>
        <v>12.1658198952011</v>
      </c>
      <c r="K57" s="3">
        <f t="shared" si="13"/>
        <v>9.50729194657449</v>
      </c>
      <c r="L57" s="3">
        <f t="shared" si="13"/>
        <v>22.6610864833513</v>
      </c>
      <c r="M57" s="3">
        <f t="shared" si="13"/>
        <v>22.4570220170821</v>
      </c>
      <c r="N57" s="3">
        <f t="shared" si="13"/>
        <v>2.46177859788091</v>
      </c>
      <c r="O57" s="3">
        <f t="shared" si="13"/>
        <v>1.1081535116697</v>
      </c>
      <c r="P57" s="3">
        <f t="shared" si="12"/>
        <v>1.18620656931524</v>
      </c>
      <c r="Q57" s="3">
        <f t="shared" si="12"/>
        <v>311.606637368606</v>
      </c>
      <c r="R57" s="3">
        <f t="shared" si="12"/>
        <v>89.6601576585358</v>
      </c>
      <c r="S57" s="3">
        <f t="shared" si="12"/>
        <v>41.0374066897257</v>
      </c>
      <c r="T57" s="3">
        <f t="shared" si="12"/>
        <v>34.3946897321233</v>
      </c>
      <c r="U57" s="3">
        <f t="shared" si="12"/>
        <v>72.1627216220266</v>
      </c>
      <c r="V57" s="3">
        <f t="shared" si="12"/>
        <v>5.38244087540094</v>
      </c>
      <c r="W57" s="3">
        <f t="shared" si="12"/>
        <v>2.88286751263829</v>
      </c>
      <c r="X57" s="3">
        <f t="shared" si="12"/>
        <v>6.48707098112008</v>
      </c>
      <c r="Y57" s="3">
        <f t="shared" si="12"/>
        <v>1.30040619216729</v>
      </c>
      <c r="Z57" s="3">
        <f t="shared" si="12"/>
        <v>3.15152425561248</v>
      </c>
      <c r="AA57" s="3">
        <f t="shared" si="12"/>
        <v>4.46176886999313</v>
      </c>
      <c r="AB57" s="3">
        <f t="shared" si="12"/>
        <v>1.44017486957144</v>
      </c>
      <c r="AC57" s="3">
        <f t="shared" si="12"/>
        <v>4.08107077278498</v>
      </c>
      <c r="AD57" s="3">
        <f t="shared" si="12"/>
        <v>5.36067113707544</v>
      </c>
      <c r="AE57" s="3">
        <f t="shared" si="12"/>
        <v>9.06358643806993</v>
      </c>
    </row>
    <row r="58" spans="2:31">
      <c r="B58" s="3">
        <f t="shared" si="7"/>
        <v>6.8</v>
      </c>
      <c r="C58" s="3">
        <f t="shared" ref="C58:G73" si="14">C57+(((C$11+0.1)-(C$10-0.1))/50)</f>
        <v>0.191118851778154</v>
      </c>
      <c r="D58" s="3">
        <f t="shared" si="14"/>
        <v>9.46735951039622</v>
      </c>
      <c r="E58" s="3">
        <f t="shared" si="14"/>
        <v>0.0471775645105521</v>
      </c>
      <c r="F58" s="3">
        <f t="shared" si="14"/>
        <v>9.03199314605736</v>
      </c>
      <c r="G58" s="3">
        <f t="shared" si="14"/>
        <v>9.66643444862758</v>
      </c>
      <c r="H58" s="3">
        <f t="shared" ref="H58:J73" si="15">H57+0.2</f>
        <v>10.3692074969803</v>
      </c>
      <c r="I58" s="3">
        <f t="shared" si="15"/>
        <v>20.8676752727519</v>
      </c>
      <c r="J58" s="3">
        <f t="shared" si="15"/>
        <v>12.3658198952011</v>
      </c>
      <c r="K58" s="3">
        <f t="shared" si="13"/>
        <v>9.61721878271233</v>
      </c>
      <c r="L58" s="3">
        <f t="shared" si="13"/>
        <v>22.9746576134986</v>
      </c>
      <c r="M58" s="3">
        <f t="shared" si="13"/>
        <v>22.9135331013623</v>
      </c>
      <c r="N58" s="3">
        <f t="shared" si="13"/>
        <v>2.51067709498189</v>
      </c>
      <c r="O58" s="3">
        <f t="shared" si="13"/>
        <v>1.13880299262139</v>
      </c>
      <c r="P58" s="3">
        <f t="shared" si="12"/>
        <v>1.22518252596116</v>
      </c>
      <c r="Q58" s="3">
        <f t="shared" si="12"/>
        <v>320.184784572622</v>
      </c>
      <c r="R58" s="3">
        <f t="shared" si="12"/>
        <v>92.2043742670312</v>
      </c>
      <c r="S58" s="3">
        <f t="shared" si="12"/>
        <v>42.151036195378</v>
      </c>
      <c r="T58" s="3">
        <f t="shared" si="12"/>
        <v>35.4399833603694</v>
      </c>
      <c r="U58" s="3">
        <f t="shared" si="12"/>
        <v>73.9238300341922</v>
      </c>
      <c r="V58" s="3">
        <f t="shared" si="12"/>
        <v>5.44073473552</v>
      </c>
      <c r="W58" s="3">
        <f t="shared" si="12"/>
        <v>2.92814337841812</v>
      </c>
      <c r="X58" s="3">
        <f t="shared" si="12"/>
        <v>6.60577240739447</v>
      </c>
      <c r="Y58" s="3">
        <f t="shared" si="12"/>
        <v>1.32618678645525</v>
      </c>
      <c r="Z58" s="3">
        <f t="shared" si="12"/>
        <v>3.23808655568672</v>
      </c>
      <c r="AA58" s="3">
        <f t="shared" si="12"/>
        <v>4.56992139579851</v>
      </c>
      <c r="AB58" s="3">
        <f t="shared" si="12"/>
        <v>1.48118151535352</v>
      </c>
      <c r="AC58" s="3">
        <f t="shared" si="12"/>
        <v>4.14771461209332</v>
      </c>
      <c r="AD58" s="3">
        <f t="shared" si="12"/>
        <v>5.41830530815433</v>
      </c>
      <c r="AE58" s="3">
        <f t="shared" si="12"/>
        <v>9.15704144542703</v>
      </c>
    </row>
    <row r="59" spans="2:31">
      <c r="B59" s="3">
        <f t="shared" si="7"/>
        <v>7</v>
      </c>
      <c r="C59" s="3">
        <f t="shared" si="14"/>
        <v>0.19747441564263</v>
      </c>
      <c r="D59" s="3">
        <f t="shared" si="14"/>
        <v>9.66657610255968</v>
      </c>
      <c r="E59" s="3">
        <f t="shared" si="14"/>
        <v>0.0513362688084608</v>
      </c>
      <c r="F59" s="3">
        <f t="shared" si="14"/>
        <v>9.21604179141709</v>
      </c>
      <c r="G59" s="3">
        <f t="shared" si="14"/>
        <v>9.85808053802042</v>
      </c>
      <c r="H59" s="3">
        <f t="shared" si="15"/>
        <v>10.5692074969803</v>
      </c>
      <c r="I59" s="3">
        <f t="shared" si="15"/>
        <v>21.0676752727519</v>
      </c>
      <c r="J59" s="3">
        <f t="shared" si="15"/>
        <v>12.5658198952011</v>
      </c>
      <c r="K59" s="3">
        <f t="shared" si="13"/>
        <v>9.72714561885016</v>
      </c>
      <c r="L59" s="3">
        <f t="shared" si="13"/>
        <v>23.2882287436458</v>
      </c>
      <c r="M59" s="3">
        <f t="shared" si="13"/>
        <v>23.3700441856424</v>
      </c>
      <c r="N59" s="3">
        <f t="shared" si="13"/>
        <v>2.55957559208286</v>
      </c>
      <c r="O59" s="3">
        <f t="shared" si="13"/>
        <v>1.16945247357308</v>
      </c>
      <c r="P59" s="3">
        <f t="shared" si="12"/>
        <v>1.26415848260707</v>
      </c>
      <c r="Q59" s="3">
        <f t="shared" si="12"/>
        <v>328.762931776637</v>
      </c>
      <c r="R59" s="3">
        <f t="shared" si="12"/>
        <v>94.7485908755266</v>
      </c>
      <c r="S59" s="3">
        <f t="shared" si="12"/>
        <v>43.2646657010304</v>
      </c>
      <c r="T59" s="3">
        <f t="shared" si="12"/>
        <v>36.4852769886156</v>
      </c>
      <c r="U59" s="3">
        <f t="shared" si="12"/>
        <v>75.6849384463577</v>
      </c>
      <c r="V59" s="3">
        <f t="shared" si="12"/>
        <v>5.49902859563905</v>
      </c>
      <c r="W59" s="3">
        <f t="shared" si="12"/>
        <v>2.97341924419796</v>
      </c>
      <c r="X59" s="3">
        <f t="shared" si="12"/>
        <v>6.72447383366887</v>
      </c>
      <c r="Y59" s="3">
        <f t="shared" si="12"/>
        <v>1.3519673807432</v>
      </c>
      <c r="Z59" s="3">
        <f t="shared" si="12"/>
        <v>3.32464885576095</v>
      </c>
      <c r="AA59" s="3">
        <f t="shared" si="12"/>
        <v>4.6780739216039</v>
      </c>
      <c r="AB59" s="3">
        <f t="shared" si="12"/>
        <v>1.52218816113559</v>
      </c>
      <c r="AC59" s="3">
        <f t="shared" si="12"/>
        <v>4.21435845140166</v>
      </c>
      <c r="AD59" s="3">
        <f t="shared" si="12"/>
        <v>5.47593947923321</v>
      </c>
      <c r="AE59" s="3">
        <f t="shared" si="12"/>
        <v>9.25049645278413</v>
      </c>
    </row>
    <row r="60" spans="2:31">
      <c r="B60" s="3">
        <f t="shared" si="7"/>
        <v>7.2</v>
      </c>
      <c r="C60" s="3">
        <f t="shared" si="14"/>
        <v>0.203829979507107</v>
      </c>
      <c r="D60" s="3">
        <f t="shared" si="14"/>
        <v>9.86579269472314</v>
      </c>
      <c r="E60" s="3">
        <f t="shared" si="14"/>
        <v>0.0554949731063695</v>
      </c>
      <c r="F60" s="3">
        <f t="shared" si="14"/>
        <v>9.40009043677682</v>
      </c>
      <c r="G60" s="3">
        <f t="shared" si="14"/>
        <v>10.0497266274133</v>
      </c>
      <c r="H60" s="3">
        <f t="shared" si="15"/>
        <v>10.7692074969803</v>
      </c>
      <c r="I60" s="3">
        <f t="shared" si="15"/>
        <v>21.2676752727519</v>
      </c>
      <c r="J60" s="3">
        <f t="shared" si="15"/>
        <v>12.7658198952011</v>
      </c>
      <c r="K60" s="3">
        <f t="shared" si="13"/>
        <v>9.83707245498799</v>
      </c>
      <c r="L60" s="3">
        <f t="shared" si="13"/>
        <v>23.601799873793</v>
      </c>
      <c r="M60" s="3">
        <f t="shared" si="13"/>
        <v>23.8265552699225</v>
      </c>
      <c r="N60" s="3">
        <f t="shared" si="13"/>
        <v>2.60847408918384</v>
      </c>
      <c r="O60" s="3">
        <f t="shared" si="13"/>
        <v>1.20010195452477</v>
      </c>
      <c r="P60" s="3">
        <f t="shared" si="12"/>
        <v>1.30313443925299</v>
      </c>
      <c r="Q60" s="3">
        <f t="shared" si="12"/>
        <v>337.341078980652</v>
      </c>
      <c r="R60" s="3">
        <f t="shared" si="12"/>
        <v>97.292807484022</v>
      </c>
      <c r="S60" s="3">
        <f t="shared" si="12"/>
        <v>44.3782952066827</v>
      </c>
      <c r="T60" s="3">
        <f t="shared" si="12"/>
        <v>37.5305706168617</v>
      </c>
      <c r="U60" s="3">
        <f t="shared" si="12"/>
        <v>77.4460468585233</v>
      </c>
      <c r="V60" s="3">
        <f t="shared" si="12"/>
        <v>5.55732245575811</v>
      </c>
      <c r="W60" s="3">
        <f t="shared" si="12"/>
        <v>3.0186951099778</v>
      </c>
      <c r="X60" s="3">
        <f t="shared" si="12"/>
        <v>6.84317525994326</v>
      </c>
      <c r="Y60" s="3">
        <f t="shared" si="12"/>
        <v>1.37774797503116</v>
      </c>
      <c r="Z60" s="3">
        <f t="shared" si="12"/>
        <v>3.41121115583519</v>
      </c>
      <c r="AA60" s="3">
        <f t="shared" si="12"/>
        <v>4.78622644740928</v>
      </c>
      <c r="AB60" s="3">
        <f t="shared" si="12"/>
        <v>1.56319480691766</v>
      </c>
      <c r="AC60" s="3">
        <f t="shared" si="12"/>
        <v>4.28100229071</v>
      </c>
      <c r="AD60" s="3">
        <f t="shared" si="12"/>
        <v>5.5335736503121</v>
      </c>
      <c r="AE60" s="3">
        <f t="shared" si="12"/>
        <v>9.34395146014123</v>
      </c>
    </row>
    <row r="61" spans="2:31">
      <c r="B61" s="3">
        <f t="shared" si="7"/>
        <v>7.4</v>
      </c>
      <c r="C61" s="3">
        <f t="shared" si="14"/>
        <v>0.210185543371584</v>
      </c>
      <c r="D61" s="3">
        <f t="shared" si="14"/>
        <v>10.0650092868866</v>
      </c>
      <c r="E61" s="3">
        <f t="shared" si="14"/>
        <v>0.0596536774042782</v>
      </c>
      <c r="F61" s="3">
        <f t="shared" si="14"/>
        <v>9.58413908213656</v>
      </c>
      <c r="G61" s="3">
        <f t="shared" si="14"/>
        <v>10.2413727168061</v>
      </c>
      <c r="H61" s="3">
        <f t="shared" si="15"/>
        <v>10.9692074969803</v>
      </c>
      <c r="I61" s="3">
        <f t="shared" si="15"/>
        <v>21.4676752727519</v>
      </c>
      <c r="J61" s="3">
        <f t="shared" si="15"/>
        <v>12.9658198952011</v>
      </c>
      <c r="K61" s="3">
        <f t="shared" si="13"/>
        <v>9.94699929112583</v>
      </c>
      <c r="L61" s="3">
        <f t="shared" si="13"/>
        <v>23.9153710039402</v>
      </c>
      <c r="M61" s="3">
        <f t="shared" si="13"/>
        <v>24.2830663542027</v>
      </c>
      <c r="N61" s="3">
        <f t="shared" si="13"/>
        <v>2.65737258628481</v>
      </c>
      <c r="O61" s="3">
        <f t="shared" si="13"/>
        <v>1.23075143547647</v>
      </c>
      <c r="P61" s="3">
        <f t="shared" si="12"/>
        <v>1.34211039589891</v>
      </c>
      <c r="Q61" s="3">
        <f t="shared" si="12"/>
        <v>345.919226184667</v>
      </c>
      <c r="R61" s="3">
        <f t="shared" si="12"/>
        <v>99.8370240925174</v>
      </c>
      <c r="S61" s="3">
        <f t="shared" si="12"/>
        <v>45.491924712335</v>
      </c>
      <c r="T61" s="3">
        <f t="shared" si="12"/>
        <v>38.5758642451079</v>
      </c>
      <c r="U61" s="3">
        <f t="shared" si="12"/>
        <v>79.2071552706889</v>
      </c>
      <c r="V61" s="3">
        <f t="shared" si="12"/>
        <v>5.61561631587716</v>
      </c>
      <c r="W61" s="3">
        <f t="shared" si="12"/>
        <v>3.06397097575763</v>
      </c>
      <c r="X61" s="3">
        <f t="shared" si="12"/>
        <v>6.96187668621766</v>
      </c>
      <c r="Y61" s="3">
        <f t="shared" si="12"/>
        <v>1.40352856931912</v>
      </c>
      <c r="Z61" s="3">
        <f t="shared" si="12"/>
        <v>3.49777345590943</v>
      </c>
      <c r="AA61" s="3">
        <f t="shared" si="12"/>
        <v>4.89437897321466</v>
      </c>
      <c r="AB61" s="3">
        <f t="shared" si="12"/>
        <v>1.60420145269974</v>
      </c>
      <c r="AC61" s="3">
        <f t="shared" si="12"/>
        <v>4.34764613001834</v>
      </c>
      <c r="AD61" s="3">
        <f t="shared" si="12"/>
        <v>5.59120782139099</v>
      </c>
      <c r="AE61" s="3">
        <f t="shared" si="12"/>
        <v>9.43740646749832</v>
      </c>
    </row>
    <row r="62" spans="2:31">
      <c r="B62" s="3">
        <f t="shared" si="7"/>
        <v>7.6</v>
      </c>
      <c r="C62" s="3">
        <f t="shared" si="14"/>
        <v>0.216541107236061</v>
      </c>
      <c r="D62" s="3">
        <f t="shared" si="14"/>
        <v>10.2642258790501</v>
      </c>
      <c r="E62" s="3">
        <f t="shared" si="14"/>
        <v>0.0638123817021869</v>
      </c>
      <c r="F62" s="3">
        <f t="shared" si="14"/>
        <v>9.76818772749629</v>
      </c>
      <c r="G62" s="3">
        <f t="shared" si="14"/>
        <v>10.433018806199</v>
      </c>
      <c r="H62" s="3">
        <f t="shared" si="15"/>
        <v>11.1692074969803</v>
      </c>
      <c r="I62" s="3">
        <f t="shared" si="15"/>
        <v>21.6676752727519</v>
      </c>
      <c r="J62" s="3">
        <f t="shared" si="15"/>
        <v>13.1658198952011</v>
      </c>
      <c r="K62" s="3">
        <f t="shared" si="13"/>
        <v>10.0569261272637</v>
      </c>
      <c r="L62" s="3">
        <f t="shared" si="13"/>
        <v>24.2289421340875</v>
      </c>
      <c r="M62" s="3">
        <f t="shared" si="13"/>
        <v>24.7395774384828</v>
      </c>
      <c r="N62" s="3">
        <f t="shared" si="13"/>
        <v>2.70627108338579</v>
      </c>
      <c r="O62" s="3">
        <f t="shared" si="13"/>
        <v>1.26140091642816</v>
      </c>
      <c r="P62" s="3">
        <f t="shared" si="12"/>
        <v>1.38108635254482</v>
      </c>
      <c r="Q62" s="3">
        <f t="shared" ref="Q62:AE74" si="16">Q61+(((Q$11+0.1)-(Q$10-0.1))/50)</f>
        <v>354.497373388682</v>
      </c>
      <c r="R62" s="3">
        <f t="shared" si="16"/>
        <v>102.381240701013</v>
      </c>
      <c r="S62" s="3">
        <f t="shared" si="16"/>
        <v>46.6055542179873</v>
      </c>
      <c r="T62" s="3">
        <f t="shared" si="16"/>
        <v>39.6211578733541</v>
      </c>
      <c r="U62" s="3">
        <f t="shared" si="16"/>
        <v>80.9682636828544</v>
      </c>
      <c r="V62" s="3">
        <f t="shared" si="16"/>
        <v>5.67391017599622</v>
      </c>
      <c r="W62" s="3">
        <f t="shared" si="16"/>
        <v>3.10924684153747</v>
      </c>
      <c r="X62" s="3">
        <f t="shared" si="16"/>
        <v>7.08057811249205</v>
      </c>
      <c r="Y62" s="3">
        <f t="shared" si="16"/>
        <v>1.42930916360708</v>
      </c>
      <c r="Z62" s="3">
        <f t="shared" si="16"/>
        <v>3.58433575598367</v>
      </c>
      <c r="AA62" s="3">
        <f t="shared" si="16"/>
        <v>5.00253149902004</v>
      </c>
      <c r="AB62" s="3">
        <f t="shared" si="16"/>
        <v>1.64520809848181</v>
      </c>
      <c r="AC62" s="3">
        <f t="shared" si="16"/>
        <v>4.41428996932668</v>
      </c>
      <c r="AD62" s="3">
        <f t="shared" si="16"/>
        <v>5.64884199246988</v>
      </c>
      <c r="AE62" s="3">
        <f t="shared" si="16"/>
        <v>9.53086147485542</v>
      </c>
    </row>
    <row r="63" spans="2:31">
      <c r="B63" s="3">
        <f t="shared" si="7"/>
        <v>7.8</v>
      </c>
      <c r="C63" s="3">
        <f t="shared" si="14"/>
        <v>0.222896671100538</v>
      </c>
      <c r="D63" s="3">
        <f t="shared" si="14"/>
        <v>10.4634424712135</v>
      </c>
      <c r="E63" s="3">
        <f t="shared" si="14"/>
        <v>0.0679710860000955</v>
      </c>
      <c r="F63" s="3">
        <f t="shared" si="14"/>
        <v>9.95223637285602</v>
      </c>
      <c r="G63" s="3">
        <f t="shared" si="14"/>
        <v>10.6246648955918</v>
      </c>
      <c r="H63" s="3">
        <f t="shared" si="15"/>
        <v>11.3692074969803</v>
      </c>
      <c r="I63" s="3">
        <f t="shared" si="15"/>
        <v>21.8676752727519</v>
      </c>
      <c r="J63" s="3">
        <f t="shared" si="15"/>
        <v>13.3658198952011</v>
      </c>
      <c r="K63" s="3">
        <f t="shared" si="13"/>
        <v>10.1668529634015</v>
      </c>
      <c r="L63" s="3">
        <f t="shared" si="13"/>
        <v>24.5425132642347</v>
      </c>
      <c r="M63" s="3">
        <f t="shared" si="13"/>
        <v>25.1960885227629</v>
      </c>
      <c r="N63" s="3">
        <f t="shared" si="13"/>
        <v>2.75516958048677</v>
      </c>
      <c r="O63" s="3">
        <f t="shared" si="13"/>
        <v>1.29205039737985</v>
      </c>
      <c r="P63" s="3">
        <f t="shared" si="13"/>
        <v>1.42006230919074</v>
      </c>
      <c r="Q63" s="3">
        <f t="shared" si="16"/>
        <v>363.075520592697</v>
      </c>
      <c r="R63" s="3">
        <f t="shared" si="16"/>
        <v>104.925457309508</v>
      </c>
      <c r="S63" s="3">
        <f t="shared" si="16"/>
        <v>47.7191837236397</v>
      </c>
      <c r="T63" s="3">
        <f t="shared" si="16"/>
        <v>40.6664515016002</v>
      </c>
      <c r="U63" s="3">
        <f t="shared" si="16"/>
        <v>82.72937209502</v>
      </c>
      <c r="V63" s="3">
        <f t="shared" si="16"/>
        <v>5.73220403611527</v>
      </c>
      <c r="W63" s="3">
        <f t="shared" si="16"/>
        <v>3.1545227073173</v>
      </c>
      <c r="X63" s="3">
        <f t="shared" si="16"/>
        <v>7.19927953876645</v>
      </c>
      <c r="Y63" s="3">
        <f t="shared" si="16"/>
        <v>1.45508975789504</v>
      </c>
      <c r="Z63" s="3">
        <f t="shared" si="16"/>
        <v>3.6708980560579</v>
      </c>
      <c r="AA63" s="3">
        <f t="shared" si="16"/>
        <v>5.11068402482542</v>
      </c>
      <c r="AB63" s="3">
        <f t="shared" si="16"/>
        <v>1.68621474426389</v>
      </c>
      <c r="AC63" s="3">
        <f t="shared" si="16"/>
        <v>4.48093380863501</v>
      </c>
      <c r="AD63" s="3">
        <f t="shared" si="16"/>
        <v>5.70647616354877</v>
      </c>
      <c r="AE63" s="3">
        <f t="shared" si="16"/>
        <v>9.62431648221252</v>
      </c>
    </row>
    <row r="64" spans="2:31">
      <c r="B64" s="3">
        <f t="shared" si="7"/>
        <v>8</v>
      </c>
      <c r="C64" s="3">
        <f t="shared" si="14"/>
        <v>0.229252234965014</v>
      </c>
      <c r="D64" s="3">
        <f t="shared" si="14"/>
        <v>10.662659063377</v>
      </c>
      <c r="E64" s="3">
        <f t="shared" si="14"/>
        <v>0.0721297902980042</v>
      </c>
      <c r="F64" s="3">
        <f t="shared" si="14"/>
        <v>10.1362850182158</v>
      </c>
      <c r="G64" s="3">
        <f t="shared" si="14"/>
        <v>10.8163109849846</v>
      </c>
      <c r="H64" s="3">
        <f t="shared" si="15"/>
        <v>11.5692074969803</v>
      </c>
      <c r="I64" s="3">
        <f t="shared" si="15"/>
        <v>22.0676752727519</v>
      </c>
      <c r="J64" s="3">
        <f t="shared" si="15"/>
        <v>13.5658198952011</v>
      </c>
      <c r="K64" s="3">
        <f t="shared" si="13"/>
        <v>10.2767797995393</v>
      </c>
      <c r="L64" s="3">
        <f t="shared" si="13"/>
        <v>24.8560843943819</v>
      </c>
      <c r="M64" s="3">
        <f t="shared" si="13"/>
        <v>25.652599607043</v>
      </c>
      <c r="N64" s="3">
        <f t="shared" si="13"/>
        <v>2.80406807758774</v>
      </c>
      <c r="O64" s="3">
        <f t="shared" si="13"/>
        <v>1.32269987833154</v>
      </c>
      <c r="P64" s="3">
        <f t="shared" si="13"/>
        <v>1.45903826583666</v>
      </c>
      <c r="Q64" s="3">
        <f t="shared" si="16"/>
        <v>371.653667796712</v>
      </c>
      <c r="R64" s="3">
        <f t="shared" si="16"/>
        <v>107.469673918004</v>
      </c>
      <c r="S64" s="3">
        <f t="shared" si="16"/>
        <v>48.832813229292</v>
      </c>
      <c r="T64" s="3">
        <f t="shared" si="16"/>
        <v>41.7117451298464</v>
      </c>
      <c r="U64" s="3">
        <f t="shared" si="16"/>
        <v>84.4904805071855</v>
      </c>
      <c r="V64" s="3">
        <f t="shared" si="16"/>
        <v>5.79049789623433</v>
      </c>
      <c r="W64" s="3">
        <f t="shared" si="16"/>
        <v>3.19979857309714</v>
      </c>
      <c r="X64" s="3">
        <f t="shared" si="16"/>
        <v>7.31798096504084</v>
      </c>
      <c r="Y64" s="3">
        <f t="shared" si="16"/>
        <v>1.48087035218299</v>
      </c>
      <c r="Z64" s="3">
        <f t="shared" si="16"/>
        <v>3.75746035613214</v>
      </c>
      <c r="AA64" s="3">
        <f t="shared" si="16"/>
        <v>5.2188365506308</v>
      </c>
      <c r="AB64" s="3">
        <f t="shared" si="16"/>
        <v>1.72722139004596</v>
      </c>
      <c r="AC64" s="3">
        <f t="shared" si="16"/>
        <v>4.54757764794335</v>
      </c>
      <c r="AD64" s="3">
        <f t="shared" si="16"/>
        <v>5.76411033462765</v>
      </c>
      <c r="AE64" s="3">
        <f t="shared" si="16"/>
        <v>9.71777148956961</v>
      </c>
    </row>
    <row r="65" spans="2:31">
      <c r="B65" s="3">
        <f t="shared" si="7"/>
        <v>8.2</v>
      </c>
      <c r="C65" s="3">
        <f t="shared" si="14"/>
        <v>0.235607798829491</v>
      </c>
      <c r="D65" s="3">
        <f t="shared" si="14"/>
        <v>10.8618756555404</v>
      </c>
      <c r="E65" s="3">
        <f t="shared" si="14"/>
        <v>0.0762884945959129</v>
      </c>
      <c r="F65" s="3">
        <f t="shared" si="14"/>
        <v>10.3203336635755</v>
      </c>
      <c r="G65" s="3">
        <f t="shared" si="14"/>
        <v>11.0079570743775</v>
      </c>
      <c r="H65" s="3">
        <f t="shared" si="15"/>
        <v>11.7692074969803</v>
      </c>
      <c r="I65" s="3">
        <f t="shared" si="15"/>
        <v>22.2676752727519</v>
      </c>
      <c r="J65" s="3">
        <f t="shared" si="15"/>
        <v>13.7658198952011</v>
      </c>
      <c r="K65" s="3">
        <f t="shared" si="13"/>
        <v>10.3867066356772</v>
      </c>
      <c r="L65" s="3">
        <f t="shared" si="13"/>
        <v>25.1696555245292</v>
      </c>
      <c r="M65" s="3">
        <f t="shared" si="13"/>
        <v>26.1091106913232</v>
      </c>
      <c r="N65" s="3">
        <f t="shared" si="13"/>
        <v>2.85296657468872</v>
      </c>
      <c r="O65" s="3">
        <f t="shared" si="13"/>
        <v>1.35334935928323</v>
      </c>
      <c r="P65" s="3">
        <f t="shared" si="13"/>
        <v>1.49801422248257</v>
      </c>
      <c r="Q65" s="3">
        <f t="shared" si="16"/>
        <v>380.231815000727</v>
      </c>
      <c r="R65" s="3">
        <f t="shared" si="16"/>
        <v>110.013890526499</v>
      </c>
      <c r="S65" s="3">
        <f t="shared" si="16"/>
        <v>49.9464427349443</v>
      </c>
      <c r="T65" s="3">
        <f t="shared" si="16"/>
        <v>42.7570387580925</v>
      </c>
      <c r="U65" s="3">
        <f t="shared" si="16"/>
        <v>86.2515889193511</v>
      </c>
      <c r="V65" s="3">
        <f t="shared" si="16"/>
        <v>5.84879175635338</v>
      </c>
      <c r="W65" s="3">
        <f t="shared" si="16"/>
        <v>3.24507443887698</v>
      </c>
      <c r="X65" s="3">
        <f t="shared" si="16"/>
        <v>7.43668239131523</v>
      </c>
      <c r="Y65" s="3">
        <f t="shared" si="16"/>
        <v>1.50665094647095</v>
      </c>
      <c r="Z65" s="3">
        <f t="shared" si="16"/>
        <v>3.84402265620638</v>
      </c>
      <c r="AA65" s="3">
        <f t="shared" si="16"/>
        <v>5.32698907643618</v>
      </c>
      <c r="AB65" s="3">
        <f t="shared" si="16"/>
        <v>1.76822803582804</v>
      </c>
      <c r="AC65" s="3">
        <f t="shared" si="16"/>
        <v>4.61422148725169</v>
      </c>
      <c r="AD65" s="3">
        <f t="shared" si="16"/>
        <v>5.82174450570654</v>
      </c>
      <c r="AE65" s="3">
        <f t="shared" si="16"/>
        <v>9.81122649692671</v>
      </c>
    </row>
    <row r="66" spans="2:31">
      <c r="B66" s="3">
        <f t="shared" si="7"/>
        <v>8.4</v>
      </c>
      <c r="C66" s="3">
        <f t="shared" si="14"/>
        <v>0.241963362693968</v>
      </c>
      <c r="D66" s="3">
        <f t="shared" si="14"/>
        <v>11.0610922477039</v>
      </c>
      <c r="E66" s="3">
        <f t="shared" si="14"/>
        <v>0.0804471988938216</v>
      </c>
      <c r="F66" s="3">
        <f t="shared" si="14"/>
        <v>10.5043823089352</v>
      </c>
      <c r="G66" s="3">
        <f t="shared" si="14"/>
        <v>11.1996031637703</v>
      </c>
      <c r="H66" s="3">
        <f t="shared" si="15"/>
        <v>11.9692074969803</v>
      </c>
      <c r="I66" s="3">
        <f t="shared" si="15"/>
        <v>22.4676752727519</v>
      </c>
      <c r="J66" s="3">
        <f t="shared" si="15"/>
        <v>13.9658198952011</v>
      </c>
      <c r="K66" s="3">
        <f t="shared" si="13"/>
        <v>10.496633471815</v>
      </c>
      <c r="L66" s="3">
        <f t="shared" si="13"/>
        <v>25.4832266546764</v>
      </c>
      <c r="M66" s="3">
        <f t="shared" si="13"/>
        <v>26.5656217756033</v>
      </c>
      <c r="N66" s="3">
        <f t="shared" si="13"/>
        <v>2.90186507178969</v>
      </c>
      <c r="O66" s="3">
        <f t="shared" si="13"/>
        <v>1.38399884023493</v>
      </c>
      <c r="P66" s="3">
        <f t="shared" si="13"/>
        <v>1.53699017912849</v>
      </c>
      <c r="Q66" s="3">
        <f t="shared" si="16"/>
        <v>388.809962204743</v>
      </c>
      <c r="R66" s="3">
        <f t="shared" si="16"/>
        <v>112.558107134994</v>
      </c>
      <c r="S66" s="3">
        <f t="shared" si="16"/>
        <v>51.0600722405967</v>
      </c>
      <c r="T66" s="3">
        <f t="shared" si="16"/>
        <v>43.8023323863387</v>
      </c>
      <c r="U66" s="3">
        <f t="shared" si="16"/>
        <v>88.0126973315166</v>
      </c>
      <c r="V66" s="3">
        <f t="shared" si="16"/>
        <v>5.90708561647244</v>
      </c>
      <c r="W66" s="3">
        <f t="shared" si="16"/>
        <v>3.29035030465681</v>
      </c>
      <c r="X66" s="3">
        <f t="shared" si="16"/>
        <v>7.55538381758963</v>
      </c>
      <c r="Y66" s="3">
        <f t="shared" si="16"/>
        <v>1.53243154075891</v>
      </c>
      <c r="Z66" s="3">
        <f t="shared" si="16"/>
        <v>3.93058495628062</v>
      </c>
      <c r="AA66" s="3">
        <f t="shared" si="16"/>
        <v>5.43514160224156</v>
      </c>
      <c r="AB66" s="3">
        <f t="shared" si="16"/>
        <v>1.80923468161011</v>
      </c>
      <c r="AC66" s="3">
        <f t="shared" si="16"/>
        <v>4.68086532656003</v>
      </c>
      <c r="AD66" s="3">
        <f t="shared" si="16"/>
        <v>5.87937867678543</v>
      </c>
      <c r="AE66" s="3">
        <f t="shared" si="16"/>
        <v>9.90468150428381</v>
      </c>
    </row>
    <row r="67" spans="2:31">
      <c r="B67" s="3">
        <f t="shared" si="7"/>
        <v>8.6</v>
      </c>
      <c r="C67" s="3">
        <f t="shared" si="14"/>
        <v>0.248318926558445</v>
      </c>
      <c r="D67" s="3">
        <f t="shared" si="14"/>
        <v>11.2603088398674</v>
      </c>
      <c r="E67" s="3">
        <f t="shared" si="14"/>
        <v>0.0846059031917303</v>
      </c>
      <c r="F67" s="3">
        <f t="shared" si="14"/>
        <v>10.688430954295</v>
      </c>
      <c r="G67" s="3">
        <f t="shared" si="14"/>
        <v>11.3912492531632</v>
      </c>
      <c r="H67" s="3">
        <f t="shared" si="15"/>
        <v>12.1692074969803</v>
      </c>
      <c r="I67" s="3">
        <f t="shared" si="15"/>
        <v>22.6676752727519</v>
      </c>
      <c r="J67" s="3">
        <f t="shared" si="15"/>
        <v>14.1658198952011</v>
      </c>
      <c r="K67" s="3">
        <f t="shared" si="13"/>
        <v>10.6065603079528</v>
      </c>
      <c r="L67" s="3">
        <f t="shared" si="13"/>
        <v>25.7967977848236</v>
      </c>
      <c r="M67" s="3">
        <f t="shared" si="13"/>
        <v>27.0221328598834</v>
      </c>
      <c r="N67" s="3">
        <f t="shared" si="13"/>
        <v>2.95076356889067</v>
      </c>
      <c r="O67" s="3">
        <f t="shared" si="13"/>
        <v>1.41464832118662</v>
      </c>
      <c r="P67" s="3">
        <f t="shared" si="13"/>
        <v>1.57596613577441</v>
      </c>
      <c r="Q67" s="3">
        <f t="shared" si="16"/>
        <v>397.388109408758</v>
      </c>
      <c r="R67" s="3">
        <f t="shared" si="16"/>
        <v>115.10232374349</v>
      </c>
      <c r="S67" s="3">
        <f t="shared" si="16"/>
        <v>52.173701746249</v>
      </c>
      <c r="T67" s="3">
        <f t="shared" si="16"/>
        <v>44.8476260145848</v>
      </c>
      <c r="U67" s="3">
        <f t="shared" si="16"/>
        <v>89.7738057436822</v>
      </c>
      <c r="V67" s="3">
        <f t="shared" si="16"/>
        <v>5.96537947659149</v>
      </c>
      <c r="W67" s="3">
        <f t="shared" si="16"/>
        <v>3.33562617043665</v>
      </c>
      <c r="X67" s="3">
        <f t="shared" si="16"/>
        <v>7.67408524386402</v>
      </c>
      <c r="Y67" s="3">
        <f t="shared" si="16"/>
        <v>1.55821213504687</v>
      </c>
      <c r="Z67" s="3">
        <f t="shared" si="16"/>
        <v>4.01714725635486</v>
      </c>
      <c r="AA67" s="3">
        <f t="shared" si="16"/>
        <v>5.54329412804694</v>
      </c>
      <c r="AB67" s="3">
        <f t="shared" si="16"/>
        <v>1.85024132739219</v>
      </c>
      <c r="AC67" s="3">
        <f t="shared" si="16"/>
        <v>4.74750916586837</v>
      </c>
      <c r="AD67" s="3">
        <f t="shared" si="16"/>
        <v>5.93701284786432</v>
      </c>
      <c r="AE67" s="3">
        <f t="shared" si="16"/>
        <v>9.9981365116409</v>
      </c>
    </row>
    <row r="68" spans="2:31">
      <c r="B68" s="3">
        <f t="shared" si="7"/>
        <v>8.8</v>
      </c>
      <c r="C68" s="3">
        <f t="shared" si="14"/>
        <v>0.254674490422921</v>
      </c>
      <c r="D68" s="3">
        <f t="shared" si="14"/>
        <v>11.4595254320308</v>
      </c>
      <c r="E68" s="3">
        <f t="shared" si="14"/>
        <v>0.0887646074896389</v>
      </c>
      <c r="F68" s="3">
        <f t="shared" si="14"/>
        <v>10.8724795996547</v>
      </c>
      <c r="G68" s="3">
        <f t="shared" si="14"/>
        <v>11.582895342556</v>
      </c>
      <c r="H68" s="3">
        <f t="shared" si="15"/>
        <v>12.3692074969803</v>
      </c>
      <c r="I68" s="3">
        <f t="shared" si="15"/>
        <v>22.8676752727519</v>
      </c>
      <c r="J68" s="3">
        <f t="shared" si="15"/>
        <v>14.3658198952011</v>
      </c>
      <c r="K68" s="3">
        <f t="shared" si="13"/>
        <v>10.7164871440907</v>
      </c>
      <c r="L68" s="3">
        <f t="shared" si="13"/>
        <v>26.1103689149708</v>
      </c>
      <c r="M68" s="3">
        <f t="shared" si="13"/>
        <v>27.4786439441636</v>
      </c>
      <c r="N68" s="3">
        <f t="shared" si="13"/>
        <v>2.99966206599165</v>
      </c>
      <c r="O68" s="3">
        <f t="shared" si="13"/>
        <v>1.44529780213831</v>
      </c>
      <c r="P68" s="3">
        <f t="shared" si="13"/>
        <v>1.61494209242032</v>
      </c>
      <c r="Q68" s="3">
        <f t="shared" si="16"/>
        <v>405.966256612773</v>
      </c>
      <c r="R68" s="3">
        <f t="shared" si="16"/>
        <v>117.646540351985</v>
      </c>
      <c r="S68" s="3">
        <f t="shared" si="16"/>
        <v>53.2873312519013</v>
      </c>
      <c r="T68" s="3">
        <f t="shared" si="16"/>
        <v>45.892919642831</v>
      </c>
      <c r="U68" s="3">
        <f t="shared" si="16"/>
        <v>91.5349141558477</v>
      </c>
      <c r="V68" s="3">
        <f t="shared" si="16"/>
        <v>6.02367333671055</v>
      </c>
      <c r="W68" s="3">
        <f t="shared" si="16"/>
        <v>3.38090203621648</v>
      </c>
      <c r="X68" s="3">
        <f t="shared" si="16"/>
        <v>7.79278667013842</v>
      </c>
      <c r="Y68" s="3">
        <f t="shared" si="16"/>
        <v>1.58399272933483</v>
      </c>
      <c r="Z68" s="3">
        <f t="shared" si="16"/>
        <v>4.10370955642909</v>
      </c>
      <c r="AA68" s="3">
        <f t="shared" si="16"/>
        <v>5.65144665385233</v>
      </c>
      <c r="AB68" s="3">
        <f t="shared" si="16"/>
        <v>1.89124797317426</v>
      </c>
      <c r="AC68" s="3">
        <f t="shared" si="16"/>
        <v>4.81415300517671</v>
      </c>
      <c r="AD68" s="3">
        <f t="shared" si="16"/>
        <v>5.99464701894321</v>
      </c>
      <c r="AE68" s="3">
        <f t="shared" si="16"/>
        <v>10.091591518998</v>
      </c>
    </row>
    <row r="69" spans="2:31">
      <c r="B69" s="3">
        <f t="shared" si="7"/>
        <v>9</v>
      </c>
      <c r="C69" s="3">
        <f t="shared" si="14"/>
        <v>0.261030054287398</v>
      </c>
      <c r="D69" s="3">
        <f t="shared" si="14"/>
        <v>11.6587420241943</v>
      </c>
      <c r="E69" s="3">
        <f t="shared" si="14"/>
        <v>0.0929233117875476</v>
      </c>
      <c r="F69" s="3">
        <f t="shared" si="14"/>
        <v>11.0565282450144</v>
      </c>
      <c r="G69" s="3">
        <f t="shared" si="14"/>
        <v>11.7745414319489</v>
      </c>
      <c r="H69" s="3">
        <f t="shared" si="15"/>
        <v>12.5692074969803</v>
      </c>
      <c r="I69" s="3">
        <f t="shared" si="15"/>
        <v>23.0676752727519</v>
      </c>
      <c r="J69" s="3">
        <f t="shared" si="15"/>
        <v>14.5658198952011</v>
      </c>
      <c r="K69" s="3">
        <f t="shared" ref="K69:P74" si="17">K68+(((K$11+0.1)-(K$10-0.1))/50)</f>
        <v>10.8264139802285</v>
      </c>
      <c r="L69" s="3">
        <f t="shared" si="17"/>
        <v>26.4239400451181</v>
      </c>
      <c r="M69" s="3">
        <f t="shared" si="17"/>
        <v>27.9351550284437</v>
      </c>
      <c r="N69" s="3">
        <f t="shared" si="17"/>
        <v>3.04856056309262</v>
      </c>
      <c r="O69" s="3">
        <f t="shared" si="17"/>
        <v>1.47594728309</v>
      </c>
      <c r="P69" s="3">
        <f t="shared" si="17"/>
        <v>1.65391804906624</v>
      </c>
      <c r="Q69" s="3">
        <f t="shared" si="16"/>
        <v>414.544403816788</v>
      </c>
      <c r="R69" s="3">
        <f t="shared" si="16"/>
        <v>120.190756960481</v>
      </c>
      <c r="S69" s="3">
        <f t="shared" si="16"/>
        <v>54.4009607575536</v>
      </c>
      <c r="T69" s="3">
        <f t="shared" si="16"/>
        <v>46.9382132710771</v>
      </c>
      <c r="U69" s="3">
        <f t="shared" si="16"/>
        <v>93.2960225680133</v>
      </c>
      <c r="V69" s="3">
        <f t="shared" si="16"/>
        <v>6.0819671968296</v>
      </c>
      <c r="W69" s="3">
        <f t="shared" si="16"/>
        <v>3.42617790199632</v>
      </c>
      <c r="X69" s="3">
        <f t="shared" si="16"/>
        <v>7.91148809641281</v>
      </c>
      <c r="Y69" s="3">
        <f t="shared" si="16"/>
        <v>1.60977332362278</v>
      </c>
      <c r="Z69" s="3">
        <f t="shared" si="16"/>
        <v>4.19027185650333</v>
      </c>
      <c r="AA69" s="3">
        <f t="shared" si="16"/>
        <v>5.75959917965771</v>
      </c>
      <c r="AB69" s="3">
        <f t="shared" si="16"/>
        <v>1.93225461895633</v>
      </c>
      <c r="AC69" s="3">
        <f t="shared" si="16"/>
        <v>4.88079684448504</v>
      </c>
      <c r="AD69" s="3">
        <f t="shared" si="16"/>
        <v>6.05228119002209</v>
      </c>
      <c r="AE69" s="3">
        <f t="shared" si="16"/>
        <v>10.1850465263551</v>
      </c>
    </row>
    <row r="70" spans="2:31">
      <c r="B70" s="3">
        <f t="shared" si="7"/>
        <v>9.2</v>
      </c>
      <c r="C70" s="3">
        <f t="shared" si="14"/>
        <v>0.267385618151875</v>
      </c>
      <c r="D70" s="3">
        <f t="shared" si="14"/>
        <v>11.8579586163577</v>
      </c>
      <c r="E70" s="3">
        <f t="shared" si="14"/>
        <v>0.0970820160854563</v>
      </c>
      <c r="F70" s="3">
        <f t="shared" si="14"/>
        <v>11.2405768903742</v>
      </c>
      <c r="G70" s="3">
        <f t="shared" si="14"/>
        <v>11.9661875213417</v>
      </c>
      <c r="H70" s="3">
        <f t="shared" si="15"/>
        <v>12.7692074969803</v>
      </c>
      <c r="I70" s="3">
        <f t="shared" si="15"/>
        <v>23.2676752727519</v>
      </c>
      <c r="J70" s="3">
        <f t="shared" si="15"/>
        <v>14.7658198952011</v>
      </c>
      <c r="K70" s="3">
        <f t="shared" si="17"/>
        <v>10.9363408163663</v>
      </c>
      <c r="L70" s="3">
        <f t="shared" si="17"/>
        <v>26.7375111752653</v>
      </c>
      <c r="M70" s="3">
        <f t="shared" si="17"/>
        <v>28.3916661127238</v>
      </c>
      <c r="N70" s="3">
        <f t="shared" si="17"/>
        <v>3.0974590601936</v>
      </c>
      <c r="O70" s="3">
        <f t="shared" si="17"/>
        <v>1.50659676404169</v>
      </c>
      <c r="P70" s="3">
        <f t="shared" si="17"/>
        <v>1.69289400571215</v>
      </c>
      <c r="Q70" s="3">
        <f t="shared" si="16"/>
        <v>423.122551020803</v>
      </c>
      <c r="R70" s="3">
        <f t="shared" si="16"/>
        <v>122.734973568976</v>
      </c>
      <c r="S70" s="3">
        <f t="shared" si="16"/>
        <v>55.514590263206</v>
      </c>
      <c r="T70" s="3">
        <f t="shared" si="16"/>
        <v>47.9835068993233</v>
      </c>
      <c r="U70" s="3">
        <f t="shared" si="16"/>
        <v>95.0571309801789</v>
      </c>
      <c r="V70" s="3">
        <f t="shared" si="16"/>
        <v>6.14026105694866</v>
      </c>
      <c r="W70" s="3">
        <f t="shared" si="16"/>
        <v>3.47145376777616</v>
      </c>
      <c r="X70" s="3">
        <f t="shared" si="16"/>
        <v>8.03018952268721</v>
      </c>
      <c r="Y70" s="3">
        <f t="shared" si="16"/>
        <v>1.63555391791074</v>
      </c>
      <c r="Z70" s="3">
        <f t="shared" si="16"/>
        <v>4.27683415657757</v>
      </c>
      <c r="AA70" s="3">
        <f t="shared" si="16"/>
        <v>5.86775170546309</v>
      </c>
      <c r="AB70" s="3">
        <f t="shared" si="16"/>
        <v>1.97326126473841</v>
      </c>
      <c r="AC70" s="3">
        <f t="shared" si="16"/>
        <v>4.94744068379338</v>
      </c>
      <c r="AD70" s="3">
        <f t="shared" si="16"/>
        <v>6.10991536110098</v>
      </c>
      <c r="AE70" s="3">
        <f t="shared" si="16"/>
        <v>10.2785015337122</v>
      </c>
    </row>
    <row r="71" spans="2:31">
      <c r="B71" s="3">
        <f t="shared" si="7"/>
        <v>9.4</v>
      </c>
      <c r="C71" s="3">
        <f t="shared" si="14"/>
        <v>0.273741182016352</v>
      </c>
      <c r="D71" s="3">
        <f t="shared" si="14"/>
        <v>12.0571752085212</v>
      </c>
      <c r="E71" s="3">
        <f t="shared" si="14"/>
        <v>0.101240720383365</v>
      </c>
      <c r="F71" s="3">
        <f t="shared" si="14"/>
        <v>11.4246255357339</v>
      </c>
      <c r="G71" s="3">
        <f t="shared" si="14"/>
        <v>12.1578336107346</v>
      </c>
      <c r="H71" s="3">
        <f t="shared" si="15"/>
        <v>12.9692074969803</v>
      </c>
      <c r="I71" s="3">
        <f t="shared" si="15"/>
        <v>23.4676752727519</v>
      </c>
      <c r="J71" s="3">
        <f t="shared" si="15"/>
        <v>14.9658198952011</v>
      </c>
      <c r="K71" s="3">
        <f t="shared" si="17"/>
        <v>11.0462676525042</v>
      </c>
      <c r="L71" s="3">
        <f t="shared" si="17"/>
        <v>27.0510823054125</v>
      </c>
      <c r="M71" s="3">
        <f t="shared" si="17"/>
        <v>28.848177197004</v>
      </c>
      <c r="N71" s="3">
        <f t="shared" si="17"/>
        <v>3.14635755729457</v>
      </c>
      <c r="O71" s="3">
        <f t="shared" si="17"/>
        <v>1.53724624499338</v>
      </c>
      <c r="P71" s="3">
        <f t="shared" si="17"/>
        <v>1.73186996235807</v>
      </c>
      <c r="Q71" s="3">
        <f t="shared" si="16"/>
        <v>431.700698224818</v>
      </c>
      <c r="R71" s="3">
        <f t="shared" si="16"/>
        <v>125.279190177471</v>
      </c>
      <c r="S71" s="3">
        <f t="shared" si="16"/>
        <v>56.6282197688583</v>
      </c>
      <c r="T71" s="3">
        <f t="shared" si="16"/>
        <v>49.0288005275695</v>
      </c>
      <c r="U71" s="3">
        <f t="shared" si="16"/>
        <v>96.8182393923444</v>
      </c>
      <c r="V71" s="3">
        <f t="shared" si="16"/>
        <v>6.19855491706771</v>
      </c>
      <c r="W71" s="3">
        <f t="shared" si="16"/>
        <v>3.51672963355599</v>
      </c>
      <c r="X71" s="3">
        <f t="shared" si="16"/>
        <v>8.1488909489616</v>
      </c>
      <c r="Y71" s="3">
        <f t="shared" si="16"/>
        <v>1.6613345121987</v>
      </c>
      <c r="Z71" s="3">
        <f t="shared" si="16"/>
        <v>4.36339645665181</v>
      </c>
      <c r="AA71" s="3">
        <f t="shared" si="16"/>
        <v>5.97590423126847</v>
      </c>
      <c r="AB71" s="3">
        <f t="shared" si="16"/>
        <v>2.01426791052048</v>
      </c>
      <c r="AC71" s="3">
        <f t="shared" si="16"/>
        <v>5.01408452310172</v>
      </c>
      <c r="AD71" s="3">
        <f t="shared" si="16"/>
        <v>6.16754953217987</v>
      </c>
      <c r="AE71" s="3">
        <f t="shared" si="16"/>
        <v>10.3719565410693</v>
      </c>
    </row>
    <row r="72" spans="2:31">
      <c r="B72" s="3">
        <f t="shared" si="7"/>
        <v>9.6</v>
      </c>
      <c r="C72" s="3">
        <f t="shared" si="14"/>
        <v>0.280096745880829</v>
      </c>
      <c r="D72" s="3">
        <f t="shared" si="14"/>
        <v>12.2563918006847</v>
      </c>
      <c r="E72" s="3">
        <f t="shared" si="14"/>
        <v>0.105399424681274</v>
      </c>
      <c r="F72" s="3">
        <f t="shared" si="14"/>
        <v>11.6086741810936</v>
      </c>
      <c r="G72" s="3">
        <f t="shared" si="14"/>
        <v>12.3494797001274</v>
      </c>
      <c r="H72" s="3">
        <f t="shared" si="15"/>
        <v>13.1692074969803</v>
      </c>
      <c r="I72" s="3">
        <f t="shared" si="15"/>
        <v>23.6676752727519</v>
      </c>
      <c r="J72" s="3">
        <f t="shared" si="15"/>
        <v>15.1658198952011</v>
      </c>
      <c r="K72" s="3">
        <f t="shared" si="17"/>
        <v>11.156194488642</v>
      </c>
      <c r="L72" s="3">
        <f t="shared" si="17"/>
        <v>27.3646534355597</v>
      </c>
      <c r="M72" s="3">
        <f t="shared" si="17"/>
        <v>29.3046882812841</v>
      </c>
      <c r="N72" s="3">
        <f t="shared" si="17"/>
        <v>3.19525605439555</v>
      </c>
      <c r="O72" s="3">
        <f t="shared" si="17"/>
        <v>1.56789572594508</v>
      </c>
      <c r="P72" s="3">
        <f t="shared" si="17"/>
        <v>1.77084591900399</v>
      </c>
      <c r="Q72" s="3">
        <f t="shared" si="16"/>
        <v>440.278845428833</v>
      </c>
      <c r="R72" s="3">
        <f t="shared" si="16"/>
        <v>127.823406785967</v>
      </c>
      <c r="S72" s="3">
        <f t="shared" si="16"/>
        <v>57.7418492745106</v>
      </c>
      <c r="T72" s="3">
        <f t="shared" si="16"/>
        <v>50.0740941558156</v>
      </c>
      <c r="U72" s="3">
        <f t="shared" si="16"/>
        <v>98.57934780451</v>
      </c>
      <c r="V72" s="3">
        <f t="shared" si="16"/>
        <v>6.25684877718677</v>
      </c>
      <c r="W72" s="3">
        <f t="shared" si="16"/>
        <v>3.56200549933583</v>
      </c>
      <c r="X72" s="3">
        <f t="shared" si="16"/>
        <v>8.267592375236</v>
      </c>
      <c r="Y72" s="3">
        <f t="shared" si="16"/>
        <v>1.68711510648666</v>
      </c>
      <c r="Z72" s="3">
        <f t="shared" si="16"/>
        <v>4.44995875672605</v>
      </c>
      <c r="AA72" s="3">
        <f t="shared" si="16"/>
        <v>6.08405675707385</v>
      </c>
      <c r="AB72" s="3">
        <f t="shared" si="16"/>
        <v>2.05527455630256</v>
      </c>
      <c r="AC72" s="3">
        <f t="shared" si="16"/>
        <v>5.08072836241006</v>
      </c>
      <c r="AD72" s="3">
        <f t="shared" si="16"/>
        <v>6.22518370325876</v>
      </c>
      <c r="AE72" s="3">
        <f t="shared" si="16"/>
        <v>10.4654115484264</v>
      </c>
    </row>
    <row r="73" spans="2:31">
      <c r="B73" s="3">
        <f t="shared" si="7"/>
        <v>9.8</v>
      </c>
      <c r="C73" s="3">
        <f t="shared" si="14"/>
        <v>0.286452309745305</v>
      </c>
      <c r="D73" s="3">
        <f t="shared" si="14"/>
        <v>12.4556083928481</v>
      </c>
      <c r="E73" s="3">
        <f t="shared" si="14"/>
        <v>0.109558128979182</v>
      </c>
      <c r="F73" s="3">
        <f t="shared" si="14"/>
        <v>11.7927228264533</v>
      </c>
      <c r="G73" s="3">
        <f t="shared" si="14"/>
        <v>12.5411257895203</v>
      </c>
      <c r="H73" s="3">
        <f t="shared" si="15"/>
        <v>13.3692074969803</v>
      </c>
      <c r="I73" s="3">
        <f t="shared" si="15"/>
        <v>23.8676752727519</v>
      </c>
      <c r="J73" s="3">
        <f t="shared" si="15"/>
        <v>15.3658198952011</v>
      </c>
      <c r="K73" s="3">
        <f t="shared" si="17"/>
        <v>11.2661213247798</v>
      </c>
      <c r="L73" s="3">
        <f t="shared" si="17"/>
        <v>27.678224565707</v>
      </c>
      <c r="M73" s="3">
        <f t="shared" si="17"/>
        <v>29.7611993655642</v>
      </c>
      <c r="N73" s="3">
        <f t="shared" si="17"/>
        <v>3.24415455149652</v>
      </c>
      <c r="O73" s="3">
        <f t="shared" si="17"/>
        <v>1.59854520689677</v>
      </c>
      <c r="P73" s="3">
        <f t="shared" si="17"/>
        <v>1.8098218756499</v>
      </c>
      <c r="Q73" s="3">
        <f t="shared" si="16"/>
        <v>448.856992632848</v>
      </c>
      <c r="R73" s="3">
        <f t="shared" si="16"/>
        <v>130.367623394462</v>
      </c>
      <c r="S73" s="3">
        <f t="shared" si="16"/>
        <v>58.8554787801629</v>
      </c>
      <c r="T73" s="3">
        <f t="shared" si="16"/>
        <v>51.1193877840618</v>
      </c>
      <c r="U73" s="3">
        <f t="shared" si="16"/>
        <v>100.340456216676</v>
      </c>
      <c r="V73" s="3">
        <f t="shared" si="16"/>
        <v>6.31514263730582</v>
      </c>
      <c r="W73" s="3">
        <f t="shared" si="16"/>
        <v>3.60728136511566</v>
      </c>
      <c r="X73" s="3">
        <f t="shared" si="16"/>
        <v>8.38629380151039</v>
      </c>
      <c r="Y73" s="3">
        <f t="shared" si="16"/>
        <v>1.71289570077462</v>
      </c>
      <c r="Z73" s="3">
        <f t="shared" si="16"/>
        <v>4.53652105680028</v>
      </c>
      <c r="AA73" s="3">
        <f t="shared" si="16"/>
        <v>6.19220928287923</v>
      </c>
      <c r="AB73" s="3">
        <f t="shared" si="16"/>
        <v>2.09628120208463</v>
      </c>
      <c r="AC73" s="3">
        <f t="shared" si="16"/>
        <v>5.1473722017184</v>
      </c>
      <c r="AD73" s="3">
        <f t="shared" si="16"/>
        <v>6.28281787433765</v>
      </c>
      <c r="AE73" s="3">
        <f t="shared" si="16"/>
        <v>10.5588665557835</v>
      </c>
    </row>
    <row r="74" spans="2:31">
      <c r="B74" s="3">
        <f t="shared" si="7"/>
        <v>10</v>
      </c>
      <c r="C74" s="3">
        <f t="shared" ref="C74:G74" si="18">C73+(((C$11+0.1)-(C$10-0.1))/50)</f>
        <v>0.292807873609782</v>
      </c>
      <c r="D74" s="3">
        <f t="shared" si="18"/>
        <v>12.6548249850116</v>
      </c>
      <c r="E74" s="3">
        <f t="shared" si="18"/>
        <v>0.113716833277091</v>
      </c>
      <c r="F74" s="3">
        <f t="shared" si="18"/>
        <v>11.9767714718131</v>
      </c>
      <c r="G74" s="3">
        <f t="shared" si="18"/>
        <v>12.7327718789131</v>
      </c>
      <c r="H74" s="3">
        <f t="shared" ref="H74:J74" si="19">H73+0.2</f>
        <v>13.5692074969803</v>
      </c>
      <c r="I74" s="3">
        <f t="shared" si="19"/>
        <v>24.0676752727519</v>
      </c>
      <c r="J74" s="3">
        <f t="shared" si="19"/>
        <v>15.5658198952011</v>
      </c>
      <c r="K74" s="3">
        <f t="shared" si="17"/>
        <v>11.3760481609177</v>
      </c>
      <c r="L74" s="3">
        <f t="shared" si="17"/>
        <v>27.9917956958542</v>
      </c>
      <c r="M74" s="3">
        <f t="shared" si="17"/>
        <v>30.2177104498444</v>
      </c>
      <c r="N74" s="3">
        <f t="shared" si="17"/>
        <v>3.2930530485975</v>
      </c>
      <c r="O74" s="3">
        <f t="shared" si="17"/>
        <v>1.62919468784846</v>
      </c>
      <c r="P74" s="3">
        <f t="shared" si="17"/>
        <v>1.84879783229582</v>
      </c>
      <c r="Q74" s="3">
        <f t="shared" si="16"/>
        <v>457.435139836864</v>
      </c>
      <c r="R74" s="3">
        <f t="shared" si="16"/>
        <v>132.911840002958</v>
      </c>
      <c r="S74" s="3">
        <f t="shared" si="16"/>
        <v>59.9691082858153</v>
      </c>
      <c r="T74" s="3">
        <f t="shared" si="16"/>
        <v>52.1646814123079</v>
      </c>
      <c r="U74" s="3">
        <f t="shared" si="16"/>
        <v>102.101564628841</v>
      </c>
      <c r="V74" s="3">
        <f t="shared" si="16"/>
        <v>6.37343649742488</v>
      </c>
      <c r="W74" s="3">
        <f t="shared" si="16"/>
        <v>3.6525572308955</v>
      </c>
      <c r="X74" s="3">
        <f t="shared" si="16"/>
        <v>8.50499522778479</v>
      </c>
      <c r="Y74" s="3">
        <f t="shared" si="16"/>
        <v>1.73867629506257</v>
      </c>
      <c r="Z74" s="3">
        <f t="shared" si="16"/>
        <v>4.62308335687452</v>
      </c>
      <c r="AA74" s="3">
        <f t="shared" si="16"/>
        <v>6.30036180868461</v>
      </c>
      <c r="AB74" s="3">
        <f t="shared" si="16"/>
        <v>2.13728784786671</v>
      </c>
      <c r="AC74" s="3">
        <f t="shared" si="16"/>
        <v>5.21401604102674</v>
      </c>
      <c r="AD74" s="3">
        <f t="shared" si="16"/>
        <v>6.34045204541654</v>
      </c>
      <c r="AE74" s="3">
        <f t="shared" si="16"/>
        <v>10.6523215631406</v>
      </c>
    </row>
    <row r="75" spans="2:31">
      <c r="B75" s="3"/>
    </row>
    <row r="76" spans="2:31">
      <c r="B76" s="3"/>
    </row>
    <row r="77" spans="2:31">
      <c r="B77" s="3"/>
    </row>
    <row r="78" spans="2:31">
      <c r="B78" s="3"/>
    </row>
    <row r="79" spans="2:31">
      <c r="B79" s="3"/>
    </row>
    <row r="80" spans="2:31">
      <c r="B80" s="3"/>
    </row>
    <row r="110" spans="57:61">
      <c r="BE110" s="2" t="s">
        <v>1358</v>
      </c>
    </row>
    <row r="111" spans="57:61">
      <c r="BE111" s="2" t="s">
        <v>1359</v>
      </c>
      <c r="BI111" s="2" t="s">
        <v>1360</v>
      </c>
    </row>
    <row r="112" spans="57:61">
      <c r="BE112" s="2" t="s">
        <v>1361</v>
      </c>
    </row>
    <row r="113" spans="57:57">
      <c r="BE113" s="2" t="s">
        <v>1362</v>
      </c>
    </row>
  </sheetData>
  <mergeCells count="2">
    <mergeCell ref="B2:P2"/>
    <mergeCell ref="B13:P13"/>
  </mergeCells>
  <pageMargins left="0.7" right="0.7" top="0.75" bottom="0.75" header="0.3" footer="0.3"/>
  <pageSetup paperSize="1" orientation="portrait" horizontalDpi="1200" verticalDpi="12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workbookViewId="0">
      <selection activeCell="K26" sqref="K26"/>
    </sheetView>
  </sheetViews>
  <sheetFormatPr defaultColWidth="11" defaultRowHeight="13.8"/>
  <sheetData>
    <row r="1" spans="1:15">
      <c r="A1" t="s">
        <v>1363</v>
      </c>
    </row>
    <row r="2" ht="14.4" spans="1:15">
      <c r="A2" s="42"/>
      <c r="B2" s="43" t="s">
        <v>46</v>
      </c>
      <c r="C2" s="44" t="s">
        <v>1346</v>
      </c>
      <c r="D2" s="45" t="s">
        <v>72</v>
      </c>
      <c r="E2" s="46" t="s">
        <v>74</v>
      </c>
      <c r="F2" s="46" t="s">
        <v>76</v>
      </c>
      <c r="G2" s="45" t="s">
        <v>78</v>
      </c>
      <c r="H2" s="45" t="s">
        <v>86</v>
      </c>
      <c r="I2" s="45" t="s">
        <v>88</v>
      </c>
      <c r="J2" s="45" t="s">
        <v>90</v>
      </c>
      <c r="K2" s="45" t="s">
        <v>92</v>
      </c>
      <c r="L2" s="45" t="s">
        <v>94</v>
      </c>
      <c r="M2" s="47" t="s">
        <v>1364</v>
      </c>
      <c r="N2" s="48" t="s">
        <v>172</v>
      </c>
      <c r="O2" s="42"/>
    </row>
    <row r="3" spans="1:15">
      <c r="C3">
        <v>1</v>
      </c>
      <c r="D3">
        <f>C3+1</f>
        <v>2</v>
      </c>
      <c r="E3">
        <f t="shared" ref="E3:M3" si="0">D3+1</f>
        <v>3</v>
      </c>
      <c r="F3">
        <f t="shared" si="0"/>
        <v>4</v>
      </c>
      <c r="G3">
        <f t="shared" si="0"/>
        <v>5</v>
      </c>
      <c r="H3">
        <f t="shared" si="0"/>
        <v>6</v>
      </c>
      <c r="I3">
        <f t="shared" si="0"/>
        <v>7</v>
      </c>
      <c r="J3">
        <f t="shared" si="0"/>
        <v>8</v>
      </c>
      <c r="K3">
        <f t="shared" si="0"/>
        <v>9</v>
      </c>
      <c r="L3">
        <f t="shared" si="0"/>
        <v>10</v>
      </c>
      <c r="M3">
        <f t="shared" si="0"/>
        <v>11</v>
      </c>
      <c r="N3">
        <v>12</v>
      </c>
    </row>
    <row r="17" spans="4:5">
      <c r="D17" s="44" t="s">
        <v>1346</v>
      </c>
      <c r="E17">
        <v>1</v>
      </c>
    </row>
    <row r="18" spans="4:5">
      <c r="D18" s="45" t="s">
        <v>72</v>
      </c>
      <c r="E18">
        <f t="shared" ref="E18:E27" si="1">E17+1</f>
        <v>2</v>
      </c>
    </row>
    <row r="19" spans="4:5">
      <c r="D19" s="46" t="s">
        <v>74</v>
      </c>
      <c r="E19">
        <f t="shared" si="1"/>
        <v>3</v>
      </c>
    </row>
    <row r="20" spans="4:5">
      <c r="D20" s="46" t="s">
        <v>76</v>
      </c>
      <c r="E20">
        <f t="shared" si="1"/>
        <v>4</v>
      </c>
    </row>
    <row r="21" spans="4:5">
      <c r="D21" s="45" t="s">
        <v>78</v>
      </c>
      <c r="E21">
        <f t="shared" si="1"/>
        <v>5</v>
      </c>
    </row>
    <row r="22" spans="4:5">
      <c r="D22" s="45" t="s">
        <v>86</v>
      </c>
      <c r="E22">
        <f t="shared" si="1"/>
        <v>6</v>
      </c>
    </row>
    <row r="23" spans="4:5">
      <c r="D23" s="45" t="s">
        <v>88</v>
      </c>
      <c r="E23">
        <f t="shared" si="1"/>
        <v>7</v>
      </c>
    </row>
    <row r="24" spans="4:5">
      <c r="D24" s="45" t="s">
        <v>90</v>
      </c>
      <c r="E24">
        <f t="shared" si="1"/>
        <v>8</v>
      </c>
    </row>
    <row r="25" spans="4:5">
      <c r="D25" s="45" t="s">
        <v>92</v>
      </c>
      <c r="E25">
        <f t="shared" si="1"/>
        <v>9</v>
      </c>
    </row>
    <row r="26" spans="4:5">
      <c r="D26" s="45" t="s">
        <v>94</v>
      </c>
      <c r="E26">
        <f t="shared" si="1"/>
        <v>10</v>
      </c>
    </row>
    <row r="27" ht="14.4" spans="4:5">
      <c r="D27" s="47" t="s">
        <v>1364</v>
      </c>
      <c r="E27">
        <f t="shared" si="1"/>
        <v>11</v>
      </c>
    </row>
    <row r="28" spans="4:5">
      <c r="D28" s="48" t="s">
        <v>172</v>
      </c>
      <c r="E28">
        <v>12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I7:Y84"/>
  <sheetViews>
    <sheetView showGridLines="0" zoomScale="73" zoomScaleNormal="73" topLeftCell="H1" workbookViewId="0">
      <selection activeCell="V9" sqref="V9:V13"/>
    </sheetView>
  </sheetViews>
  <sheetFormatPr defaultColWidth="11" defaultRowHeight="13.8"/>
  <cols>
    <col min="12" max="12" width="2.71296296296296" customWidth="1"/>
    <col min="13" max="14" width="19.1388888888889" customWidth="1"/>
    <col min="19" max="20" width="17" customWidth="1"/>
    <col min="21" max="21" width="21" customWidth="1"/>
    <col min="22" max="22" width="17.4259259259259" customWidth="1"/>
    <col min="23" max="23" width="19.712962962963" customWidth="1"/>
    <col min="24" max="24" width="14.8518518518519" customWidth="1"/>
  </cols>
  <sheetData>
    <row r="7" spans="18:25">
      <c r="R7" s="34"/>
      <c r="S7" s="34"/>
      <c r="T7" s="34"/>
      <c r="U7" s="34"/>
      <c r="V7" s="34"/>
      <c r="W7" s="34"/>
      <c r="X7" s="34"/>
      <c r="Y7" s="34"/>
    </row>
    <row r="8" spans="18:25">
      <c r="R8" s="34" t="s">
        <v>46</v>
      </c>
      <c r="S8" s="34" t="s">
        <v>133</v>
      </c>
      <c r="T8" s="34" t="s">
        <v>136</v>
      </c>
      <c r="U8" s="34" t="s">
        <v>140</v>
      </c>
      <c r="V8" s="34" t="s">
        <v>144</v>
      </c>
      <c r="W8" s="34" t="s">
        <v>146</v>
      </c>
      <c r="X8" s="34" t="s">
        <v>162</v>
      </c>
      <c r="Y8" s="34"/>
    </row>
    <row r="9" spans="18:25">
      <c r="R9" s="34" t="s">
        <v>1336</v>
      </c>
      <c r="S9" s="35">
        <v>1.16237471762219</v>
      </c>
      <c r="T9" s="35">
        <v>1.22596635235514</v>
      </c>
      <c r="U9" s="35">
        <v>8.83762528237782</v>
      </c>
      <c r="V9" s="35">
        <v>2.98117758959561</v>
      </c>
      <c r="W9" s="35">
        <v>1.53926239729732</v>
      </c>
      <c r="X9" s="35">
        <v>3.48452146771193</v>
      </c>
      <c r="Y9" s="34"/>
    </row>
    <row r="10" spans="18:25">
      <c r="R10" s="34" t="s">
        <v>1337</v>
      </c>
      <c r="S10" s="35">
        <v>0.0220365695384181</v>
      </c>
      <c r="T10" s="35">
        <v>7.55330456174229</v>
      </c>
      <c r="U10" s="35">
        <v>7.67334045872125</v>
      </c>
      <c r="V10" s="35">
        <v>9.97796343046161</v>
      </c>
      <c r="W10" s="35">
        <v>1.2229801129603</v>
      </c>
      <c r="X10" s="35">
        <v>3.03342870662695</v>
      </c>
      <c r="Y10" s="34"/>
    </row>
    <row r="11" spans="18:25">
      <c r="R11" s="34" t="s">
        <v>1338</v>
      </c>
      <c r="S11" s="35">
        <v>4.42678511873851e-5</v>
      </c>
      <c r="T11" s="35">
        <v>7.56458488651883</v>
      </c>
      <c r="U11" s="35">
        <v>7.68515109387402</v>
      </c>
      <c r="V11" s="35">
        <v>9.99995573214888</v>
      </c>
      <c r="W11" s="35">
        <v>1.20629349764165</v>
      </c>
      <c r="X11" s="35">
        <v>3.02474052926739</v>
      </c>
      <c r="Y11" s="34"/>
    </row>
    <row r="12" spans="18:25">
      <c r="R12" s="34" t="s">
        <v>1339</v>
      </c>
      <c r="S12" s="35">
        <v>0.00228043040849712</v>
      </c>
      <c r="T12" s="35">
        <v>1.22646587666875</v>
      </c>
      <c r="U12" s="35">
        <v>9.99771956959149</v>
      </c>
      <c r="V12" s="35">
        <v>5.88074206142259</v>
      </c>
      <c r="W12" s="35">
        <v>2.01790235383205</v>
      </c>
      <c r="X12" s="35">
        <v>4.25762976153927</v>
      </c>
      <c r="Y12" s="34"/>
    </row>
    <row r="13" spans="18:25">
      <c r="R13" s="34" t="s">
        <v>1340</v>
      </c>
      <c r="S13" s="35">
        <v>5.53106154779843</v>
      </c>
      <c r="T13" s="35">
        <v>0.027056794283876</v>
      </c>
      <c r="U13" s="35">
        <v>6.61700320516848</v>
      </c>
      <c r="V13" s="35">
        <v>5.21792560583481</v>
      </c>
      <c r="W13" s="35">
        <v>9.97294320571612</v>
      </c>
      <c r="X13" s="35">
        <v>4.91563935893023</v>
      </c>
      <c r="Y13" s="34"/>
    </row>
    <row r="14" spans="18:25">
      <c r="R14" s="34"/>
      <c r="S14" s="34"/>
      <c r="T14" s="34"/>
      <c r="U14" s="34"/>
      <c r="V14" s="34"/>
      <c r="W14" s="34"/>
      <c r="X14" s="34"/>
      <c r="Y14" s="34"/>
    </row>
    <row r="17" spans="9:25">
      <c r="I17" s="34"/>
      <c r="J17" s="34"/>
      <c r="K17" s="34"/>
      <c r="L17" s="34"/>
      <c r="M17" s="34"/>
      <c r="N17" s="34"/>
      <c r="O17" s="34"/>
      <c r="P17" s="34"/>
      <c r="Q17" s="34"/>
      <c r="R17" s="34"/>
      <c r="S17" s="34"/>
      <c r="T17" s="34"/>
      <c r="U17" s="34"/>
      <c r="V17" s="34"/>
      <c r="W17" s="34"/>
      <c r="X17" s="34"/>
    </row>
    <row r="18" spans="9:25">
      <c r="I18" s="34"/>
      <c r="J18" s="34"/>
      <c r="K18" s="34"/>
      <c r="L18" s="34"/>
      <c r="M18" s="34"/>
      <c r="N18" s="34"/>
      <c r="O18" s="34"/>
      <c r="P18" s="34"/>
      <c r="Q18" s="34"/>
      <c r="R18" s="34"/>
      <c r="S18" s="34"/>
      <c r="T18" s="34"/>
      <c r="U18" s="34"/>
      <c r="V18" s="34"/>
      <c r="W18" s="34"/>
      <c r="X18" s="34"/>
    </row>
    <row r="19" spans="9:25">
      <c r="I19" s="34"/>
      <c r="J19" s="34"/>
      <c r="K19" s="34"/>
      <c r="L19" s="34"/>
      <c r="M19" s="34"/>
      <c r="N19" s="34"/>
      <c r="O19" s="34"/>
      <c r="P19" s="34"/>
      <c r="Q19" s="34"/>
      <c r="R19" s="34"/>
      <c r="S19" s="34"/>
      <c r="T19" s="34"/>
      <c r="U19" s="34"/>
      <c r="V19" s="34"/>
      <c r="W19" s="34"/>
      <c r="X19" s="34"/>
    </row>
    <row r="20" spans="9:25">
      <c r="I20" s="34"/>
      <c r="J20" s="34"/>
      <c r="K20" s="34"/>
      <c r="L20" s="34"/>
      <c r="M20" s="34"/>
      <c r="N20" s="34"/>
      <c r="O20" s="34"/>
      <c r="P20" s="34"/>
      <c r="Q20" s="34"/>
      <c r="R20" s="34"/>
      <c r="S20" s="34"/>
      <c r="T20" s="34"/>
      <c r="U20" s="34"/>
      <c r="V20" s="34"/>
      <c r="W20" s="34"/>
      <c r="X20" s="34"/>
    </row>
    <row r="21" spans="9:25">
      <c r="I21" s="34"/>
      <c r="J21" s="34"/>
      <c r="K21" s="34"/>
      <c r="L21" s="34"/>
      <c r="M21" s="34"/>
      <c r="N21" s="34"/>
      <c r="O21" s="34"/>
      <c r="P21" s="34"/>
      <c r="Q21" s="34"/>
      <c r="R21" s="34"/>
      <c r="S21" s="34"/>
      <c r="T21" s="34"/>
      <c r="U21" s="34"/>
      <c r="V21" s="34"/>
      <c r="W21" s="34"/>
      <c r="X21" s="34"/>
    </row>
    <row r="22" spans="9:25">
      <c r="I22" s="34"/>
      <c r="J22" s="34"/>
      <c r="K22" s="34"/>
      <c r="L22" s="34"/>
      <c r="M22" s="34"/>
      <c r="N22" s="34"/>
      <c r="O22" s="34"/>
      <c r="P22" s="34"/>
      <c r="Q22" s="34"/>
      <c r="R22" s="34"/>
      <c r="S22" s="34"/>
      <c r="T22" s="34"/>
      <c r="U22" s="34"/>
      <c r="V22" s="34"/>
      <c r="W22" s="34"/>
      <c r="X22" s="34"/>
    </row>
    <row r="23" spans="9:25">
      <c r="I23" s="34"/>
      <c r="J23" s="34"/>
      <c r="K23" s="34"/>
      <c r="L23" s="34"/>
      <c r="M23" s="34"/>
      <c r="N23" s="34"/>
      <c r="O23" s="34"/>
      <c r="P23" s="34"/>
      <c r="Q23" s="34"/>
      <c r="R23" s="34"/>
      <c r="S23" s="34"/>
      <c r="T23" s="34"/>
      <c r="U23" s="34"/>
      <c r="V23" s="34"/>
      <c r="W23" s="34"/>
      <c r="X23" s="34"/>
    </row>
    <row r="24" spans="9:25">
      <c r="I24" s="34"/>
      <c r="J24" s="34"/>
      <c r="K24" s="34"/>
      <c r="L24" s="34"/>
      <c r="M24" s="34"/>
      <c r="N24" s="34"/>
      <c r="O24" s="34"/>
      <c r="P24" s="34"/>
      <c r="Q24" s="34"/>
      <c r="R24" s="34"/>
      <c r="S24" s="34"/>
      <c r="T24" s="34"/>
      <c r="U24" s="34"/>
      <c r="V24" s="34"/>
      <c r="W24" s="34"/>
      <c r="X24" s="34"/>
    </row>
    <row r="25" spans="9:25">
      <c r="I25" s="34"/>
      <c r="J25" s="34"/>
      <c r="K25" s="34"/>
      <c r="L25" s="34"/>
      <c r="M25" s="34"/>
      <c r="N25" s="34"/>
      <c r="O25" s="34"/>
      <c r="P25" s="34"/>
      <c r="Q25" s="34"/>
      <c r="R25" s="34"/>
      <c r="S25" s="34"/>
      <c r="T25" s="34"/>
      <c r="U25" s="34"/>
      <c r="V25" s="34"/>
      <c r="W25" s="34"/>
      <c r="X25" s="34"/>
    </row>
    <row r="26" spans="9:25">
      <c r="I26" s="34"/>
      <c r="J26" s="34"/>
      <c r="K26" s="34"/>
      <c r="L26" s="34"/>
      <c r="M26" s="34"/>
      <c r="N26" s="34"/>
      <c r="O26" s="34"/>
      <c r="P26" s="34"/>
      <c r="Q26" s="34"/>
      <c r="R26" s="34" t="s">
        <v>1363</v>
      </c>
      <c r="S26" s="34"/>
      <c r="T26" s="34"/>
      <c r="U26" s="34"/>
      <c r="V26" s="34"/>
      <c r="W26" s="34"/>
      <c r="X26" s="34"/>
    </row>
    <row r="27" spans="9:25">
      <c r="I27" s="34"/>
      <c r="J27" s="34"/>
      <c r="K27" s="34"/>
      <c r="L27" s="34"/>
      <c r="M27" s="34"/>
      <c r="N27" s="34"/>
      <c r="O27" s="34"/>
      <c r="P27" s="34"/>
      <c r="Q27" s="34"/>
      <c r="R27" s="34"/>
      <c r="S27" s="34"/>
      <c r="T27" s="34"/>
      <c r="U27" s="34"/>
      <c r="V27" s="34"/>
      <c r="W27" s="34"/>
      <c r="X27" s="34"/>
    </row>
    <row r="28" spans="9:25">
      <c r="I28" s="34"/>
      <c r="J28" s="34"/>
      <c r="K28" s="34"/>
      <c r="L28" s="34"/>
      <c r="M28" s="34"/>
      <c r="N28" s="34"/>
      <c r="O28" s="34"/>
      <c r="P28" s="34"/>
      <c r="Q28" s="34"/>
      <c r="R28" s="34" t="s">
        <v>46</v>
      </c>
      <c r="S28" s="34" t="s">
        <v>133</v>
      </c>
      <c r="T28" s="34" t="s">
        <v>136</v>
      </c>
      <c r="U28" s="34" t="s">
        <v>140</v>
      </c>
      <c r="V28" s="34" t="s">
        <v>144</v>
      </c>
      <c r="W28" s="34" t="s">
        <v>146</v>
      </c>
      <c r="X28" s="34" t="s">
        <v>162</v>
      </c>
    </row>
    <row r="29" spans="9:25">
      <c r="I29" s="34"/>
      <c r="J29" s="34"/>
      <c r="K29" s="34"/>
      <c r="L29" s="36" t="s">
        <v>1365</v>
      </c>
      <c r="M29" s="36"/>
      <c r="N29" s="36"/>
      <c r="O29" s="34"/>
      <c r="P29" s="34"/>
      <c r="Q29" s="34"/>
      <c r="R29" s="34" t="s">
        <v>1336</v>
      </c>
      <c r="S29" s="35">
        <v>3.18966008531616</v>
      </c>
      <c r="T29" s="35">
        <v>4.32541582090105</v>
      </c>
      <c r="U29" s="35">
        <v>6.60871794198692</v>
      </c>
      <c r="V29" s="35">
        <v>6.85315096717284</v>
      </c>
      <c r="W29" s="35">
        <v>3.14684903282716</v>
      </c>
      <c r="X29" s="35">
        <v>4.80691700967998</v>
      </c>
      <c r="Y29" s="37"/>
    </row>
    <row r="30" spans="9:25">
      <c r="I30" s="34"/>
      <c r="J30" s="34"/>
      <c r="K30" s="34"/>
      <c r="L30" s="38"/>
      <c r="M30" s="39" t="s">
        <v>133</v>
      </c>
      <c r="N30" s="39" t="s">
        <v>136</v>
      </c>
      <c r="O30" s="34"/>
      <c r="P30" s="34"/>
      <c r="Q30" s="34"/>
      <c r="R30" s="34" t="s">
        <v>1337</v>
      </c>
      <c r="S30" s="35">
        <v>0.460297831953825</v>
      </c>
      <c r="T30" s="35">
        <v>4.69701355495026</v>
      </c>
      <c r="U30" s="35">
        <v>4.33027273528061</v>
      </c>
      <c r="V30" s="35">
        <v>9.8996067557285</v>
      </c>
      <c r="W30" s="35">
        <v>0.100393244271495</v>
      </c>
      <c r="X30" s="35">
        <v>2.58263078899608</v>
      </c>
      <c r="Y30" s="37"/>
    </row>
    <row r="31" spans="9:25">
      <c r="I31" s="34"/>
      <c r="J31" s="34"/>
      <c r="K31" s="34"/>
      <c r="L31" s="38" t="s">
        <v>1336</v>
      </c>
      <c r="M31" s="40">
        <v>3.18966008531616</v>
      </c>
      <c r="N31" s="40">
        <v>4.32541582090105</v>
      </c>
      <c r="O31" s="41">
        <f>M31-N31</f>
        <v>-1.13575573558488</v>
      </c>
      <c r="P31" s="34"/>
      <c r="Q31" s="34"/>
      <c r="R31" s="34" t="s">
        <v>1338</v>
      </c>
      <c r="S31" s="35">
        <v>5.05417867106139</v>
      </c>
      <c r="T31" s="35">
        <v>4.96628773388078</v>
      </c>
      <c r="U31" s="35">
        <v>5.09316478010421</v>
      </c>
      <c r="V31" s="35">
        <v>4.96832722542672</v>
      </c>
      <c r="W31" s="35">
        <v>4.80483003791269</v>
      </c>
      <c r="X31" s="35">
        <v>5.19516996208732</v>
      </c>
      <c r="Y31" s="37"/>
    </row>
    <row r="32" spans="9:25">
      <c r="I32" s="34"/>
      <c r="J32" s="34"/>
      <c r="K32" s="34"/>
      <c r="L32" s="38" t="s">
        <v>1336</v>
      </c>
      <c r="M32" s="40">
        <v>0.460297831953825</v>
      </c>
      <c r="N32" s="40">
        <v>4.69701355495026</v>
      </c>
      <c r="O32" s="41">
        <f t="shared" ref="O32:O46" si="0">M32-N32</f>
        <v>-4.23671572299643</v>
      </c>
      <c r="P32" s="34"/>
      <c r="Q32" s="34"/>
      <c r="R32" s="34" t="s">
        <v>1339</v>
      </c>
      <c r="S32" s="35">
        <v>0.108900629370861</v>
      </c>
      <c r="T32" s="35">
        <v>4.19535611767625</v>
      </c>
      <c r="U32" s="35">
        <v>4.59791462468528</v>
      </c>
      <c r="V32" s="35">
        <v>9.89109937062913</v>
      </c>
      <c r="W32" s="35">
        <v>0.141686866449434</v>
      </c>
      <c r="X32" s="35">
        <v>2.54969813898929</v>
      </c>
      <c r="Y32" s="37"/>
    </row>
    <row r="33" spans="9:25">
      <c r="I33" s="34"/>
      <c r="J33" s="34"/>
      <c r="K33" s="34"/>
      <c r="L33" s="38" t="s">
        <v>1338</v>
      </c>
      <c r="M33" s="40">
        <v>5.05417867106139</v>
      </c>
      <c r="N33" s="40">
        <v>4.96628773388078</v>
      </c>
      <c r="O33" s="41">
        <f t="shared" si="0"/>
        <v>0.0878909371806049</v>
      </c>
      <c r="P33" s="34"/>
      <c r="Q33" s="34"/>
      <c r="R33" s="34" t="s">
        <v>1340</v>
      </c>
      <c r="S33" s="35">
        <v>0.1045399709604</v>
      </c>
      <c r="T33" s="35">
        <v>4.30890598661067</v>
      </c>
      <c r="U33" s="35">
        <v>5.53329116441777</v>
      </c>
      <c r="V33" s="35">
        <v>9.89546002903961</v>
      </c>
      <c r="W33" s="35">
        <v>0.247021211443106</v>
      </c>
      <c r="X33" s="35">
        <v>2.79663966388667</v>
      </c>
      <c r="Y33" s="37"/>
    </row>
    <row r="34" spans="9:25">
      <c r="I34" s="34"/>
      <c r="J34" s="34"/>
      <c r="K34" s="34"/>
      <c r="L34" s="38" t="s">
        <v>1339</v>
      </c>
      <c r="M34" s="40">
        <v>0.108900629370861</v>
      </c>
      <c r="N34" s="40">
        <v>4.19535611767625</v>
      </c>
      <c r="O34" s="41">
        <f t="shared" si="0"/>
        <v>-4.08645548830539</v>
      </c>
      <c r="P34" s="34"/>
      <c r="Q34" s="34"/>
      <c r="R34" s="34" t="s">
        <v>1349</v>
      </c>
      <c r="S34" s="35">
        <v>5.37302676669795</v>
      </c>
      <c r="T34" s="35">
        <v>0.17852838840659</v>
      </c>
      <c r="U34" s="35">
        <v>0.668024308447739</v>
      </c>
      <c r="V34" s="35">
        <v>2.39640591649856</v>
      </c>
      <c r="W34" s="35">
        <v>9.82147161159338</v>
      </c>
      <c r="X34" s="35">
        <v>0.861905176666237</v>
      </c>
      <c r="Y34" s="37"/>
    </row>
    <row r="35" spans="9:25">
      <c r="I35" s="34"/>
      <c r="J35" s="34"/>
      <c r="K35" s="34"/>
      <c r="L35" s="38" t="s">
        <v>1340</v>
      </c>
      <c r="M35" s="40">
        <v>0.1045399709604</v>
      </c>
      <c r="N35" s="40">
        <v>4.30890598661067</v>
      </c>
      <c r="O35" s="41">
        <f t="shared" si="0"/>
        <v>-4.20436601565027</v>
      </c>
      <c r="P35" s="34"/>
      <c r="Q35" s="34"/>
      <c r="R35" s="34" t="s">
        <v>1350</v>
      </c>
      <c r="S35" s="35">
        <v>8.32147591321694</v>
      </c>
      <c r="T35" s="35">
        <v>1.72462152878552</v>
      </c>
      <c r="U35" s="35">
        <v>0.0637813818848931</v>
      </c>
      <c r="V35" s="35">
        <v>9.93621861811514</v>
      </c>
      <c r="W35" s="35">
        <v>7.77653303791951</v>
      </c>
      <c r="X35" s="35">
        <v>6.17192461835707</v>
      </c>
      <c r="Y35" s="37"/>
    </row>
    <row r="36" spans="9:25">
      <c r="I36" s="34"/>
      <c r="J36" s="34"/>
      <c r="K36" s="34"/>
      <c r="L36" s="38" t="s">
        <v>1349</v>
      </c>
      <c r="M36" s="40">
        <v>1.40361335669082</v>
      </c>
      <c r="N36" s="40">
        <v>0.912692234187025</v>
      </c>
      <c r="O36" s="41">
        <f t="shared" si="0"/>
        <v>0.490921122503798</v>
      </c>
      <c r="P36" s="34"/>
      <c r="Q36" s="34"/>
      <c r="R36" s="34" t="s">
        <v>1351</v>
      </c>
      <c r="S36" s="35">
        <v>8.80287264383375</v>
      </c>
      <c r="T36" s="35">
        <v>4.24233320946907</v>
      </c>
      <c r="U36" s="35">
        <v>0.043810546312451</v>
      </c>
      <c r="V36" s="35">
        <v>9.95618945368755</v>
      </c>
      <c r="W36" s="35">
        <v>3.24824258477214</v>
      </c>
      <c r="X36" s="35">
        <v>4.40505005118637</v>
      </c>
      <c r="Y36" s="37"/>
    </row>
    <row r="37" spans="9:25">
      <c r="I37" s="34"/>
      <c r="J37" s="34"/>
      <c r="K37" s="34"/>
      <c r="L37" s="38" t="s">
        <v>1350</v>
      </c>
      <c r="M37" s="40">
        <v>1.84938329453801</v>
      </c>
      <c r="N37" s="40">
        <v>0.0999999999999979</v>
      </c>
      <c r="O37" s="41">
        <f t="shared" si="0"/>
        <v>1.74938329453802</v>
      </c>
      <c r="P37" s="34"/>
      <c r="Q37" s="34"/>
      <c r="R37" s="34" t="s">
        <v>1352</v>
      </c>
      <c r="S37" s="35">
        <v>0.409010525593454</v>
      </c>
      <c r="T37" s="35">
        <v>2.36849845248895</v>
      </c>
      <c r="U37" s="35">
        <v>9.59098947440655</v>
      </c>
      <c r="V37" s="35">
        <v>4.85482973253859</v>
      </c>
      <c r="W37" s="35">
        <v>3.94166686054068</v>
      </c>
      <c r="X37" s="35">
        <v>6.03539420401105</v>
      </c>
      <c r="Y37" s="37"/>
    </row>
    <row r="38" spans="9:25">
      <c r="I38" s="34"/>
      <c r="J38" s="34"/>
      <c r="K38" s="34"/>
      <c r="L38" s="38" t="s">
        <v>1351</v>
      </c>
      <c r="M38" s="40">
        <v>11.3675676410833</v>
      </c>
      <c r="N38" s="40">
        <v>10.4089000440152</v>
      </c>
      <c r="O38" s="41">
        <f t="shared" si="0"/>
        <v>0.958667597068153</v>
      </c>
      <c r="P38" s="34"/>
      <c r="Q38" s="34"/>
      <c r="R38" s="34" t="s">
        <v>1353</v>
      </c>
      <c r="S38" s="35">
        <v>3.54371316354068</v>
      </c>
      <c r="T38" s="35">
        <v>6.29713913353505</v>
      </c>
      <c r="U38" s="35">
        <v>1.43473912873718</v>
      </c>
      <c r="V38" s="35">
        <v>9.34746040131892</v>
      </c>
      <c r="W38" s="35">
        <v>0.652539598681077</v>
      </c>
      <c r="X38" s="35">
        <v>3.49945395987175</v>
      </c>
      <c r="Y38" s="37"/>
    </row>
    <row r="39" spans="9:25">
      <c r="I39" s="34"/>
      <c r="J39" s="34"/>
      <c r="K39" s="34"/>
      <c r="L39" s="38" t="s">
        <v>1352</v>
      </c>
      <c r="M39" s="40">
        <v>5.37302676669795</v>
      </c>
      <c r="N39" s="40">
        <v>0.17852838840659</v>
      </c>
      <c r="O39" s="41">
        <f t="shared" si="0"/>
        <v>5.19449837829136</v>
      </c>
      <c r="P39" s="34"/>
      <c r="Q39" s="34"/>
      <c r="R39" s="34" t="s">
        <v>1354</v>
      </c>
      <c r="S39" s="35">
        <v>5</v>
      </c>
      <c r="T39" s="35">
        <v>5</v>
      </c>
      <c r="U39" s="35">
        <v>5</v>
      </c>
      <c r="V39" s="35">
        <v>5</v>
      </c>
      <c r="W39" s="35">
        <v>5</v>
      </c>
      <c r="X39" s="35">
        <v>5</v>
      </c>
      <c r="Y39" s="37"/>
    </row>
    <row r="40" spans="9:25">
      <c r="I40" s="34"/>
      <c r="J40" s="34"/>
      <c r="K40" s="34"/>
      <c r="L40" s="38" t="s">
        <v>1353</v>
      </c>
      <c r="M40" s="40">
        <v>8.32147591321694</v>
      </c>
      <c r="N40" s="40">
        <v>1.72462152878552</v>
      </c>
      <c r="O40" s="41">
        <f t="shared" si="0"/>
        <v>6.59685438443141</v>
      </c>
      <c r="P40" s="34"/>
      <c r="Q40" s="34"/>
      <c r="R40" s="34" t="s">
        <v>1355</v>
      </c>
      <c r="S40" s="35">
        <v>7.25770710286063</v>
      </c>
      <c r="T40" s="35">
        <v>0.20410532891308</v>
      </c>
      <c r="U40" s="35">
        <v>3.71248043761349</v>
      </c>
      <c r="V40" s="35">
        <v>6.9454153659449</v>
      </c>
      <c r="W40" s="35">
        <v>9.79589467108696</v>
      </c>
      <c r="X40" s="35">
        <v>5.77290033730137</v>
      </c>
      <c r="Y40" s="37"/>
    </row>
    <row r="41" spans="9:25">
      <c r="I41" s="34"/>
      <c r="J41" s="34"/>
      <c r="K41" s="34"/>
      <c r="L41" s="38" t="s">
        <v>1354</v>
      </c>
      <c r="M41" s="40">
        <v>8.80287264383375</v>
      </c>
      <c r="N41" s="40">
        <v>4.24233320946907</v>
      </c>
      <c r="O41" s="41">
        <f t="shared" si="0"/>
        <v>4.56053943436468</v>
      </c>
      <c r="P41" s="34"/>
      <c r="Q41" s="34"/>
      <c r="R41" s="34"/>
      <c r="S41" s="34"/>
      <c r="T41" s="34"/>
      <c r="U41" s="34"/>
      <c r="V41" s="34"/>
      <c r="W41" s="34"/>
      <c r="X41" s="34"/>
    </row>
    <row r="42" spans="9:25">
      <c r="I42" s="34"/>
      <c r="J42" s="34"/>
      <c r="K42" s="34"/>
      <c r="L42" s="38" t="s">
        <v>1355</v>
      </c>
      <c r="M42" s="40">
        <v>0.409010525593454</v>
      </c>
      <c r="N42" s="40">
        <v>2.36849845248895</v>
      </c>
      <c r="O42" s="41">
        <f t="shared" si="0"/>
        <v>-1.9594879268955</v>
      </c>
      <c r="P42" s="34"/>
      <c r="Q42" s="34"/>
      <c r="R42" s="34"/>
      <c r="S42" s="34"/>
      <c r="T42" s="34"/>
      <c r="U42" s="34"/>
      <c r="V42" s="34"/>
      <c r="W42" s="34"/>
      <c r="X42" s="34"/>
    </row>
    <row r="43" spans="9:25">
      <c r="I43" s="34"/>
      <c r="J43" s="34"/>
      <c r="K43" s="34"/>
      <c r="L43" s="38" t="s">
        <v>1366</v>
      </c>
      <c r="M43" s="40">
        <v>3.54371316354068</v>
      </c>
      <c r="N43" s="40">
        <v>6.29713913353505</v>
      </c>
      <c r="O43" s="41">
        <f t="shared" si="0"/>
        <v>-2.75342596999437</v>
      </c>
      <c r="P43" s="34"/>
      <c r="Q43" s="34"/>
      <c r="R43" s="34"/>
      <c r="S43" s="34"/>
      <c r="T43" s="34"/>
      <c r="U43" s="34"/>
      <c r="V43" s="34"/>
      <c r="W43" s="34"/>
      <c r="X43" s="34"/>
    </row>
    <row r="44" spans="9:25">
      <c r="I44" s="34"/>
      <c r="J44" s="34"/>
      <c r="K44" s="34"/>
      <c r="L44" s="38" t="s">
        <v>1367</v>
      </c>
      <c r="M44" s="40">
        <v>5</v>
      </c>
      <c r="N44" s="40">
        <v>5</v>
      </c>
      <c r="O44" s="41">
        <f t="shared" si="0"/>
        <v>0</v>
      </c>
      <c r="P44" s="34"/>
      <c r="Q44" s="34"/>
      <c r="R44" s="34"/>
      <c r="S44" s="34"/>
      <c r="T44" s="34"/>
      <c r="U44" s="34"/>
      <c r="V44" s="34"/>
      <c r="W44" s="34"/>
      <c r="X44" s="34"/>
    </row>
    <row r="45" spans="9:25">
      <c r="I45" s="34"/>
      <c r="J45" s="34"/>
      <c r="K45" s="34"/>
      <c r="L45" s="38" t="s">
        <v>1368</v>
      </c>
      <c r="M45" s="40">
        <v>4.29953504579421</v>
      </c>
      <c r="N45" s="40">
        <v>8.74837512184176</v>
      </c>
      <c r="O45" s="41">
        <f t="shared" si="0"/>
        <v>-4.44884007604755</v>
      </c>
      <c r="P45" s="34"/>
      <c r="Q45" s="34"/>
      <c r="R45" s="34"/>
      <c r="S45" s="34"/>
      <c r="T45" s="34"/>
      <c r="U45" s="34"/>
      <c r="V45" s="34"/>
      <c r="W45" s="34"/>
      <c r="X45" s="34"/>
    </row>
    <row r="46" spans="9:25">
      <c r="I46" s="34"/>
      <c r="J46" s="34"/>
      <c r="K46" s="34"/>
      <c r="L46" s="38" t="s">
        <v>1369</v>
      </c>
      <c r="M46" s="40">
        <v>0.752591660338878</v>
      </c>
      <c r="N46" s="40">
        <v>5.98558865896319</v>
      </c>
      <c r="O46" s="41">
        <f t="shared" si="0"/>
        <v>-5.23299699862432</v>
      </c>
      <c r="P46" s="34"/>
      <c r="Q46" s="34"/>
      <c r="R46" s="34"/>
      <c r="S46" s="34"/>
      <c r="T46" s="34"/>
      <c r="U46" s="34"/>
      <c r="V46" s="34"/>
      <c r="W46" s="34"/>
      <c r="X46" s="34"/>
    </row>
    <row r="47" spans="9:25">
      <c r="I47" s="34"/>
      <c r="J47" s="34"/>
      <c r="K47" s="34"/>
      <c r="L47" s="34"/>
      <c r="M47" s="34"/>
      <c r="N47" s="34"/>
      <c r="O47" s="34"/>
      <c r="P47" s="34"/>
      <c r="Q47" s="34"/>
      <c r="R47" s="34"/>
      <c r="S47" s="34"/>
      <c r="T47" s="34"/>
      <c r="U47" s="34"/>
      <c r="V47" s="34"/>
      <c r="W47" s="34"/>
      <c r="X47" s="34"/>
    </row>
    <row r="48" spans="9:25">
      <c r="I48" s="34"/>
      <c r="J48" s="34"/>
      <c r="K48" s="34"/>
      <c r="L48" s="34"/>
      <c r="M48" s="34"/>
      <c r="N48" s="34"/>
      <c r="O48" s="34"/>
      <c r="P48" s="34"/>
      <c r="Q48" s="34"/>
      <c r="R48" s="34"/>
      <c r="S48" s="34"/>
      <c r="T48" s="34"/>
      <c r="U48" s="34"/>
      <c r="V48" s="34"/>
      <c r="W48" s="34"/>
      <c r="X48" s="34"/>
    </row>
    <row r="49" spans="9:24">
      <c r="I49" s="34"/>
      <c r="J49" s="34"/>
      <c r="K49" s="34"/>
      <c r="L49" s="34"/>
      <c r="M49" s="34"/>
      <c r="N49" s="34"/>
      <c r="O49" s="34"/>
      <c r="P49" s="38"/>
      <c r="Q49" s="34"/>
      <c r="R49" s="34"/>
      <c r="S49" s="34"/>
      <c r="T49" s="34"/>
      <c r="U49" s="34"/>
      <c r="V49" s="34"/>
      <c r="W49" s="34"/>
      <c r="X49" s="34"/>
    </row>
    <row r="50" spans="9:24">
      <c r="I50" s="34"/>
      <c r="J50" s="34"/>
      <c r="K50" s="34"/>
      <c r="L50" s="34"/>
      <c r="M50" s="34"/>
      <c r="N50" s="34"/>
      <c r="O50" s="34"/>
      <c r="P50" s="34"/>
      <c r="Q50" s="34"/>
      <c r="R50" s="34"/>
      <c r="S50" s="34"/>
      <c r="T50" s="34"/>
      <c r="U50" s="34"/>
      <c r="V50" s="34"/>
      <c r="W50" s="34"/>
      <c r="X50" s="34"/>
    </row>
    <row r="51" spans="9:24">
      <c r="I51" s="34"/>
      <c r="J51" s="34"/>
      <c r="K51" s="34"/>
      <c r="L51" s="34"/>
      <c r="M51" s="34"/>
      <c r="N51" s="34"/>
      <c r="O51" s="34"/>
      <c r="P51" s="34"/>
      <c r="Q51" s="34"/>
      <c r="R51" s="34"/>
      <c r="S51" s="34"/>
      <c r="T51" s="34"/>
      <c r="U51" s="34"/>
      <c r="V51" s="34"/>
      <c r="W51" s="34"/>
      <c r="X51" s="34"/>
    </row>
    <row r="52" spans="9:24">
      <c r="I52" s="34"/>
      <c r="J52" s="34"/>
      <c r="K52" s="34"/>
      <c r="L52" s="34"/>
      <c r="M52" s="34"/>
      <c r="N52" s="34"/>
      <c r="O52" s="34"/>
      <c r="P52" s="34"/>
      <c r="Q52" s="34"/>
      <c r="R52" s="34"/>
      <c r="S52" s="34"/>
      <c r="T52" s="34"/>
      <c r="U52" s="34"/>
      <c r="V52" s="34"/>
      <c r="W52" s="34"/>
      <c r="X52" s="34"/>
    </row>
    <row r="53" spans="9:24">
      <c r="I53" s="34"/>
      <c r="J53" s="34"/>
      <c r="K53" s="34"/>
      <c r="L53" s="34"/>
      <c r="M53" s="34"/>
      <c r="N53" s="34"/>
      <c r="O53" s="34"/>
      <c r="P53" s="34"/>
      <c r="Q53" s="34"/>
      <c r="R53" s="34"/>
      <c r="S53" s="34"/>
      <c r="T53" s="34"/>
      <c r="U53" s="34"/>
      <c r="V53" s="34"/>
      <c r="W53" s="34"/>
      <c r="X53" s="34"/>
    </row>
    <row r="54" spans="9:24">
      <c r="I54" s="34"/>
      <c r="J54" s="34"/>
      <c r="K54" s="34"/>
      <c r="L54" s="34"/>
      <c r="M54" s="34"/>
      <c r="N54" s="34"/>
      <c r="O54" s="34"/>
      <c r="P54" s="34"/>
      <c r="Q54" s="34"/>
      <c r="R54" s="34"/>
      <c r="S54" s="34"/>
      <c r="T54" s="34"/>
      <c r="U54" s="34"/>
      <c r="V54" s="34"/>
      <c r="W54" s="34"/>
      <c r="X54" s="34"/>
    </row>
    <row r="55" spans="9:24">
      <c r="I55" s="34"/>
      <c r="J55" s="34"/>
      <c r="K55" s="34"/>
      <c r="L55" s="34"/>
      <c r="M55" s="34"/>
      <c r="N55" s="34"/>
      <c r="O55" s="34"/>
      <c r="P55" s="34"/>
      <c r="Q55" s="34"/>
      <c r="R55" s="34"/>
      <c r="S55" s="34"/>
      <c r="T55" s="34"/>
      <c r="U55" s="34"/>
      <c r="V55" s="34"/>
      <c r="W55" s="34"/>
      <c r="X55" s="34"/>
    </row>
    <row r="56" spans="9:24">
      <c r="I56" s="34"/>
      <c r="J56" s="34"/>
      <c r="K56" s="34"/>
      <c r="L56" s="34"/>
      <c r="M56" s="34"/>
      <c r="N56" s="34"/>
      <c r="O56" s="34"/>
      <c r="P56" s="34"/>
      <c r="Q56" s="34"/>
      <c r="R56" s="34"/>
      <c r="S56" s="34"/>
      <c r="T56" s="34"/>
      <c r="U56" s="34"/>
      <c r="V56" s="34"/>
      <c r="W56" s="34"/>
      <c r="X56" s="34"/>
    </row>
    <row r="57" spans="9:24">
      <c r="I57" s="34"/>
      <c r="J57" s="34"/>
      <c r="K57" s="34"/>
      <c r="L57" s="34"/>
      <c r="M57" s="34"/>
      <c r="N57" s="34"/>
      <c r="O57" s="34"/>
      <c r="P57" s="34"/>
      <c r="Q57" s="34"/>
      <c r="R57" s="34"/>
      <c r="S57" s="34"/>
      <c r="T57" s="34"/>
      <c r="U57" s="34"/>
      <c r="V57" s="34"/>
      <c r="W57" s="34"/>
      <c r="X57" s="34"/>
    </row>
    <row r="58" spans="9:24">
      <c r="I58" s="34"/>
      <c r="J58" s="34"/>
      <c r="K58" s="34"/>
      <c r="L58" s="34"/>
      <c r="M58" s="34"/>
      <c r="N58" s="34"/>
      <c r="O58" s="34"/>
      <c r="P58" s="34"/>
      <c r="Q58" s="34"/>
      <c r="R58" s="34"/>
      <c r="S58" s="34"/>
      <c r="T58" s="34"/>
      <c r="U58" s="34"/>
      <c r="V58" s="34"/>
      <c r="W58" s="34"/>
      <c r="X58" s="34"/>
    </row>
    <row r="59" spans="9:24">
      <c r="I59" s="34"/>
      <c r="J59" s="34"/>
      <c r="K59" s="34"/>
      <c r="L59" s="34"/>
      <c r="M59" s="34"/>
      <c r="N59" s="34"/>
      <c r="O59" s="34"/>
      <c r="P59" s="34"/>
      <c r="Q59" s="34"/>
      <c r="R59" s="34"/>
      <c r="S59" s="34"/>
      <c r="T59" s="34"/>
      <c r="U59" s="34"/>
      <c r="V59" s="34"/>
      <c r="W59" s="34"/>
      <c r="X59" s="34"/>
    </row>
    <row r="60" spans="9:24">
      <c r="I60" s="34"/>
      <c r="J60" s="34"/>
      <c r="K60" s="34"/>
      <c r="L60" s="34"/>
      <c r="M60" s="34"/>
      <c r="N60" s="34"/>
      <c r="O60" s="34"/>
      <c r="P60" s="34"/>
      <c r="Q60" s="34"/>
      <c r="R60" s="34"/>
      <c r="S60" s="34"/>
      <c r="T60" s="34"/>
      <c r="U60" s="34"/>
      <c r="V60" s="34"/>
      <c r="W60" s="34"/>
      <c r="X60" s="34"/>
    </row>
    <row r="61" spans="9:24">
      <c r="I61" s="34"/>
      <c r="J61" s="34"/>
      <c r="K61" s="34"/>
      <c r="L61" s="34"/>
      <c r="M61" s="34"/>
      <c r="N61" s="34"/>
      <c r="O61" s="34"/>
      <c r="P61" s="34"/>
      <c r="Q61" s="34"/>
      <c r="R61" s="34"/>
      <c r="S61" s="34"/>
      <c r="T61" s="34"/>
      <c r="U61" s="34"/>
      <c r="V61" s="34"/>
      <c r="W61" s="34"/>
      <c r="X61" s="34"/>
    </row>
    <row r="62" spans="9:24">
      <c r="I62" s="34"/>
      <c r="J62" s="34"/>
      <c r="K62" s="34"/>
      <c r="L62" s="34"/>
      <c r="M62" s="34"/>
      <c r="N62" s="34"/>
      <c r="O62" s="34"/>
      <c r="P62" s="34"/>
      <c r="Q62" s="34"/>
      <c r="R62" s="34"/>
      <c r="S62" s="34"/>
      <c r="T62" s="34"/>
      <c r="U62" s="34"/>
      <c r="V62" s="34"/>
      <c r="W62" s="34"/>
      <c r="X62" s="34"/>
    </row>
    <row r="63" spans="9:24">
      <c r="I63" s="34"/>
      <c r="J63" s="34"/>
      <c r="K63" s="34"/>
      <c r="L63" s="34"/>
      <c r="M63" s="34"/>
      <c r="N63" s="34"/>
      <c r="O63" s="34"/>
      <c r="P63" s="34"/>
      <c r="Q63" s="34"/>
      <c r="R63" s="34"/>
      <c r="S63" s="34"/>
      <c r="T63" s="34"/>
      <c r="U63" s="34"/>
      <c r="V63" s="34"/>
      <c r="W63" s="34"/>
      <c r="X63" s="34"/>
    </row>
    <row r="64" spans="9:24">
      <c r="I64" s="34"/>
      <c r="J64" s="34"/>
      <c r="K64" s="34"/>
      <c r="L64" s="34"/>
      <c r="M64" s="34"/>
      <c r="N64" s="34"/>
      <c r="O64" s="34"/>
      <c r="P64" s="34"/>
      <c r="Q64" s="34"/>
      <c r="R64" s="34"/>
      <c r="S64" s="34"/>
      <c r="T64" s="34"/>
      <c r="U64" s="34"/>
      <c r="V64" s="34"/>
      <c r="W64" s="34"/>
      <c r="X64" s="34"/>
    </row>
    <row r="65" spans="9:24">
      <c r="I65" s="34"/>
      <c r="J65" s="34"/>
      <c r="K65" s="34"/>
      <c r="L65" s="34"/>
      <c r="M65" s="34"/>
      <c r="N65" s="34"/>
      <c r="O65" s="34"/>
      <c r="P65" s="34"/>
      <c r="Q65" s="34"/>
      <c r="R65" s="34"/>
      <c r="S65" s="34"/>
      <c r="T65" s="34"/>
      <c r="U65" s="34"/>
      <c r="V65" s="34"/>
      <c r="W65" s="34"/>
      <c r="X65" s="34"/>
    </row>
    <row r="66" spans="9:24">
      <c r="I66" s="34"/>
      <c r="J66" s="34"/>
      <c r="K66" s="34"/>
      <c r="L66" s="34"/>
      <c r="M66" s="34"/>
      <c r="N66" s="34"/>
      <c r="O66" s="34"/>
      <c r="P66" s="34"/>
      <c r="Q66" s="34"/>
      <c r="R66" s="34"/>
      <c r="S66" s="34"/>
      <c r="T66" s="34"/>
      <c r="U66" s="34"/>
      <c r="V66" s="34"/>
      <c r="W66" s="34"/>
      <c r="X66" s="34"/>
    </row>
    <row r="67" spans="9:24">
      <c r="I67" s="34"/>
      <c r="J67" s="34"/>
      <c r="K67" s="34"/>
      <c r="L67" s="34"/>
      <c r="M67" s="34"/>
      <c r="N67" s="34"/>
      <c r="O67" s="34"/>
      <c r="P67" s="34"/>
      <c r="Q67" s="34"/>
      <c r="R67" s="34"/>
      <c r="S67" s="34"/>
      <c r="T67" s="34"/>
      <c r="U67" s="34"/>
      <c r="V67" s="34"/>
      <c r="W67" s="34"/>
      <c r="X67" s="34"/>
    </row>
    <row r="68" spans="9:24">
      <c r="I68" s="34"/>
      <c r="J68" s="34"/>
      <c r="K68" s="34"/>
      <c r="L68" s="34"/>
      <c r="M68" s="34"/>
      <c r="N68" s="34"/>
      <c r="O68" s="34"/>
      <c r="P68" s="34"/>
      <c r="Q68" s="34"/>
    </row>
    <row r="69" spans="9:24">
      <c r="I69" s="34"/>
      <c r="J69" s="34"/>
      <c r="K69" s="34"/>
      <c r="L69" s="34"/>
      <c r="M69" s="34"/>
      <c r="N69" s="34"/>
      <c r="O69" s="34"/>
      <c r="P69" s="34"/>
      <c r="Q69" s="34"/>
    </row>
    <row r="70" spans="9:24">
      <c r="I70" s="34"/>
      <c r="J70" s="34"/>
      <c r="K70" s="34"/>
      <c r="L70" s="34"/>
      <c r="M70" s="34"/>
      <c r="N70" s="34"/>
      <c r="O70" s="34"/>
      <c r="P70" s="34"/>
      <c r="Q70" s="34"/>
    </row>
    <row r="71" spans="9:24">
      <c r="I71" s="34"/>
      <c r="J71" s="34"/>
      <c r="K71" s="34"/>
      <c r="L71" s="34"/>
      <c r="M71" s="34"/>
      <c r="N71" s="34"/>
      <c r="O71" s="34"/>
      <c r="P71" s="34"/>
      <c r="Q71" s="34"/>
    </row>
    <row r="72" spans="9:24">
      <c r="I72" s="34"/>
      <c r="J72" s="34"/>
      <c r="K72" s="34"/>
      <c r="L72" s="34"/>
      <c r="M72" s="34"/>
      <c r="N72" s="34"/>
      <c r="O72" s="34"/>
      <c r="P72" s="34"/>
      <c r="Q72" s="34"/>
    </row>
    <row r="73" spans="9:24">
      <c r="I73" s="34"/>
      <c r="J73" s="34"/>
      <c r="K73" s="34"/>
      <c r="L73" s="34"/>
      <c r="M73" s="34"/>
      <c r="N73" s="34"/>
      <c r="O73" s="34"/>
      <c r="P73" s="34"/>
      <c r="Q73" s="34"/>
    </row>
    <row r="74" spans="9:24">
      <c r="I74" s="34"/>
      <c r="J74" s="34"/>
      <c r="K74" s="34"/>
      <c r="L74" s="34"/>
      <c r="M74" s="34"/>
      <c r="N74" s="34"/>
      <c r="O74" s="34"/>
      <c r="P74" s="34"/>
      <c r="Q74" s="34"/>
    </row>
    <row r="75" spans="9:24">
      <c r="I75" s="34"/>
      <c r="J75" s="34"/>
      <c r="K75" s="34"/>
      <c r="L75" s="34"/>
      <c r="M75" s="34"/>
      <c r="N75" s="34"/>
      <c r="O75" s="34"/>
      <c r="P75" s="34"/>
      <c r="Q75" s="34"/>
    </row>
    <row r="76" spans="9:24">
      <c r="I76" s="34"/>
      <c r="J76" s="34"/>
      <c r="K76" s="34"/>
      <c r="L76" s="34"/>
      <c r="M76" s="34"/>
      <c r="N76" s="34"/>
      <c r="O76" s="34"/>
      <c r="P76" s="34"/>
      <c r="Q76" s="34"/>
    </row>
    <row r="77" spans="9:24">
      <c r="I77" s="34"/>
      <c r="J77" s="34"/>
      <c r="K77" s="34"/>
      <c r="L77" s="34"/>
      <c r="M77" s="34"/>
      <c r="N77" s="34"/>
      <c r="O77" s="34"/>
      <c r="P77" s="34"/>
      <c r="Q77" s="34"/>
    </row>
    <row r="78" spans="9:24">
      <c r="I78" s="34"/>
      <c r="J78" s="34"/>
      <c r="K78" s="34"/>
      <c r="L78" s="34"/>
      <c r="M78" s="34"/>
      <c r="N78" s="34"/>
      <c r="O78" s="34"/>
      <c r="P78" s="34"/>
      <c r="Q78" s="34"/>
    </row>
    <row r="79" spans="9:24">
      <c r="I79" s="34"/>
      <c r="J79" s="34"/>
      <c r="K79" s="34"/>
      <c r="L79" s="34"/>
      <c r="M79" s="34"/>
      <c r="N79" s="34"/>
      <c r="O79" s="34"/>
      <c r="P79" s="34"/>
      <c r="Q79" s="34"/>
    </row>
    <row r="80" spans="9:24">
      <c r="I80" s="34"/>
      <c r="J80" s="34"/>
      <c r="K80" s="34"/>
      <c r="L80" s="34"/>
      <c r="M80" s="34"/>
      <c r="N80" s="34"/>
      <c r="O80" s="34"/>
      <c r="P80" s="34"/>
      <c r="Q80" s="34"/>
    </row>
    <row r="81" spans="9:17">
      <c r="I81" s="34"/>
      <c r="J81" s="34"/>
      <c r="K81" s="34"/>
      <c r="L81" s="34"/>
      <c r="M81" s="34"/>
      <c r="N81" s="34"/>
      <c r="O81" s="34"/>
      <c r="P81" s="34"/>
      <c r="Q81" s="34"/>
    </row>
    <row r="82" spans="9:17">
      <c r="I82" s="34"/>
      <c r="J82" s="34"/>
      <c r="K82" s="34"/>
      <c r="L82" s="34"/>
      <c r="M82" s="34"/>
      <c r="N82" s="34"/>
      <c r="O82" s="34"/>
      <c r="P82" s="34"/>
      <c r="Q82" s="34"/>
    </row>
    <row r="83" spans="9:17">
      <c r="I83" s="34"/>
      <c r="J83" s="34"/>
      <c r="K83" s="34"/>
      <c r="L83" s="34"/>
      <c r="M83" s="34"/>
      <c r="N83" s="34"/>
      <c r="O83" s="34"/>
      <c r="P83" s="34"/>
      <c r="Q83" s="34"/>
    </row>
    <row r="84" spans="9:17">
      <c r="I84" s="34"/>
      <c r="J84" s="34"/>
      <c r="K84" s="34"/>
      <c r="L84" s="34"/>
      <c r="M84" s="34"/>
      <c r="N84" s="34"/>
      <c r="O84" s="34"/>
      <c r="P84" s="34"/>
      <c r="Q84" s="34"/>
    </row>
  </sheetData>
  <mergeCells count="1">
    <mergeCell ref="L29:N2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124"/>
  <sheetViews>
    <sheetView showGridLines="0" topLeftCell="I1" workbookViewId="0">
      <selection activeCell="A6" sqref="$A6:$XFD6"/>
    </sheetView>
  </sheetViews>
  <sheetFormatPr defaultColWidth="8.85185185185185" defaultRowHeight="13.8"/>
  <cols>
    <col min="1" max="1" width="8.85185185185185" style="2"/>
    <col min="2" max="2" width="35.712962962963" style="2" customWidth="1"/>
    <col min="3" max="3" width="19.4259259259259" style="27" customWidth="1"/>
    <col min="4" max="4" width="29.1388888888889" style="27" customWidth="1"/>
    <col min="5" max="5" width="28.287037037037" style="27" customWidth="1"/>
    <col min="6" max="7" width="31.8518518518519" style="27" customWidth="1"/>
    <col min="8" max="12" width="47.712962962963" style="27" customWidth="1"/>
    <col min="13" max="16384" width="8.85185185185185" style="2"/>
  </cols>
  <sheetData>
    <row r="2" customFormat="1" ht="35.1" customHeight="1" spans="2:12">
      <c r="B2" s="4" t="s">
        <v>1327</v>
      </c>
      <c r="C2" s="4"/>
      <c r="D2" s="4"/>
      <c r="E2" s="28"/>
      <c r="F2" s="28"/>
      <c r="G2" s="28"/>
      <c r="H2" s="28"/>
      <c r="I2" s="28"/>
      <c r="J2" s="28"/>
      <c r="K2" s="28"/>
      <c r="L2" s="28"/>
    </row>
    <row r="3" customFormat="1" ht="29.1" customHeight="1" spans="2:12">
      <c r="B3" s="6" t="s">
        <v>46</v>
      </c>
      <c r="C3" s="8" t="s">
        <v>1328</v>
      </c>
      <c r="D3" s="8" t="s">
        <v>1329</v>
      </c>
      <c r="E3" s="8" t="s">
        <v>1330</v>
      </c>
      <c r="F3" s="8" t="s">
        <v>1331</v>
      </c>
      <c r="G3" s="8" t="s">
        <v>1332</v>
      </c>
      <c r="H3" s="8" t="s">
        <v>1370</v>
      </c>
      <c r="I3" s="8" t="s">
        <v>1371</v>
      </c>
      <c r="J3" s="8" t="s">
        <v>1372</v>
      </c>
      <c r="K3" s="8" t="s">
        <v>1373</v>
      </c>
      <c r="L3" s="8" t="s">
        <v>1374</v>
      </c>
    </row>
    <row r="4" spans="2:12">
      <c r="B4" s="13" t="s">
        <v>133</v>
      </c>
      <c r="C4" s="29">
        <f>_xlfn.MAXIFS('Fractional-Calorimetry-Data'!$BE$4:$BE$368,'Fractional-Calorimetry-Data'!$B$4:$B$368,'V&amp;V-Violence-Global'!$B4,'Fractional-Calorimetry-Data'!$J$4:$J$368,100)</f>
        <v>1.53511785357194</v>
      </c>
      <c r="D4" s="27">
        <f>_xlfn.MAXIFS('Fractional-Calorimetry-Data'!$U$4:$U$368,'Fractional-Calorimetry-Data'!$B$4:$B$368,'V&amp;V-Violence-Global'!$B4,'Fractional-Calorimetry-Data'!$J$4:$J$368,100)</f>
        <v>65.6539203615649</v>
      </c>
      <c r="E4" s="27">
        <f>_xlfn.MAXIFS('Fractional-Calorimetry-Data'!$BI$4:$BI$368,'Fractional-Calorimetry-Data'!$B$4:$B$368,'V&amp;V-Violence-Global'!$B4,'Fractional-Calorimetry-Data'!$J$4:$J$368,100)</f>
        <v>42169.0260834377</v>
      </c>
      <c r="F4" s="27">
        <f>_xlfn.MAXIFS('Fractional-Calorimetry-Data'!$BM$4:$BM$368,'Fractional-Calorimetry-Data'!$B$4:$B$368,'V&amp;V-Violence-Global'!$B4,'Fractional-Calorimetry-Data'!$J$4:$J$368,100)</f>
        <v>978.379337715803</v>
      </c>
      <c r="G4" s="27">
        <f>_xlfn.MAXIFS('Fractional-Calorimetry-Data'!$AU$4:$AU$368,'Fractional-Calorimetry-Data'!$B$4:$B$368,'V&amp;V-Violence-Global'!$B4,'Fractional-Calorimetry-Data'!$J$4:$J$368,100)</f>
        <v>79.8162235946265</v>
      </c>
      <c r="H4" s="27">
        <v>0</v>
      </c>
      <c r="I4" s="27">
        <v>0</v>
      </c>
      <c r="J4" s="27">
        <v>0</v>
      </c>
      <c r="K4" s="27">
        <v>0</v>
      </c>
      <c r="L4" s="27">
        <v>0</v>
      </c>
    </row>
    <row r="5" spans="2:12">
      <c r="B5" s="13" t="s">
        <v>136</v>
      </c>
      <c r="C5" s="29">
        <f>_xlfn.MAXIFS('Fractional-Calorimetry-Data'!$BE$4:$BE$368,'Fractional-Calorimetry-Data'!$B$4:$B$368,'V&amp;V-Violence-Global'!$B5,'Fractional-Calorimetry-Data'!$J$4:$J$368,100)</f>
        <v>1.63379424835441</v>
      </c>
      <c r="D5" s="27">
        <f>_xlfn.MAXIFS('Fractional-Calorimetry-Data'!$U$4:$U$368,'Fractional-Calorimetry-Data'!$B$4:$B$368,'V&amp;V-Violence-Global'!$B5,'Fractional-Calorimetry-Data'!$J$4:$J$368,100)</f>
        <v>105.869867293366</v>
      </c>
      <c r="E5" s="27">
        <f>_xlfn.MAXIFS('Fractional-Calorimetry-Data'!$BI$4:$BI$368,'Fractional-Calorimetry-Data'!$B$4:$B$368,'V&amp;V-Violence-Global'!$B5,'Fractional-Calorimetry-Data'!$J$4:$J$368,100)</f>
        <v>73931.7330413508</v>
      </c>
      <c r="F5" s="27">
        <f>_xlfn.MAXIFS('Fractional-Calorimetry-Data'!$BM$4:$BM$368,'Fractional-Calorimetry-Data'!$B$4:$B$368,'V&amp;V-Violence-Global'!$B5,'Fractional-Calorimetry-Data'!$J$4:$J$368,100)</f>
        <v>1207.60088684716</v>
      </c>
      <c r="G5" s="27">
        <f>_xlfn.MAXIFS('Fractional-Calorimetry-Data'!$AU$4:$AU$368,'Fractional-Calorimetry-Data'!$B$4:$B$368,'V&amp;V-Violence-Global'!$B5,'Fractional-Calorimetry-Data'!$J$4:$J$368,100)</f>
        <v>59.4738109061044</v>
      </c>
      <c r="H5" s="27">
        <v>0</v>
      </c>
      <c r="I5" s="27">
        <v>0</v>
      </c>
      <c r="J5" s="27">
        <v>0</v>
      </c>
      <c r="K5" s="27">
        <v>0</v>
      </c>
      <c r="L5" s="27">
        <v>0</v>
      </c>
    </row>
    <row r="6" spans="2:12">
      <c r="B6" s="14" t="s">
        <v>139</v>
      </c>
      <c r="C6" s="29">
        <f>_xlfn.MAXIFS('Fractional-Calorimetry-Data'!$BE$4:$BE$368,'Fractional-Calorimetry-Data'!$B$4:$B$368,'V&amp;V-Violence-Global'!$B6,'Fractional-Calorimetry-Data'!$J$4:$J$368,100)</f>
        <v>1.68750615917205</v>
      </c>
      <c r="D6" s="27">
        <f>_xlfn.MAXIFS('Fractional-Calorimetry-Data'!$U$4:$U$368,'Fractional-Calorimetry-Data'!$B$4:$B$368,'V&amp;V-Violence-Global'!$B6,'Fractional-Calorimetry-Data'!$J$4:$J$368,100)</f>
        <v>75.8600168789276</v>
      </c>
      <c r="E6" s="27">
        <f>_xlfn.MAXIFS('Fractional-Calorimetry-Data'!$BI$4:$BI$368,'Fractional-Calorimetry-Data'!$B$4:$B$368,'V&amp;V-Violence-Global'!$B6,'Fractional-Calorimetry-Data'!$J$4:$J$368,100)</f>
        <v>100636.729504521</v>
      </c>
      <c r="F6" s="27">
        <f>_xlfn.MAXIFS('Fractional-Calorimetry-Data'!$BM$4:$BM$368,'Fractional-Calorimetry-Data'!$B$4:$B$368,'V&amp;V-Violence-Global'!$B6,'Fractional-Calorimetry-Data'!$J$4:$J$368,100)</f>
        <v>2406.14968880952</v>
      </c>
      <c r="G6" s="27">
        <f>_xlfn.MAXIFS('Fractional-Calorimetry-Data'!$AU$4:$AU$368,'Fractional-Calorimetry-Data'!$B$4:$B$368,'V&amp;V-Violence-Global'!$B6,'Fractional-Calorimetry-Data'!$J$4:$J$368,100)</f>
        <v>79.5789473684211</v>
      </c>
      <c r="H6" s="27">
        <v>0</v>
      </c>
      <c r="I6" s="27">
        <v>0</v>
      </c>
      <c r="J6" s="27">
        <v>0</v>
      </c>
      <c r="K6" s="27">
        <v>0</v>
      </c>
      <c r="L6" s="27">
        <v>0</v>
      </c>
    </row>
    <row r="7" spans="2:12">
      <c r="B7" s="14" t="s">
        <v>32</v>
      </c>
      <c r="C7" s="29">
        <f>_xlfn.MAXIFS('Fractional-Calorimetry-Data'!$BE$4:$BE$368,'Fractional-Calorimetry-Data'!$B$4:$B$368,'V&amp;V-Violence-Global'!$B7,'Fractional-Calorimetry-Data'!$J$4:$J$368,100)</f>
        <v>1.9018126367001</v>
      </c>
      <c r="D7" s="27">
        <f>_xlfn.MAXIFS('Fractional-Calorimetry-Data'!$U$4:$U$368,'Fractional-Calorimetry-Data'!$B$4:$B$368,'V&amp;V-Violence-Global'!$B7,'Fractional-Calorimetry-Data'!$J$4:$J$368,100)</f>
        <v>85.4939331252053</v>
      </c>
      <c r="E7" s="27">
        <f>_xlfn.MAXIFS('Fractional-Calorimetry-Data'!$BI$4:$BI$368,'Fractional-Calorimetry-Data'!$B$4:$B$368,'V&amp;V-Violence-Global'!$B7,'Fractional-Calorimetry-Data'!$J$4:$J$368,100)</f>
        <v>55974.5618331451</v>
      </c>
      <c r="F7" s="27">
        <f>_xlfn.MAXIFS('Fractional-Calorimetry-Data'!$BM$4:$BM$368,'Fractional-Calorimetry-Data'!$B$4:$B$368,'V&amp;V-Violence-Global'!$B7,'Fractional-Calorimetry-Data'!$J$4:$J$368,100)</f>
        <v>1338.31032863624</v>
      </c>
      <c r="G7" s="27">
        <f>_xlfn.MAXIFS('Fractional-Calorimetry-Data'!$AU$4:$AU$368,'Fractional-Calorimetry-Data'!$B$4:$B$368,'V&amp;V-Violence-Global'!$B7,'Fractional-Calorimetry-Data'!$J$4:$J$368,100)</f>
        <v>67.3125</v>
      </c>
      <c r="H7" s="27">
        <v>0</v>
      </c>
      <c r="I7" s="27">
        <v>0</v>
      </c>
      <c r="J7" s="27">
        <v>0</v>
      </c>
      <c r="K7" s="27">
        <v>0</v>
      </c>
      <c r="L7" s="27">
        <v>0</v>
      </c>
    </row>
    <row r="8" spans="2:12">
      <c r="B8" s="14" t="s">
        <v>34</v>
      </c>
      <c r="C8" s="29">
        <f>_xlfn.MAXIFS('Fractional-Calorimetry-Data'!$BE$4:$BE$368,'Fractional-Calorimetry-Data'!$B$4:$B$368,'V&amp;V-Violence-Global'!$B8,'Fractional-Calorimetry-Data'!$J$4:$J$368,100)</f>
        <v>2.05124955306839</v>
      </c>
      <c r="D8" s="27">
        <f>_xlfn.MAXIFS('Fractional-Calorimetry-Data'!$U$4:$U$368,'Fractional-Calorimetry-Data'!$B$4:$B$368,'V&amp;V-Violence-Global'!$B8,'Fractional-Calorimetry-Data'!$J$4:$J$368,100)</f>
        <v>92.2117083086723</v>
      </c>
      <c r="E8" s="27">
        <f>_xlfn.MAXIFS('Fractional-Calorimetry-Data'!$BI$4:$BI$368,'Fractional-Calorimetry-Data'!$B$4:$B$368,'V&amp;V-Violence-Global'!$B8,'Fractional-Calorimetry-Data'!$J$4:$J$368,100)</f>
        <v>125870.721610917</v>
      </c>
      <c r="F8" s="27">
        <f>_xlfn.MAXIFS('Fractional-Calorimetry-Data'!$BM$4:$BM$368,'Fractional-Calorimetry-Data'!$B$4:$B$368,'V&amp;V-Violence-Global'!$B8,'Fractional-Calorimetry-Data'!$J$4:$J$368,100)</f>
        <v>3009.47575627182</v>
      </c>
      <c r="G8" s="27">
        <f>_xlfn.MAXIFS('Fractional-Calorimetry-Data'!$AU$4:$AU$368,'Fractional-Calorimetry-Data'!$B$4:$B$368,'V&amp;V-Violence-Global'!$B8,'Fractional-Calorimetry-Data'!$J$4:$J$368,100)</f>
        <v>68.8517745302714</v>
      </c>
      <c r="H8" s="27">
        <v>0</v>
      </c>
      <c r="I8" s="27">
        <v>0</v>
      </c>
      <c r="J8" s="27">
        <v>0</v>
      </c>
      <c r="K8" s="27">
        <v>0</v>
      </c>
      <c r="L8" s="27">
        <v>0</v>
      </c>
    </row>
    <row r="9" spans="2:12">
      <c r="B9" s="14" t="s">
        <v>28</v>
      </c>
      <c r="C9" s="29">
        <f>_xlfn.MAXIFS('Fractional-Calorimetry-Data'!$BE$4:$BE$368,'Fractional-Calorimetry-Data'!$B$4:$B$368,'V&amp;V-Violence-Global'!$B9,'Fractional-Calorimetry-Data'!$J$4:$J$368,100)</f>
        <v>1.49169807817758</v>
      </c>
      <c r="D9" s="27">
        <f>_xlfn.MAXIFS('Fractional-Calorimetry-Data'!$U$4:$U$368,'Fractional-Calorimetry-Data'!$B$4:$B$368,'V&amp;V-Violence-Global'!$B9,'Fractional-Calorimetry-Data'!$J$4:$J$368,100)</f>
        <v>67.0576760705487</v>
      </c>
      <c r="E9" s="27">
        <f>_xlfn.MAXIFS('Fractional-Calorimetry-Data'!$BI$4:$BI$368,'Fractional-Calorimetry-Data'!$B$4:$B$368,'V&amp;V-Violence-Global'!$B9,'Fractional-Calorimetry-Data'!$J$4:$J$368,100)</f>
        <v>50207.903616763</v>
      </c>
      <c r="F9" s="27">
        <f>_xlfn.MAXIFS('Fractional-Calorimetry-Data'!$BM$4:$BM$368,'Fractional-Calorimetry-Data'!$B$4:$B$368,'V&amp;V-Violence-Global'!$B9,'Fractional-Calorimetry-Data'!$J$4:$J$368,100)</f>
        <v>1200.43380044287</v>
      </c>
      <c r="G9" s="27">
        <f>_xlfn.MAXIFS('Fractional-Calorimetry-Data'!$AU$4:$AU$368,'Fractional-Calorimetry-Data'!$B$4:$B$368,'V&amp;V-Violence-Global'!$B9,'Fractional-Calorimetry-Data'!$J$4:$J$368,100)</f>
        <v>69.2764821992988</v>
      </c>
      <c r="H9" s="27">
        <v>0</v>
      </c>
      <c r="I9" s="27">
        <v>0</v>
      </c>
      <c r="J9" s="27">
        <v>0</v>
      </c>
      <c r="K9" s="27">
        <v>0</v>
      </c>
      <c r="L9" s="27">
        <v>0</v>
      </c>
    </row>
    <row r="10" spans="2:12">
      <c r="B10" s="14" t="s">
        <v>30</v>
      </c>
      <c r="C10" s="29">
        <f>_xlfn.MAXIFS('Fractional-Calorimetry-Data'!$BE$4:$BE$368,'Fractional-Calorimetry-Data'!$B$4:$B$368,'V&amp;V-Violence-Global'!$B10,'Fractional-Calorimetry-Data'!$J$4:$J$368,100)</f>
        <v>1.719806076726</v>
      </c>
      <c r="D10" s="27">
        <f>_xlfn.MAXIFS('Fractional-Calorimetry-Data'!$U$4:$U$368,'Fractional-Calorimetry-Data'!$B$4:$B$368,'V&amp;V-Violence-Global'!$B10,'Fractional-Calorimetry-Data'!$J$4:$J$368,100)</f>
        <v>77.3120247886546</v>
      </c>
      <c r="E10" s="27">
        <f>_xlfn.MAXIFS('Fractional-Calorimetry-Data'!$BI$4:$BI$368,'Fractional-Calorimetry-Data'!$B$4:$B$368,'V&amp;V-Violence-Global'!$B10,'Fractional-Calorimetry-Data'!$J$4:$J$368,100)</f>
        <v>57908.74544006</v>
      </c>
      <c r="F10" s="27">
        <f>_xlfn.MAXIFS('Fractional-Calorimetry-Data'!$BM$4:$BM$368,'Fractional-Calorimetry-Data'!$B$4:$B$368,'V&amp;V-Violence-Global'!$B10,'Fractional-Calorimetry-Data'!$J$4:$J$368,100)</f>
        <v>1384.55522656558</v>
      </c>
      <c r="G10" s="27">
        <f>_xlfn.MAXIFS('Fractional-Calorimetry-Data'!$AU$4:$AU$368,'Fractional-Calorimetry-Data'!$B$4:$B$368,'V&amp;V-Violence-Global'!$B10,'Fractional-Calorimetry-Data'!$J$4:$J$368,100)</f>
        <v>56.421052631579</v>
      </c>
      <c r="H10" s="27">
        <v>0</v>
      </c>
      <c r="I10" s="27">
        <v>0</v>
      </c>
      <c r="J10" s="27">
        <v>0</v>
      </c>
      <c r="K10" s="27">
        <v>0</v>
      </c>
      <c r="L10" s="27">
        <v>0</v>
      </c>
    </row>
    <row r="11" spans="2:12">
      <c r="B11" s="14" t="s">
        <v>140</v>
      </c>
      <c r="C11" s="29">
        <f>_xlfn.MAXIFS('Fractional-Calorimetry-Data'!$BE$4:$BE$368,'Fractional-Calorimetry-Data'!$B$4:$B$368,'V&amp;V-Violence-Global'!$B11,'Fractional-Calorimetry-Data'!$J$4:$J$368,100)</f>
        <v>2.19542562252072</v>
      </c>
      <c r="D11" s="27">
        <f>_xlfn.MAXIFS('Fractional-Calorimetry-Data'!$U$4:$U$368,'Fractional-Calorimetry-Data'!$B$4:$B$368,'V&amp;V-Violence-Global'!$B11,'Fractional-Calorimetry-Data'!$J$4:$J$368,100)</f>
        <v>100.374859461647</v>
      </c>
      <c r="E11" s="27">
        <f>_xlfn.MAXIFS('Fractional-Calorimetry-Data'!$BI$4:$BI$368,'Fractional-Calorimetry-Data'!$B$4:$B$368,'V&amp;V-Violence-Global'!$B11,'Fractional-Calorimetry-Data'!$J$4:$J$368,100)</f>
        <v>325892.476326766</v>
      </c>
      <c r="F11" s="27">
        <f>_xlfn.MAXIFS('Fractional-Calorimetry-Data'!$BM$4:$BM$368,'Fractional-Calorimetry-Data'!$B$4:$B$368,'V&amp;V-Violence-Global'!$B11,'Fractional-Calorimetry-Data'!$J$4:$J$368,100)</f>
        <v>7791.84781102997</v>
      </c>
      <c r="G11" s="27">
        <f>_xlfn.MAXIFS('Fractional-Calorimetry-Data'!$AU$4:$AU$368,'Fractional-Calorimetry-Data'!$B$4:$B$368,'V&amp;V-Violence-Global'!$B11,'Fractional-Calorimetry-Data'!$J$4:$J$368,100)</f>
        <v>83.8297872340426</v>
      </c>
      <c r="H11" s="27">
        <v>0</v>
      </c>
      <c r="I11" s="27">
        <v>0</v>
      </c>
      <c r="J11" s="27">
        <v>0</v>
      </c>
      <c r="K11" s="27">
        <v>0</v>
      </c>
      <c r="L11" s="27">
        <v>0</v>
      </c>
    </row>
    <row r="12" spans="2:12">
      <c r="B12" s="14" t="s">
        <v>144</v>
      </c>
      <c r="C12" s="29">
        <f>_xlfn.MAXIFS('Fractional-Calorimetry-Data'!$BE$4:$BE$368,'Fractional-Calorimetry-Data'!$B$4:$B$368,'V&amp;V-Violence-Global'!$B12,'Fractional-Calorimetry-Data'!$J$4:$J$368,100)</f>
        <v>1.69159087766645</v>
      </c>
      <c r="D12" s="27">
        <f>_xlfn.MAXIFS('Fractional-Calorimetry-Data'!$U$4:$U$368,'Fractional-Calorimetry-Data'!$B$4:$B$368,'V&amp;V-Violence-Global'!$B12,'Fractional-Calorimetry-Data'!$J$4:$J$368,100)</f>
        <v>110.833034304706</v>
      </c>
      <c r="E12" s="27">
        <f>_xlfn.MAXIFS('Fractional-Calorimetry-Data'!$BI$4:$BI$368,'Fractional-Calorimetry-Data'!$B$4:$B$368,'V&amp;V-Violence-Global'!$B12,'Fractional-Calorimetry-Data'!$J$4:$J$368,100)</f>
        <v>253986.5300762</v>
      </c>
      <c r="F12" s="27">
        <f>_xlfn.MAXIFS('Fractional-Calorimetry-Data'!$BM$4:$BM$368,'Fractional-Calorimetry-Data'!$B$4:$B$368,'V&amp;V-Violence-Global'!$B12,'Fractional-Calorimetry-Data'!$J$4:$J$368,100)</f>
        <v>4672.18462679231</v>
      </c>
      <c r="G12" s="27">
        <f>_xlfn.MAXIFS('Fractional-Calorimetry-Data'!$AU$4:$AU$368,'Fractional-Calorimetry-Data'!$B$4:$B$368,'V&amp;V-Violence-Global'!$B12,'Fractional-Calorimetry-Data'!$J$4:$J$368,100)</f>
        <v>78.6588952774652</v>
      </c>
      <c r="H12" s="27">
        <v>0</v>
      </c>
      <c r="I12" s="27">
        <v>0</v>
      </c>
      <c r="J12" s="27">
        <v>0</v>
      </c>
      <c r="K12" s="27">
        <v>0</v>
      </c>
      <c r="L12" s="27">
        <v>0</v>
      </c>
    </row>
    <row r="13" spans="2:12">
      <c r="B13" s="14" t="s">
        <v>145</v>
      </c>
      <c r="C13" s="29">
        <f>_xlfn.MAXIFS('Fractional-Calorimetry-Data'!$BE$4:$BE$368,'Fractional-Calorimetry-Data'!$B$4:$B$368,'V&amp;V-Violence-Global'!$B13,'Fractional-Calorimetry-Data'!$J$4:$J$368,100)</f>
        <v>1.2279643972741</v>
      </c>
      <c r="D13" s="27">
        <f>_xlfn.MAXIFS('Fractional-Calorimetry-Data'!$U$4:$U$368,'Fractional-Calorimetry-Data'!$B$4:$B$368,'V&amp;V-Violence-Global'!$B13,'Fractional-Calorimetry-Data'!$J$4:$J$368,100)</f>
        <v>38.7648712789078</v>
      </c>
      <c r="E13" s="27">
        <f>_xlfn.MAXIFS('Fractional-Calorimetry-Data'!$BI$4:$BI$368,'Fractional-Calorimetry-Data'!$B$4:$B$368,'V&amp;V-Violence-Global'!$B13,'Fractional-Calorimetry-Data'!$J$4:$J$368,100)</f>
        <v>25440.0713749801</v>
      </c>
      <c r="F13" s="27">
        <f>_xlfn.MAXIFS('Fractional-Calorimetry-Data'!$BM$4:$BM$368,'Fractional-Calorimetry-Data'!$B$4:$B$368,'V&amp;V-Violence-Global'!$B13,'Fractional-Calorimetry-Data'!$J$4:$J$368,100)</f>
        <v>608.253270188503</v>
      </c>
      <c r="G13" s="27">
        <f>_xlfn.MAXIFS('Fractional-Calorimetry-Data'!$AU$4:$AU$368,'Fractional-Calorimetry-Data'!$B$4:$B$368,'V&amp;V-Violence-Global'!$B13,'Fractional-Calorimetry-Data'!$J$4:$J$368,100)</f>
        <v>27.9166666666667</v>
      </c>
      <c r="H13" s="27">
        <v>0</v>
      </c>
      <c r="I13" s="27">
        <v>0</v>
      </c>
      <c r="J13" s="27">
        <v>0</v>
      </c>
      <c r="K13" s="27">
        <v>0</v>
      </c>
      <c r="L13" s="27">
        <v>0</v>
      </c>
    </row>
    <row r="14" spans="2:12">
      <c r="B14" s="14" t="s">
        <v>24</v>
      </c>
      <c r="C14" s="29">
        <f>_xlfn.MAXIFS('Fractional-Calorimetry-Data'!$BE$4:$BE$368,'Fractional-Calorimetry-Data'!$B$4:$B$368,'V&amp;V-Violence-Global'!$B14,'Fractional-Calorimetry-Data'!$J$4:$J$368,100)</f>
        <v>1.51769413423245</v>
      </c>
      <c r="D14" s="27">
        <f>_xlfn.MAXIFS('Fractional-Calorimetry-Data'!$U$4:$U$368,'Fractional-Calorimetry-Data'!$B$4:$B$368,'V&amp;V-Violence-Global'!$B14,'Fractional-Calorimetry-Data'!$J$4:$J$368,100)</f>
        <v>47.9111755071037</v>
      </c>
      <c r="E14" s="27">
        <f>_xlfn.MAXIFS('Fractional-Calorimetry-Data'!$BI$4:$BI$368,'Fractional-Calorimetry-Data'!$B$4:$B$368,'V&amp;V-Violence-Global'!$B14,'Fractional-Calorimetry-Data'!$J$4:$J$368,100)</f>
        <v>18170.1972193502</v>
      </c>
      <c r="F14" s="27">
        <f>_xlfn.MAXIFS('Fractional-Calorimetry-Data'!$BM$4:$BM$368,'Fractional-Calorimetry-Data'!$B$4:$B$368,'V&amp;V-Violence-Global'!$B14,'Fractional-Calorimetry-Data'!$J$4:$J$368,100)</f>
        <v>434.435961901796</v>
      </c>
      <c r="G14" s="27">
        <f>_xlfn.MAXIFS('Fractional-Calorimetry-Data'!$AU$4:$AU$368,'Fractional-Calorimetry-Data'!$B$4:$B$368,'V&amp;V-Violence-Global'!$B14,'Fractional-Calorimetry-Data'!$J$4:$J$368,100)</f>
        <v>29.7916666666667</v>
      </c>
      <c r="H14" s="27">
        <v>0</v>
      </c>
      <c r="I14" s="27">
        <v>0</v>
      </c>
      <c r="J14" s="27">
        <v>0</v>
      </c>
      <c r="K14" s="27">
        <v>0</v>
      </c>
      <c r="L14" s="27">
        <v>0</v>
      </c>
    </row>
    <row r="15" spans="2:12">
      <c r="B15" s="14" t="s">
        <v>26</v>
      </c>
      <c r="C15" s="29">
        <f>_xlfn.MAXIFS('Fractional-Calorimetry-Data'!$BE$4:$BE$368,'Fractional-Calorimetry-Data'!$B$4:$B$368,'V&amp;V-Violence-Global'!$B15,'Fractional-Calorimetry-Data'!$J$4:$J$368,100)</f>
        <v>1.44389373527982</v>
      </c>
      <c r="D15" s="27">
        <f>_xlfn.MAXIFS('Fractional-Calorimetry-Data'!$U$4:$U$368,'Fractional-Calorimetry-Data'!$B$4:$B$368,'V&amp;V-Violence-Global'!$B15,'Fractional-Calorimetry-Data'!$J$4:$J$368,100)</f>
        <v>45.5814149928074</v>
      </c>
      <c r="E15" s="27">
        <f>_xlfn.MAXIFS('Fractional-Calorimetry-Data'!$BI$4:$BI$368,'Fractional-Calorimetry-Data'!$B$4:$B$368,'V&amp;V-Violence-Global'!$B15,'Fractional-Calorimetry-Data'!$J$4:$J$368,100)</f>
        <v>24645.3589719621</v>
      </c>
      <c r="F15" s="27">
        <f>_xlfn.MAXIFS('Fractional-Calorimetry-Data'!$BM$4:$BM$368,'Fractional-Calorimetry-Data'!$B$4:$B$368,'V&amp;V-Violence-Global'!$B15,'Fractional-Calorimetry-Data'!$J$4:$J$368,100)</f>
        <v>589.252285054851</v>
      </c>
      <c r="G15" s="27">
        <f>_xlfn.MAXIFS('Fractional-Calorimetry-Data'!$AU$4:$AU$368,'Fractional-Calorimetry-Data'!$B$4:$B$368,'V&amp;V-Violence-Global'!$B15,'Fractional-Calorimetry-Data'!$J$4:$J$368,100)</f>
        <v>29.375</v>
      </c>
      <c r="H15" s="27">
        <v>0</v>
      </c>
      <c r="I15" s="27">
        <v>0</v>
      </c>
      <c r="J15" s="27">
        <v>0</v>
      </c>
      <c r="K15" s="27">
        <v>0</v>
      </c>
      <c r="L15" s="27">
        <v>0</v>
      </c>
    </row>
    <row r="16" spans="2:12">
      <c r="B16" s="14" t="s">
        <v>146</v>
      </c>
      <c r="C16" s="29">
        <f>_xlfn.MAXIFS('Fractional-Calorimetry-Data'!$BE$4:$BE$368,'Fractional-Calorimetry-Data'!$B$4:$B$368,'V&amp;V-Violence-Global'!$B16,'Fractional-Calorimetry-Data'!$J$4:$J$368,100)</f>
        <v>1.5675417934565</v>
      </c>
      <c r="D16" s="27">
        <f>_xlfn.MAXIFS('Fractional-Calorimetry-Data'!$U$4:$U$368,'Fractional-Calorimetry-Data'!$B$4:$B$368,'V&amp;V-Violence-Global'!$B16,'Fractional-Calorimetry-Data'!$J$4:$J$368,100)</f>
        <v>71.103695751187</v>
      </c>
      <c r="E16" s="27">
        <f>_xlfn.MAXIFS('Fractional-Calorimetry-Data'!$BI$4:$BI$368,'Fractional-Calorimetry-Data'!$B$4:$B$368,'V&amp;V-Violence-Global'!$B16,'Fractional-Calorimetry-Data'!$J$4:$J$368,100)</f>
        <v>35551.8478755935</v>
      </c>
      <c r="F16" s="27">
        <f>_xlfn.MAXIFS('Fractional-Calorimetry-Data'!$BM$4:$BM$368,'Fractional-Calorimetry-Data'!$B$4:$B$368,'V&amp;V-Violence-Global'!$B16,'Fractional-Calorimetry-Data'!$J$4:$J$368,100)</f>
        <v>850.018359336889</v>
      </c>
      <c r="G16" s="27">
        <f>_xlfn.MAXIFS('Fractional-Calorimetry-Data'!$AU$4:$AU$368,'Fractional-Calorimetry-Data'!$B$4:$B$368,'V&amp;V-Violence-Global'!$B16,'Fractional-Calorimetry-Data'!$J$4:$J$368,100)</f>
        <v>96.2331043651673</v>
      </c>
      <c r="H16" s="27">
        <v>0</v>
      </c>
      <c r="I16" s="27">
        <v>0</v>
      </c>
      <c r="J16" s="27">
        <v>0</v>
      </c>
      <c r="K16" s="27">
        <v>0</v>
      </c>
      <c r="L16" s="27">
        <v>0</v>
      </c>
    </row>
    <row r="17" spans="2:12">
      <c r="B17" s="14" t="s">
        <v>147</v>
      </c>
      <c r="C17" s="29">
        <f>_xlfn.MAXIFS('Fractional-Calorimetry-Data'!$BE$4:$BE$368,'Fractional-Calorimetry-Data'!$B$4:$B$368,'V&amp;V-Violence-Global'!$B17,'Fractional-Calorimetry-Data'!$J$4:$J$368,100)</f>
        <v>1.94996943654389</v>
      </c>
      <c r="D17" s="27">
        <f>_xlfn.MAXIFS('Fractional-Calorimetry-Data'!$U$4:$U$368,'Fractional-Calorimetry-Data'!$B$4:$B$368,'V&amp;V-Violence-Global'!$B17,'Fractional-Calorimetry-Data'!$J$4:$J$368,100)</f>
        <v>70.7604909133047</v>
      </c>
      <c r="E17" s="27">
        <f>_xlfn.MAXIFS('Fractional-Calorimetry-Data'!$BI$4:$BI$368,'Fractional-Calorimetry-Data'!$B$4:$B$368,'V&amp;V-Violence-Global'!$B17,'Fractional-Calorimetry-Data'!$J$4:$J$368,100)</f>
        <v>35380.2454566523</v>
      </c>
      <c r="F17" s="27">
        <f>_xlfn.MAXIFS('Fractional-Calorimetry-Data'!$BM$4:$BM$368,'Fractional-Calorimetry-Data'!$B$4:$B$368,'V&amp;V-Violence-Global'!$B17,'Fractional-Calorimetry-Data'!$J$4:$J$368,100)</f>
        <v>446.329732401476</v>
      </c>
      <c r="G17" s="27">
        <f>_xlfn.MAXIFS('Fractional-Calorimetry-Data'!$AU$4:$AU$368,'Fractional-Calorimetry-Data'!$B$4:$B$368,'V&amp;V-Violence-Global'!$B17,'Fractional-Calorimetry-Data'!$J$4:$J$368,100)</f>
        <v>64.6374216651746</v>
      </c>
      <c r="H17" s="27">
        <v>0</v>
      </c>
      <c r="I17" s="27">
        <v>0</v>
      </c>
      <c r="J17" s="27">
        <v>0</v>
      </c>
      <c r="K17" s="27">
        <v>0</v>
      </c>
      <c r="L17" s="27">
        <v>0</v>
      </c>
    </row>
    <row r="18" spans="2:12">
      <c r="B18" s="14" t="s">
        <v>148</v>
      </c>
      <c r="C18" s="29">
        <f>_xlfn.MAXIFS('Fractional-Calorimetry-Data'!$BE$4:$BE$368,'Fractional-Calorimetry-Data'!$B$4:$B$368,'V&amp;V-Violence-Global'!$B18,'Fractional-Calorimetry-Data'!$J$4:$J$368,100)</f>
        <v>1.50358014718472</v>
      </c>
      <c r="D18" s="27">
        <f>_xlfn.MAXIFS('Fractional-Calorimetry-Data'!$U$4:$U$368,'Fractional-Calorimetry-Data'!$B$4:$B$368,'V&amp;V-Violence-Global'!$B18,'Fractional-Calorimetry-Data'!$J$4:$J$368,100)</f>
        <v>62.3564758640447</v>
      </c>
      <c r="E18" s="27">
        <f>_xlfn.MAXIFS('Fractional-Calorimetry-Data'!$BI$4:$BI$368,'Fractional-Calorimetry-Data'!$B$4:$B$368,'V&amp;V-Violence-Global'!$B18,'Fractional-Calorimetry-Data'!$J$4:$J$368,100)</f>
        <v>36637.1777458954</v>
      </c>
      <c r="F18" s="27">
        <f>_xlfn.MAXIFS('Fractional-Calorimetry-Data'!$BM$4:$BM$368,'Fractional-Calorimetry-Data'!$B$4:$B$368,'V&amp;V-Violence-Global'!$B18,'Fractional-Calorimetry-Data'!$J$4:$J$368,100)</f>
        <v>864.006620203601</v>
      </c>
      <c r="G18" s="27">
        <f>_xlfn.MAXIFS('Fractional-Calorimetry-Data'!$AU$4:$AU$368,'Fractional-Calorimetry-Data'!$B$4:$B$368,'V&amp;V-Violence-Global'!$B18,'Fractional-Calorimetry-Data'!$J$4:$J$368,100)</f>
        <v>60</v>
      </c>
      <c r="H18" s="27">
        <v>0</v>
      </c>
      <c r="I18" s="27">
        <v>0</v>
      </c>
      <c r="J18" s="27">
        <v>0</v>
      </c>
      <c r="K18" s="27">
        <v>0</v>
      </c>
      <c r="L18" s="27">
        <v>0</v>
      </c>
    </row>
    <row r="19" spans="2:12">
      <c r="B19" s="13" t="s">
        <v>152</v>
      </c>
      <c r="C19" s="29">
        <f>_xlfn.MAXIFS('Fractional-Calorimetry-Data'!$BE$4:$BE$368,'Fractional-Calorimetry-Data'!$B$4:$B$368,'V&amp;V-Violence-Global'!$B19,'Fractional-Calorimetry-Data'!$J$4:$J$368,100)</f>
        <v>1.62567886620435</v>
      </c>
      <c r="D19" s="27">
        <f>_xlfn.MAXIFS('Fractional-Calorimetry-Data'!$U$4:$U$368,'Fractional-Calorimetry-Data'!$B$4:$B$368,'V&amp;V-Violence-Global'!$B19,'Fractional-Calorimetry-Data'!$J$4:$J$368,100)</f>
        <v>94.8095914770377</v>
      </c>
      <c r="E19" s="27">
        <f>_xlfn.MAXIFS('Fractional-Calorimetry-Data'!$BI$4:$BI$368,'Fractional-Calorimetry-Data'!$B$4:$B$368,'V&amp;V-Violence-Global'!$B19,'Fractional-Calorimetry-Data'!$J$4:$J$368,100)</f>
        <v>49099.8012964175</v>
      </c>
      <c r="F19" s="27">
        <f>_xlfn.MAXIFS('Fractional-Calorimetry-Data'!$BM$4:$BM$368,'Fractional-Calorimetry-Data'!$B$4:$B$368,'V&amp;V-Violence-Global'!$B19,'Fractional-Calorimetry-Data'!$J$4:$J$368,100)</f>
        <v>1173.93989442669</v>
      </c>
      <c r="G19" s="27">
        <f>_xlfn.MAXIFS('Fractional-Calorimetry-Data'!$AU$4:$AU$368,'Fractional-Calorimetry-Data'!$B$4:$B$368,'V&amp;V-Violence-Global'!$B19,'Fractional-Calorimetry-Data'!$J$4:$J$368,100)</f>
        <v>38.7167827199091</v>
      </c>
      <c r="H19" s="27">
        <v>0</v>
      </c>
      <c r="I19" s="27">
        <v>0</v>
      </c>
      <c r="J19" s="27">
        <v>0</v>
      </c>
      <c r="K19" s="27">
        <v>0</v>
      </c>
      <c r="L19" s="27">
        <v>0</v>
      </c>
    </row>
    <row r="20" spans="2:12">
      <c r="B20" s="14" t="s">
        <v>156</v>
      </c>
      <c r="C20" s="29">
        <f>_xlfn.MAXIFS('Fractional-Calorimetry-Data'!$BE$4:$BE$368,'Fractional-Calorimetry-Data'!$B$4:$B$368,'V&amp;V-Violence-Global'!$B20,'Fractional-Calorimetry-Data'!$J$4:$J$368,100)</f>
        <v>1.50411839616999</v>
      </c>
      <c r="D20" s="27">
        <f>_xlfn.MAXIFS('Fractional-Calorimetry-Data'!$U$4:$U$368,'Fractional-Calorimetry-Data'!$B$4:$B$368,'V&amp;V-Violence-Global'!$B20,'Fractional-Calorimetry-Data'!$J$4:$J$368,100)</f>
        <v>51.1051299229885</v>
      </c>
      <c r="E20" s="27">
        <f>_xlfn.MAXIFS('Fractional-Calorimetry-Data'!$BI$4:$BI$368,'Fractional-Calorimetry-Data'!$B$4:$B$368,'V&amp;V-Violence-Global'!$B20,'Fractional-Calorimetry-Data'!$J$4:$J$368,100)</f>
        <v>25552.5649614943</v>
      </c>
      <c r="F20" s="27">
        <f>_xlfn.MAXIFS('Fractional-Calorimetry-Data'!$BM$4:$BM$368,'Fractional-Calorimetry-Data'!$B$4:$B$368,'V&amp;V-Violence-Global'!$B20,'Fractional-Calorimetry-Data'!$J$4:$J$368,100)</f>
        <v>610.942908549336</v>
      </c>
      <c r="G20" s="27">
        <f>_xlfn.MAXIFS('Fractional-Calorimetry-Data'!$AU$4:$AU$368,'Fractional-Calorimetry-Data'!$B$4:$B$368,'V&amp;V-Violence-Global'!$B20,'Fractional-Calorimetry-Data'!$J$4:$J$368,100)</f>
        <v>76.8904516783876</v>
      </c>
      <c r="H20" s="27">
        <v>0</v>
      </c>
      <c r="I20" s="27">
        <v>0</v>
      </c>
      <c r="J20" s="27">
        <v>0</v>
      </c>
      <c r="K20" s="27">
        <v>0</v>
      </c>
      <c r="L20" s="27">
        <v>0</v>
      </c>
    </row>
    <row r="21" spans="2:12">
      <c r="B21" s="14" t="s">
        <v>157</v>
      </c>
      <c r="C21" s="29">
        <f>_xlfn.MAXIFS('Fractional-Calorimetry-Data'!$BE$4:$BE$368,'Fractional-Calorimetry-Data'!$B$4:$B$368,'V&amp;V-Violence-Global'!$B21,'Fractional-Calorimetry-Data'!$J$4:$J$368,100)</f>
        <v>2.09452849382159</v>
      </c>
      <c r="D21" s="27">
        <f>_xlfn.MAXIFS('Fractional-Calorimetry-Data'!$U$4:$U$368,'Fractional-Calorimetry-Data'!$B$4:$B$368,'V&amp;V-Violence-Global'!$B21,'Fractional-Calorimetry-Data'!$J$4:$J$368,100)</f>
        <v>81.4352678397833</v>
      </c>
      <c r="E21" s="27">
        <f>_xlfn.MAXIFS('Fractional-Calorimetry-Data'!$BI$4:$BI$368,'Fractional-Calorimetry-Data'!$B$4:$B$368,'V&amp;V-Violence-Global'!$B21,'Fractional-Calorimetry-Data'!$J$4:$J$368,100)</f>
        <v>107696.809577218</v>
      </c>
      <c r="F21" s="27">
        <f>_xlfn.MAXIFS('Fractional-Calorimetry-Data'!$BM$4:$BM$368,'Fractional-Calorimetry-Data'!$B$4:$B$368,'V&amp;V-Violence-Global'!$B21,'Fractional-Calorimetry-Data'!$J$4:$J$368,100)</f>
        <v>2574.95097590947</v>
      </c>
      <c r="G21" s="27">
        <f>_xlfn.MAXIFS('Fractional-Calorimetry-Data'!$AU$4:$AU$368,'Fractional-Calorimetry-Data'!$B$4:$B$368,'V&amp;V-Violence-Global'!$B21,'Fractional-Calorimetry-Data'!$J$4:$J$368,100)</f>
        <v>84.630369894253</v>
      </c>
      <c r="H21" s="27">
        <v>0</v>
      </c>
      <c r="I21" s="27">
        <v>0</v>
      </c>
      <c r="J21" s="27">
        <v>0</v>
      </c>
      <c r="K21" s="27">
        <v>0</v>
      </c>
      <c r="L21" s="27">
        <v>0</v>
      </c>
    </row>
    <row r="22" spans="2:12">
      <c r="B22" s="14" t="s">
        <v>158</v>
      </c>
      <c r="C22" s="29">
        <f>_xlfn.MAXIFS('Fractional-Calorimetry-Data'!$BE$4:$BE$368,'Fractional-Calorimetry-Data'!$B$4:$B$368,'V&amp;V-Violence-Global'!$B22,'Fractional-Calorimetry-Data'!$J$4:$J$368,100)</f>
        <v>1.42537803744462</v>
      </c>
      <c r="D22" s="27">
        <f>_xlfn.MAXIFS('Fractional-Calorimetry-Data'!$U$4:$U$368,'Fractional-Calorimetry-Data'!$B$4:$B$368,'V&amp;V-Violence-Global'!$B22,'Fractional-Calorimetry-Data'!$J$4:$J$368,100)</f>
        <v>39.7167336353569</v>
      </c>
      <c r="E22" s="27">
        <f>_xlfn.MAXIFS('Fractional-Calorimetry-Data'!$BI$4:$BI$368,'Fractional-Calorimetry-Data'!$B$4:$B$368,'V&amp;V-Violence-Global'!$B22,'Fractional-Calorimetry-Data'!$J$4:$J$368,100)</f>
        <v>19858.3668176785</v>
      </c>
      <c r="F22" s="27">
        <f>_xlfn.MAXIFS('Fractional-Calorimetry-Data'!$BM$4:$BM$368,'Fractional-Calorimetry-Data'!$B$4:$B$368,'V&amp;V-Violence-Global'!$B22,'Fractional-Calorimetry-Data'!$J$4:$J$368,100)</f>
        <v>474.798847039997</v>
      </c>
      <c r="G22" s="27">
        <f>_xlfn.MAXIFS('Fractional-Calorimetry-Data'!$AU$4:$AU$368,'Fractional-Calorimetry-Data'!$B$4:$B$368,'V&amp;V-Violence-Global'!$B22,'Fractional-Calorimetry-Data'!$J$4:$J$368,100)</f>
        <v>43.0565583634176</v>
      </c>
      <c r="H22" s="27">
        <v>0</v>
      </c>
      <c r="I22" s="27">
        <v>0</v>
      </c>
      <c r="J22" s="27">
        <v>0</v>
      </c>
      <c r="K22" s="27">
        <v>0</v>
      </c>
      <c r="L22" s="27">
        <v>0</v>
      </c>
    </row>
    <row r="23" spans="2:12">
      <c r="B23" s="14" t="s">
        <v>160</v>
      </c>
      <c r="C23" s="29">
        <f>_xlfn.MAXIFS('Fractional-Calorimetry-Data'!$BE$4:$BE$368,'Fractional-Calorimetry-Data'!$B$4:$B$368,'V&amp;V-Violence-Global'!$B23,'Fractional-Calorimetry-Data'!$J$4:$J$368,100)</f>
        <v>1.64245467546814</v>
      </c>
      <c r="D23" s="27">
        <f>_xlfn.MAXIFS('Fractional-Calorimetry-Data'!$U$4:$U$368,'Fractional-Calorimetry-Data'!$B$4:$B$368,'V&amp;V-Violence-Global'!$B23,'Fractional-Calorimetry-Data'!$J$4:$J$368,100)</f>
        <v>66.6258454194301</v>
      </c>
      <c r="E23" s="27">
        <f>_xlfn.MAXIFS('Fractional-Calorimetry-Data'!$BI$4:$BI$368,'Fractional-Calorimetry-Data'!$B$4:$B$368,'V&amp;V-Violence-Global'!$B23,'Fractional-Calorimetry-Data'!$J$4:$J$368,100)</f>
        <v>33312.9227097151</v>
      </c>
      <c r="F23" s="27">
        <f>_xlfn.MAXIFS('Fractional-Calorimetry-Data'!$BM$4:$BM$368,'Fractional-Calorimetry-Data'!$B$4:$B$368,'V&amp;V-Violence-Global'!$B23,'Fractional-Calorimetry-Data'!$J$4:$J$368,100)</f>
        <v>796.487316370074</v>
      </c>
      <c r="G23" s="27">
        <f>_xlfn.MAXIFS('Fractional-Calorimetry-Data'!$AU$4:$AU$368,'Fractional-Calorimetry-Data'!$B$4:$B$368,'V&amp;V-Violence-Global'!$B23,'Fractional-Calorimetry-Data'!$J$4:$J$368,100)</f>
        <v>85.698622300615</v>
      </c>
      <c r="H23" s="27">
        <v>0</v>
      </c>
      <c r="I23" s="27">
        <v>0</v>
      </c>
      <c r="J23" s="27">
        <v>0</v>
      </c>
      <c r="K23" s="27">
        <v>0</v>
      </c>
      <c r="L23" s="27">
        <v>0</v>
      </c>
    </row>
    <row r="24" spans="2:12">
      <c r="B24" s="14" t="s">
        <v>162</v>
      </c>
      <c r="C24" s="29">
        <f>_xlfn.MAXIFS('Fractional-Calorimetry-Data'!$BE$4:$BE$368,'Fractional-Calorimetry-Data'!$B$4:$B$368,'V&amp;V-Violence-Global'!$B24,'Fractional-Calorimetry-Data'!$J$4:$J$368,100)</f>
        <v>1.73489394254608</v>
      </c>
      <c r="D24" s="27">
        <f>_xlfn.MAXIFS('Fractional-Calorimetry-Data'!$U$4:$U$368,'Fractional-Calorimetry-Data'!$B$4:$B$368,'V&amp;V-Violence-Global'!$B24,'Fractional-Calorimetry-Data'!$J$4:$J$368,100)</f>
        <v>79.3193510532068</v>
      </c>
      <c r="E24" s="27">
        <f>_xlfn.MAXIFS('Fractional-Calorimetry-Data'!$BI$4:$BI$368,'Fractional-Calorimetry-Data'!$B$4:$B$368,'V&amp;V-Violence-Global'!$B24,'Fractional-Calorimetry-Data'!$J$4:$J$368,100)</f>
        <v>64368.9161565301</v>
      </c>
      <c r="F24" s="27">
        <f>_xlfn.MAXIFS('Fractional-Calorimetry-Data'!$BM$4:$BM$368,'Fractional-Calorimetry-Data'!$B$4:$B$368,'V&amp;V-Violence-Global'!$B24,'Fractional-Calorimetry-Data'!$J$4:$J$368,100)</f>
        <v>1539.01312514417</v>
      </c>
      <c r="G24" s="27">
        <f>_xlfn.MAXIFS('Fractional-Calorimetry-Data'!$AU$4:$AU$368,'Fractional-Calorimetry-Data'!$B$4:$B$368,'V&amp;V-Violence-Global'!$B24,'Fractional-Calorimetry-Data'!$J$4:$J$368,100)</f>
        <v>77.5416666666667</v>
      </c>
      <c r="H24" s="27">
        <v>0</v>
      </c>
      <c r="I24" s="27">
        <v>0</v>
      </c>
      <c r="J24" s="27">
        <v>0</v>
      </c>
      <c r="K24" s="27">
        <v>0</v>
      </c>
      <c r="L24" s="27">
        <v>0</v>
      </c>
    </row>
    <row r="25" spans="2:12">
      <c r="B25" s="13" t="s">
        <v>8</v>
      </c>
      <c r="C25" s="29">
        <f>_xlfn.MAXIFS('Fractional-Calorimetry-Data'!$BE$4:$BE$368,'Fractional-Calorimetry-Data'!$B$4:$B$368,'V&amp;V-Violence-Global'!$B25,'Fractional-Calorimetry-Data'!$J$4:$J$368,100)</f>
        <v>1.6143010755749</v>
      </c>
      <c r="D25" s="27">
        <f>_xlfn.MAXIFS('Fractional-Calorimetry-Data'!$U$4:$U$368,'Fractional-Calorimetry-Data'!$B$4:$B$368,'V&amp;V-Violence-Global'!$B25,'Fractional-Calorimetry-Data'!$J$4:$J$368,100)</f>
        <v>44.5450238794138</v>
      </c>
      <c r="E25" s="27">
        <f>_xlfn.MAXIFS('Fractional-Calorimetry-Data'!$BI$4:$BI$368,'Fractional-Calorimetry-Data'!$B$4:$B$368,'V&amp;V-Violence-Global'!$B25,'Fractional-Calorimetry-Data'!$J$4:$J$368,100)</f>
        <v>22272.5119397069</v>
      </c>
      <c r="F25" s="27">
        <f>_xlfn.MAXIFS('Fractional-Calorimetry-Data'!$BM$4:$BM$368,'Fractional-Calorimetry-Data'!$B$4:$B$368,'V&amp;V-Violence-Global'!$B25,'Fractional-Calorimetry-Data'!$J$4:$J$368,100)</f>
        <v>532.519269421656</v>
      </c>
      <c r="G25" s="27">
        <f>_xlfn.MAXIFS('Fractional-Calorimetry-Data'!$AU$4:$AU$368,'Fractional-Calorimetry-Data'!$B$4:$B$368,'V&amp;V-Violence-Global'!$B25,'Fractional-Calorimetry-Data'!$J$4:$J$368,100)</f>
        <v>74.8272709415037</v>
      </c>
      <c r="H25" s="27">
        <v>0</v>
      </c>
      <c r="I25" s="27">
        <v>0</v>
      </c>
      <c r="J25" s="27">
        <v>0</v>
      </c>
      <c r="K25" s="27">
        <v>0</v>
      </c>
      <c r="L25" s="27">
        <v>0</v>
      </c>
    </row>
    <row r="26" spans="2:12">
      <c r="B26" s="13" t="s">
        <v>10</v>
      </c>
      <c r="C26" s="29">
        <f>_xlfn.MAXIFS('Fractional-Calorimetry-Data'!$BE$4:$BE$368,'Fractional-Calorimetry-Data'!$B$4:$B$368,'V&amp;V-Violence-Global'!$B26,'Fractional-Calorimetry-Data'!$J$4:$J$368,100)</f>
        <v>1.38775551156189</v>
      </c>
      <c r="D26" s="27">
        <f>_xlfn.MAXIFS('Fractional-Calorimetry-Data'!$U$4:$U$368,'Fractional-Calorimetry-Data'!$B$4:$B$368,'V&amp;V-Violence-Global'!$B26,'Fractional-Calorimetry-Data'!$J$4:$J$368,100)</f>
        <v>38.2937255860389</v>
      </c>
      <c r="E26" s="27">
        <f>_xlfn.MAXIFS('Fractional-Calorimetry-Data'!$BI$4:$BI$368,'Fractional-Calorimetry-Data'!$B$4:$B$368,'V&amp;V-Violence-Global'!$B26,'Fractional-Calorimetry-Data'!$J$4:$J$368,100)</f>
        <v>71519.1289037643</v>
      </c>
      <c r="F26" s="27">
        <f>_xlfn.MAXIFS('Fractional-Calorimetry-Data'!$BM$4:$BM$368,'Fractional-Calorimetry-Data'!$B$4:$B$368,'V&amp;V-Violence-Global'!$B26,'Fractional-Calorimetry-Data'!$J$4:$J$368,100)</f>
        <v>1709.96941775608</v>
      </c>
      <c r="G26" s="27">
        <f>_xlfn.MAXIFS('Fractional-Calorimetry-Data'!$AU$4:$AU$368,'Fractional-Calorimetry-Data'!$B$4:$B$368,'V&amp;V-Violence-Global'!$B26,'Fractional-Calorimetry-Data'!$J$4:$J$368,100)</f>
        <v>73.7053690413907</v>
      </c>
      <c r="H26" s="27">
        <v>0</v>
      </c>
      <c r="I26" s="27">
        <v>0</v>
      </c>
      <c r="J26" s="27">
        <v>0</v>
      </c>
      <c r="K26" s="27">
        <v>0</v>
      </c>
      <c r="L26" s="27">
        <v>0</v>
      </c>
    </row>
    <row r="27" spans="2:12">
      <c r="B27" s="13" t="s">
        <v>12</v>
      </c>
      <c r="C27" s="29">
        <f>_xlfn.MAXIFS('Fractional-Calorimetry-Data'!$BE$4:$BE$368,'Fractional-Calorimetry-Data'!$B$4:$B$368,'V&amp;V-Violence-Global'!$B27,'Fractional-Calorimetry-Data'!$J$4:$J$368,100)</f>
        <v>1.50040266544678</v>
      </c>
      <c r="D27" s="27">
        <f>_xlfn.MAXIFS('Fractional-Calorimetry-Data'!$U$4:$U$368,'Fractional-Calorimetry-Data'!$B$4:$B$368,'V&amp;V-Violence-Global'!$B27,'Fractional-Calorimetry-Data'!$J$4:$J$368,100)</f>
        <v>41.4021111503385</v>
      </c>
      <c r="E27" s="27">
        <f>_xlfn.MAXIFS('Fractional-Calorimetry-Data'!$BI$4:$BI$368,'Fractional-Calorimetry-Data'!$B$4:$B$368,'V&amp;V-Violence-Global'!$B27,'Fractional-Calorimetry-Data'!$J$4:$J$368,100)</f>
        <v>20701.0555751692</v>
      </c>
      <c r="F27" s="27">
        <f>_xlfn.MAXIFS('Fractional-Calorimetry-Data'!$BM$4:$BM$368,'Fractional-Calorimetry-Data'!$B$4:$B$368,'V&amp;V-Violence-Global'!$B27,'Fractional-Calorimetry-Data'!$J$4:$J$368,100)</f>
        <v>494.946911286348</v>
      </c>
      <c r="G27" s="27">
        <f>_xlfn.MAXIFS('Fractional-Calorimetry-Data'!$AU$4:$AU$368,'Fractional-Calorimetry-Data'!$B$4:$B$368,'V&amp;V-Violence-Global'!$B27,'Fractional-Calorimetry-Data'!$J$4:$J$368,100)</f>
        <v>51.3105598662516</v>
      </c>
      <c r="H27" s="27">
        <v>0</v>
      </c>
      <c r="I27" s="27">
        <v>0</v>
      </c>
      <c r="J27" s="27">
        <v>0</v>
      </c>
      <c r="K27" s="27">
        <v>0</v>
      </c>
      <c r="L27" s="27">
        <v>0</v>
      </c>
    </row>
    <row r="28" spans="2:12">
      <c r="B28" s="13" t="s">
        <v>14</v>
      </c>
      <c r="C28" s="29">
        <f>_xlfn.MAXIFS('Fractional-Calorimetry-Data'!$BE$4:$BE$368,'Fractional-Calorimetry-Data'!$B$4:$B$368,'V&amp;V-Violence-Global'!$B28,'Fractional-Calorimetry-Data'!$J$4:$J$368,100)</f>
        <v>1.37822321074565</v>
      </c>
      <c r="D28" s="27">
        <f>_xlfn.MAXIFS('Fractional-Calorimetry-Data'!$U$4:$U$368,'Fractional-Calorimetry-Data'!$B$4:$B$368,'V&amp;V-Violence-Global'!$B28,'Fractional-Calorimetry-Data'!$J$4:$J$368,100)</f>
        <v>38.0306912773155</v>
      </c>
      <c r="E28" s="27">
        <f>_xlfn.MAXIFS('Fractional-Calorimetry-Data'!$BI$4:$BI$368,'Fractional-Calorimetry-Data'!$B$4:$B$368,'V&amp;V-Violence-Global'!$B28,'Fractional-Calorimetry-Data'!$J$4:$J$368,100)</f>
        <v>31611.4578942554</v>
      </c>
      <c r="F28" s="27">
        <f>_xlfn.MAXIFS('Fractional-Calorimetry-Data'!$BM$4:$BM$368,'Fractional-Calorimetry-Data'!$B$4:$B$368,'V&amp;V-Violence-Global'!$B28,'Fractional-Calorimetry-Data'!$J$4:$J$368,100)</f>
        <v>755.806552434331</v>
      </c>
      <c r="G28" s="27">
        <f>_xlfn.MAXIFS('Fractional-Calorimetry-Data'!$AU$4:$AU$368,'Fractional-Calorimetry-Data'!$B$4:$B$368,'V&amp;V-Violence-Global'!$B28,'Fractional-Calorimetry-Data'!$J$4:$J$368,100)</f>
        <v>76.0661221474306</v>
      </c>
      <c r="H28" s="27">
        <v>0</v>
      </c>
      <c r="I28" s="27">
        <v>0</v>
      </c>
      <c r="J28" s="27">
        <v>0</v>
      </c>
      <c r="K28" s="27">
        <v>0</v>
      </c>
      <c r="L28" s="27">
        <v>0</v>
      </c>
    </row>
    <row r="29" spans="2:12">
      <c r="B29" s="13" t="s">
        <v>16</v>
      </c>
      <c r="C29" s="29">
        <f>_xlfn.MAXIFS('Fractional-Calorimetry-Data'!$BE$4:$BE$368,'Fractional-Calorimetry-Data'!$B$4:$B$368,'V&amp;V-Violence-Global'!$B29,'Fractional-Calorimetry-Data'!$J$4:$J$368,100)</f>
        <v>1.34495068101633</v>
      </c>
      <c r="D29" s="27">
        <f>_xlfn.MAXIFS('Fractional-Calorimetry-Data'!$U$4:$U$368,'Fractional-Calorimetry-Data'!$B$4:$B$368,'V&amp;V-Violence-Global'!$B29,'Fractional-Calorimetry-Data'!$J$4:$J$368,100)</f>
        <v>37.1125690919646</v>
      </c>
      <c r="E29" s="27">
        <f>_xlfn.MAXIFS('Fractional-Calorimetry-Data'!$BI$4:$BI$368,'Fractional-Calorimetry-Data'!$B$4:$B$368,'V&amp;V-Violence-Global'!$B29,'Fractional-Calorimetry-Data'!$J$4:$J$368,100)</f>
        <v>18556.2845459823</v>
      </c>
      <c r="F29" s="27">
        <f>_xlfn.MAXIFS('Fractional-Calorimetry-Data'!$BM$4:$BM$368,'Fractional-Calorimetry-Data'!$B$4:$B$368,'V&amp;V-Violence-Global'!$B29,'Fractional-Calorimetry-Data'!$J$4:$J$368,100)</f>
        <v>443.667024014037</v>
      </c>
      <c r="G29" s="27">
        <f>_xlfn.MAXIFS('Fractional-Calorimetry-Data'!$AU$4:$AU$368,'Fractional-Calorimetry-Data'!$B$4:$B$368,'V&amp;V-Violence-Global'!$B29,'Fractional-Calorimetry-Data'!$J$4:$J$368,100)</f>
        <v>79.8025516920838</v>
      </c>
      <c r="H29" s="27">
        <v>0</v>
      </c>
      <c r="I29" s="27">
        <v>0</v>
      </c>
      <c r="J29" s="27">
        <v>0</v>
      </c>
      <c r="K29" s="27">
        <v>0</v>
      </c>
      <c r="L29" s="27">
        <v>0</v>
      </c>
    </row>
    <row r="30" spans="2:12">
      <c r="B30" s="13" t="s">
        <v>18</v>
      </c>
      <c r="C30" s="29">
        <f>_xlfn.MAXIFS('Fractional-Calorimetry-Data'!$BE$4:$BE$368,'Fractional-Calorimetry-Data'!$B$4:$B$368,'V&amp;V-Violence-Global'!$B30,'Fractional-Calorimetry-Data'!$J$4:$J$368,100)</f>
        <v>1.18994106490576</v>
      </c>
      <c r="D30" s="27">
        <f>_xlfn.MAXIFS('Fractional-Calorimetry-Data'!$U$4:$U$368,'Fractional-Calorimetry-Data'!$B$4:$B$368,'V&amp;V-Violence-Global'!$B30,'Fractional-Calorimetry-Data'!$J$4:$J$368,100)</f>
        <v>32.8352337450094</v>
      </c>
      <c r="E30" s="27">
        <f>_xlfn.MAXIFS('Fractional-Calorimetry-Data'!$BI$4:$BI$368,'Fractional-Calorimetry-Data'!$B$4:$B$368,'V&amp;V-Violence-Global'!$B30,'Fractional-Calorimetry-Data'!$J$4:$J$368,100)</f>
        <v>16417.6168725047</v>
      </c>
      <c r="F30" s="27">
        <f>_xlfn.MAXIFS('Fractional-Calorimetry-Data'!$BM$4:$BM$368,'Fractional-Calorimetry-Data'!$B$4:$B$368,'V&amp;V-Violence-Global'!$B30,'Fractional-Calorimetry-Data'!$J$4:$J$368,100)</f>
        <v>392.533063457678</v>
      </c>
      <c r="G30" s="27">
        <f>_xlfn.MAXIFS('Fractional-Calorimetry-Data'!$AU$4:$AU$368,'Fractional-Calorimetry-Data'!$B$4:$B$368,'V&amp;V-Violence-Global'!$B30,'Fractional-Calorimetry-Data'!$J$4:$J$368,100)</f>
        <v>77.7323076999206</v>
      </c>
      <c r="H30" s="27">
        <v>0</v>
      </c>
      <c r="I30" s="27">
        <v>0</v>
      </c>
      <c r="J30" s="27">
        <v>0</v>
      </c>
      <c r="K30" s="27">
        <v>0</v>
      </c>
      <c r="L30" s="27">
        <v>0</v>
      </c>
    </row>
    <row r="31" spans="2:12">
      <c r="B31" s="13" t="s">
        <v>20</v>
      </c>
      <c r="C31" s="29">
        <f>_xlfn.MAXIFS('Fractional-Calorimetry-Data'!$BE$4:$BE$368,'Fractional-Calorimetry-Data'!$B$4:$B$368,'V&amp;V-Violence-Global'!$B31,'Fractional-Calorimetry-Data'!$J$4:$J$368,100)</f>
        <v>1.18996639888014</v>
      </c>
      <c r="D31" s="27">
        <f>_xlfn.MAXIFS('Fractional-Calorimetry-Data'!$U$4:$U$368,'Fractional-Calorimetry-Data'!$B$4:$B$368,'V&amp;V-Violence-Global'!$B31,'Fractional-Calorimetry-Data'!$J$4:$J$368,100)</f>
        <v>32.8359328106986</v>
      </c>
      <c r="E31" s="27">
        <f>_xlfn.MAXIFS('Fractional-Calorimetry-Data'!$BI$4:$BI$368,'Fractional-Calorimetry-Data'!$B$4:$B$368,'V&amp;V-Violence-Global'!$B31,'Fractional-Calorimetry-Data'!$J$4:$J$368,100)</f>
        <v>13118.7600142169</v>
      </c>
      <c r="F31" s="27">
        <f>_xlfn.MAXIFS('Fractional-Calorimetry-Data'!$BM$4:$BM$368,'Fractional-Calorimetry-Data'!$B$4:$B$368,'V&amp;V-Violence-Global'!$B31,'Fractional-Calorimetry-Data'!$J$4:$J$368,100)</f>
        <v>313.659838522046</v>
      </c>
      <c r="G31" s="27">
        <f>_xlfn.MAXIFS('Fractional-Calorimetry-Data'!$AU$4:$AU$368,'Fractional-Calorimetry-Data'!$B$4:$B$368,'V&amp;V-Violence-Global'!$B31,'Fractional-Calorimetry-Data'!$J$4:$J$368,100)</f>
        <v>77.5029887017917</v>
      </c>
      <c r="H31" s="27">
        <v>0</v>
      </c>
      <c r="I31" s="27">
        <v>0</v>
      </c>
      <c r="J31" s="27">
        <v>0</v>
      </c>
      <c r="K31" s="27">
        <v>0</v>
      </c>
      <c r="L31" s="27">
        <v>0</v>
      </c>
    </row>
    <row r="32" spans="2:12">
      <c r="B32" s="15" t="s">
        <v>1333</v>
      </c>
      <c r="C32" s="30">
        <f t="shared" ref="C32:L32" si="0">MIN(C4:C31)</f>
        <v>1.18994106490576</v>
      </c>
      <c r="D32" s="30">
        <f t="shared" si="0"/>
        <v>32.8352337450094</v>
      </c>
      <c r="E32" s="30">
        <f t="shared" si="0"/>
        <v>13118.7600142169</v>
      </c>
      <c r="F32" s="30">
        <f t="shared" si="0"/>
        <v>313.659838522046</v>
      </c>
      <c r="G32" s="30">
        <f t="shared" si="0"/>
        <v>27.9166666666667</v>
      </c>
      <c r="H32" s="30">
        <f t="shared" si="0"/>
        <v>0</v>
      </c>
      <c r="I32" s="30">
        <f t="shared" si="0"/>
        <v>0</v>
      </c>
      <c r="J32" s="30">
        <f t="shared" si="0"/>
        <v>0</v>
      </c>
      <c r="K32" s="30">
        <f t="shared" si="0"/>
        <v>0</v>
      </c>
      <c r="L32" s="30">
        <f t="shared" si="0"/>
        <v>0</v>
      </c>
    </row>
    <row r="33" spans="1:13">
      <c r="B33" s="15" t="s">
        <v>1334</v>
      </c>
      <c r="C33" s="30">
        <f t="shared" ref="C33:L33" si="1">MAX(C4:C31)</f>
        <v>2.19542562252072</v>
      </c>
      <c r="D33" s="30">
        <f t="shared" si="1"/>
        <v>110.833034304706</v>
      </c>
      <c r="E33" s="30">
        <f t="shared" si="1"/>
        <v>325892.476326766</v>
      </c>
      <c r="F33" s="30">
        <f t="shared" si="1"/>
        <v>7791.84781102997</v>
      </c>
      <c r="G33" s="30">
        <f t="shared" si="1"/>
        <v>96.2331043651673</v>
      </c>
      <c r="H33" s="30">
        <f t="shared" si="1"/>
        <v>0</v>
      </c>
      <c r="I33" s="30">
        <f t="shared" si="1"/>
        <v>0</v>
      </c>
      <c r="J33" s="30">
        <f t="shared" si="1"/>
        <v>0</v>
      </c>
      <c r="K33" s="30">
        <f t="shared" si="1"/>
        <v>0</v>
      </c>
      <c r="L33" s="30">
        <f t="shared" si="1"/>
        <v>0</v>
      </c>
    </row>
    <row r="34" customFormat="1" ht="35.1" customHeight="1" spans="1:13">
      <c r="A34" s="2"/>
      <c r="B34" s="2"/>
      <c r="C34" s="27"/>
      <c r="D34" s="27"/>
      <c r="E34" s="27"/>
      <c r="F34" s="27"/>
      <c r="G34" s="27"/>
      <c r="H34" s="27"/>
      <c r="I34" s="27"/>
      <c r="J34" s="27"/>
      <c r="K34" s="27"/>
      <c r="L34" s="27"/>
      <c r="M34" s="2"/>
    </row>
    <row r="35" customFormat="1" ht="29.1" customHeight="1" spans="1:13">
      <c r="B35" s="4" t="s">
        <v>1335</v>
      </c>
      <c r="C35" s="4"/>
      <c r="D35" s="4"/>
      <c r="E35" s="28"/>
      <c r="F35" s="28"/>
      <c r="G35" s="28"/>
      <c r="H35" s="28"/>
      <c r="I35" s="28"/>
      <c r="J35" s="28"/>
      <c r="K35" s="28"/>
      <c r="L35" s="28"/>
    </row>
    <row r="36" spans="1:13">
      <c r="A36"/>
      <c r="B36" s="6" t="s">
        <v>46</v>
      </c>
      <c r="C36" s="8" t="s">
        <v>1328</v>
      </c>
      <c r="D36" s="8" t="s">
        <v>1329</v>
      </c>
      <c r="E36" s="8" t="s">
        <v>1344</v>
      </c>
      <c r="F36" s="8" t="s">
        <v>1345</v>
      </c>
      <c r="G36" s="8" t="s">
        <v>1332</v>
      </c>
      <c r="H36" s="8" t="s">
        <v>1370</v>
      </c>
      <c r="I36" s="8" t="s">
        <v>1371</v>
      </c>
      <c r="J36" s="8" t="s">
        <v>1372</v>
      </c>
      <c r="K36" s="8" t="s">
        <v>1373</v>
      </c>
      <c r="L36" s="8" t="s">
        <v>1374</v>
      </c>
      <c r="M36"/>
    </row>
    <row r="37" spans="1:13">
      <c r="B37" s="13" t="s">
        <v>133</v>
      </c>
      <c r="C37" s="27" cm="1">
        <f t="array" ref="C37">TREND($B$68:$B$118,C$68:C$118,C4)</f>
        <v>3.6929281744344</v>
      </c>
      <c r="D37" s="27" cm="1">
        <f t="array" ref="D37">TREND($B$68:$B$118,D$68:D$118,D4)</f>
        <v>4.20966911868898</v>
      </c>
      <c r="E37" s="27" cm="1">
        <f t="array" ref="E37">TREND($B$68:$B$118,E$68:E$118,E4)</f>
        <v>0.928797593217183</v>
      </c>
      <c r="F37" s="27" cm="1">
        <f t="array" ref="F37">TREND($B$68:$B$118,F$68:F$118,F4)</f>
        <v>0.888987709166426</v>
      </c>
      <c r="G37" s="27" cm="1">
        <f t="array" ref="G37">TREND($B$68:$B$118,G$68:G$118,G4)</f>
        <v>7.58935500365304</v>
      </c>
      <c r="H37" s="27">
        <v>0</v>
      </c>
      <c r="I37" s="27">
        <v>0</v>
      </c>
      <c r="J37" s="27">
        <v>0</v>
      </c>
      <c r="K37" s="27">
        <v>0</v>
      </c>
      <c r="L37" s="27">
        <v>0</v>
      </c>
    </row>
    <row r="38" spans="1:13">
      <c r="B38" s="13" t="s">
        <v>136</v>
      </c>
      <c r="C38" s="27" cm="1">
        <f t="array" ref="C38">TREND($B$68:$B$118,C$68:C$118,C5)</f>
        <v>4.51149025521044</v>
      </c>
      <c r="D38" s="27" cm="1">
        <f t="array" ref="D38">TREND($B$68:$B$118,D$68:D$118,D5)</f>
        <v>9.35251797683557</v>
      </c>
      <c r="E38" s="27" cm="1">
        <f t="array" ref="E38">TREND($B$68:$B$118,E$68:E$118,E5)</f>
        <v>1.94431408296734</v>
      </c>
      <c r="F38" s="27" cm="1">
        <f t="array" ref="F38">TREND($B$68:$B$118,F$68:F$118,F5)</f>
        <v>1.19549968738155</v>
      </c>
      <c r="G38" s="27" cm="1">
        <f t="array" ref="G38">TREND($B$68:$B$118,G$68:G$118,G5)</f>
        <v>4.62037217678211</v>
      </c>
      <c r="H38" s="27">
        <v>0</v>
      </c>
      <c r="I38" s="27">
        <v>0</v>
      </c>
      <c r="J38" s="27">
        <v>0</v>
      </c>
      <c r="K38" s="27">
        <v>0</v>
      </c>
      <c r="L38" s="27">
        <v>0</v>
      </c>
    </row>
    <row r="39" spans="1:13">
      <c r="B39" s="14" t="s">
        <v>139</v>
      </c>
      <c r="C39" s="27" cm="1">
        <f t="array" ref="C39">TREND($B$68:$B$118,C$68:C$118,C6)</f>
        <v>4.95705308285797</v>
      </c>
      <c r="D39" s="27" cm="1">
        <f t="array" ref="D39">TREND($B$68:$B$118,D$68:D$118,D6)</f>
        <v>5.51483325940817</v>
      </c>
      <c r="E39" s="27" cm="1">
        <f t="array" ref="E39">TREND($B$68:$B$118,E$68:E$118,E6)</f>
        <v>2.79812557652181</v>
      </c>
      <c r="F39" s="27" cm="1">
        <f t="array" ref="F39">TREND($B$68:$B$118,F$68:F$118,F6)</f>
        <v>2.79818305493144</v>
      </c>
      <c r="G39" s="27" cm="1">
        <f t="array" ref="G39">TREND($B$68:$B$118,G$68:G$118,G6)</f>
        <v>7.55472444868322</v>
      </c>
      <c r="H39" s="27">
        <v>0</v>
      </c>
      <c r="I39" s="27">
        <v>0</v>
      </c>
      <c r="J39" s="27">
        <v>0</v>
      </c>
      <c r="K39" s="27">
        <v>0</v>
      </c>
      <c r="L39" s="27">
        <v>0</v>
      </c>
    </row>
    <row r="40" spans="1:13">
      <c r="B40" s="14" t="s">
        <v>32</v>
      </c>
      <c r="C40" s="27" cm="1">
        <f t="array" ref="C40">TREND($B$68:$B$118,C$68:C$118,C7)</f>
        <v>6.73481519664275</v>
      </c>
      <c r="D40" s="27" cm="1">
        <f t="array" ref="D40">TREND($B$68:$B$118,D$68:D$118,D7)</f>
        <v>6.7468265095154</v>
      </c>
      <c r="E40" s="27" cm="1">
        <f t="array" ref="E40">TREND($B$68:$B$118,E$68:E$118,E7)</f>
        <v>1.37018784443979</v>
      </c>
      <c r="F40" s="27" cm="1">
        <f t="array" ref="F40">TREND($B$68:$B$118,F$68:F$118,F7)</f>
        <v>1.37028259817676</v>
      </c>
      <c r="G40" s="27" cm="1">
        <f t="array" ref="G40">TREND($B$68:$B$118,G$68:G$118,G7)</f>
        <v>5.76443181519894</v>
      </c>
      <c r="H40" s="27">
        <v>0</v>
      </c>
      <c r="I40" s="27">
        <v>0</v>
      </c>
      <c r="J40" s="27">
        <v>0</v>
      </c>
      <c r="K40" s="27">
        <v>0</v>
      </c>
      <c r="L40" s="27">
        <v>0</v>
      </c>
    </row>
    <row r="41" spans="1:13">
      <c r="B41" s="14" t="s">
        <v>34</v>
      </c>
      <c r="C41" s="27" cm="1">
        <f t="array" ref="C41">TREND($B$68:$B$118,C$68:C$118,C8)</f>
        <v>7.97445709354064</v>
      </c>
      <c r="D41" s="27" cm="1">
        <f t="array" ref="D41">TREND($B$68:$B$118,D$68:D$118,D8)</f>
        <v>7.60590120667885</v>
      </c>
      <c r="E41" s="27" cm="1">
        <f t="array" ref="E41">TREND($B$68:$B$118,E$68:E$118,E8)</f>
        <v>3.60490615477121</v>
      </c>
      <c r="F41" s="27" cm="1">
        <f t="array" ref="F41">TREND($B$68:$B$118,F$68:F$118,F8)</f>
        <v>3.60494257273159</v>
      </c>
      <c r="G41" s="27" cm="1">
        <f t="array" ref="G41">TREND($B$68:$B$118,G$68:G$118,G8)</f>
        <v>5.98908951515771</v>
      </c>
      <c r="H41" s="27">
        <v>0</v>
      </c>
      <c r="I41" s="27">
        <v>0</v>
      </c>
      <c r="J41" s="27">
        <v>0</v>
      </c>
      <c r="K41" s="27">
        <v>0</v>
      </c>
      <c r="L41" s="27">
        <v>0</v>
      </c>
    </row>
    <row r="42" spans="1:13">
      <c r="B42" s="14" t="s">
        <v>28</v>
      </c>
      <c r="C42" s="27" cm="1">
        <f t="array" ref="C42">TREND($B$68:$B$118,C$68:C$118,C9)</f>
        <v>3.3327429267671</v>
      </c>
      <c r="D42" s="27" cm="1">
        <f t="array" ref="D42">TREND($B$68:$B$118,D$68:D$118,D9)</f>
        <v>4.38918257033807</v>
      </c>
      <c r="E42" s="27" cm="1">
        <f t="array" ref="E42">TREND($B$68:$B$118,E$68:E$118,E9)</f>
        <v>1.18581638903301</v>
      </c>
      <c r="F42" s="27" cm="1">
        <f t="array" ref="F42">TREND($B$68:$B$118,F$68:F$118,F9)</f>
        <v>1.18591595565937</v>
      </c>
      <c r="G42" s="27" cm="1">
        <f t="array" ref="G42">TREND($B$68:$B$118,G$68:G$118,G9)</f>
        <v>6.05107576010762</v>
      </c>
      <c r="H42" s="27">
        <v>0</v>
      </c>
      <c r="I42" s="27">
        <v>0</v>
      </c>
      <c r="J42" s="27">
        <v>0</v>
      </c>
      <c r="K42" s="27">
        <v>0</v>
      </c>
      <c r="L42" s="27">
        <v>0</v>
      </c>
    </row>
    <row r="43" spans="1:13">
      <c r="B43" s="14" t="s">
        <v>30</v>
      </c>
      <c r="C43" s="27" cm="1">
        <f t="array" ref="C43">TREND($B$68:$B$118,C$68:C$118,C10)</f>
        <v>5.2249944459382</v>
      </c>
      <c r="D43" s="27" cm="1">
        <f t="array" ref="D43">TREND($B$68:$B$118,D$68:D$118,D10)</f>
        <v>5.70051724275991</v>
      </c>
      <c r="E43" s="27" cm="1">
        <f t="array" ref="E43">TREND($B$68:$B$118,E$68:E$118,E10)</f>
        <v>1.43202751539822</v>
      </c>
      <c r="F43" s="27" cm="1">
        <f t="array" ref="F43">TREND($B$68:$B$118,F$68:F$118,F10)</f>
        <v>1.43212065485333</v>
      </c>
      <c r="G43" s="27" cm="1">
        <f t="array" ref="G43">TREND($B$68:$B$118,G$68:G$118,G10)</f>
        <v>4.17482095183974</v>
      </c>
      <c r="H43" s="27">
        <v>0</v>
      </c>
      <c r="I43" s="27">
        <v>0</v>
      </c>
      <c r="J43" s="27">
        <v>0</v>
      </c>
      <c r="K43" s="27">
        <v>0</v>
      </c>
      <c r="L43" s="27">
        <v>0</v>
      </c>
    </row>
    <row r="44" spans="1:13">
      <c r="B44" s="14" t="s">
        <v>140</v>
      </c>
      <c r="C44" s="27" cm="1">
        <f t="array" ref="C44">TREND($B$68:$B$118,C$68:C$118,C11)</f>
        <v>9.17045805880874</v>
      </c>
      <c r="D44" s="27" cm="1">
        <f t="array" ref="D44">TREND($B$68:$B$118,D$68:D$118,D11)</f>
        <v>8.6498117891438</v>
      </c>
      <c r="E44" s="27" cm="1">
        <f t="array" ref="E44">TREND($B$68:$B$118,E$68:E$118,E11)</f>
        <v>9.99999680280244</v>
      </c>
      <c r="F44" s="27" cm="1">
        <f t="array" ref="F44">TREND($B$68:$B$118,F$68:F$118,F11)</f>
        <v>9.9998662813425</v>
      </c>
      <c r="G44" s="27" cm="1">
        <f t="array" ref="G44">TREND($B$68:$B$118,G$68:G$118,G11)</f>
        <v>8.17513613504772</v>
      </c>
      <c r="H44" s="27">
        <v>0</v>
      </c>
      <c r="I44" s="27">
        <v>0</v>
      </c>
      <c r="J44" s="27">
        <v>0</v>
      </c>
      <c r="K44" s="27">
        <v>0</v>
      </c>
      <c r="L44" s="27">
        <v>0</v>
      </c>
    </row>
    <row r="45" spans="1:13">
      <c r="B45" s="14" t="s">
        <v>144</v>
      </c>
      <c r="C45" s="27" cm="1">
        <f t="array" ref="C45">TREND($B$68:$B$118,C$68:C$118,C12)</f>
        <v>4.99093753594864</v>
      </c>
      <c r="D45" s="27" cm="1">
        <f t="array" ref="D45">TREND($B$68:$B$118,D$68:D$118,D12)</f>
        <v>9.98721191653929</v>
      </c>
      <c r="E45" s="27" cm="1">
        <f t="array" ref="E45">TREND($B$68:$B$118,E$68:E$118,E12)</f>
        <v>7.7010216485344</v>
      </c>
      <c r="F45" s="27" cm="1">
        <f t="array" ref="F45">TREND($B$68:$B$118,F$68:F$118,F12)</f>
        <v>5.82829455264083</v>
      </c>
      <c r="G45" s="27" cm="1">
        <f t="array" ref="G45">TREND($B$68:$B$118,G$68:G$118,G12)</f>
        <v>7.42044249797754</v>
      </c>
      <c r="H45" s="27">
        <v>0</v>
      </c>
      <c r="I45" s="27">
        <v>0</v>
      </c>
      <c r="J45" s="27">
        <v>0</v>
      </c>
      <c r="K45" s="27">
        <v>0</v>
      </c>
      <c r="L45" s="27">
        <v>0</v>
      </c>
    </row>
    <row r="46" spans="1:13">
      <c r="B46" s="14" t="s">
        <v>145</v>
      </c>
      <c r="C46" s="27" cm="1">
        <f t="array" ref="C46">TREND($B$68:$B$118,C$68:C$118,C13)</f>
        <v>1.14496143062525</v>
      </c>
      <c r="D46" s="27" cm="1">
        <f t="array" ref="D46">TREND($B$68:$B$118,D$68:D$118,D13)</f>
        <v>0.771075080212181</v>
      </c>
      <c r="E46" s="27" cm="1">
        <f t="array" ref="E46">TREND($B$68:$B$118,E$68:E$118,E13)</f>
        <v>0.393939862569956</v>
      </c>
      <c r="F46" s="27" cm="1">
        <f t="array" ref="F46">TREND($B$68:$B$118,F$68:F$118,F13)</f>
        <v>0.394060100585595</v>
      </c>
      <c r="G46" s="27" cm="1">
        <f t="array" ref="G46">TREND($B$68:$B$118,G$68:G$118,G13)</f>
        <v>0.014595037827279</v>
      </c>
      <c r="H46" s="27">
        <v>0</v>
      </c>
      <c r="I46" s="27">
        <v>0</v>
      </c>
      <c r="J46" s="27">
        <v>0</v>
      </c>
      <c r="K46" s="27">
        <v>0</v>
      </c>
      <c r="L46" s="27">
        <v>0</v>
      </c>
    </row>
    <row r="47" spans="1:13">
      <c r="B47" s="14" t="s">
        <v>24</v>
      </c>
      <c r="C47" s="27" cm="1">
        <f t="array" ref="C47">TREND($B$68:$B$118,C$68:C$118,C14)</f>
        <v>3.54839111479785</v>
      </c>
      <c r="D47" s="27" cm="1">
        <f t="array" ref="D47">TREND($B$68:$B$118,D$68:D$118,D14)</f>
        <v>1.94071209848274</v>
      </c>
      <c r="E47" s="27" cm="1">
        <f t="array" ref="E47">TREND($B$68:$B$118,E$68:E$118,E14)</f>
        <v>0.161507623931322</v>
      </c>
      <c r="F47" s="27" cm="1">
        <f t="array" ref="F47">TREND($B$68:$B$118,F$68:F$118,F14)</f>
        <v>0.161633929429866</v>
      </c>
      <c r="G47" s="27" cm="1">
        <f t="array" ref="G47">TREND($B$68:$B$118,G$68:G$118,G14)</f>
        <v>0.288251997088754</v>
      </c>
      <c r="H47" s="27">
        <v>0</v>
      </c>
      <c r="I47" s="27">
        <v>0</v>
      </c>
      <c r="J47" s="27">
        <v>0</v>
      </c>
      <c r="K47" s="27">
        <v>0</v>
      </c>
      <c r="L47" s="27">
        <v>0</v>
      </c>
    </row>
    <row r="48" spans="1:13">
      <c r="B48" s="14" t="s">
        <v>26</v>
      </c>
      <c r="C48" s="27" cm="1">
        <f t="array" ref="C48">TREND($B$68:$B$118,C$68:C$118,C15)</f>
        <v>2.93618585271929</v>
      </c>
      <c r="D48" s="27" cm="1">
        <f t="array" ref="D48">TREND($B$68:$B$118,D$68:D$118,D15)</f>
        <v>1.64278037948026</v>
      </c>
      <c r="E48" s="27" cm="1">
        <f t="array" ref="E48">TREND($B$68:$B$118,E$68:E$118,E15)</f>
        <v>0.368531337064145</v>
      </c>
      <c r="F48" s="27" cm="1">
        <f t="array" ref="F48">TREND($B$68:$B$118,F$68:F$118,F15)</f>
        <v>0.368652238351778</v>
      </c>
      <c r="G48" s="27" cm="1">
        <f t="array" ref="G48">TREND($B$68:$B$118,G$68:G$118,G15)</f>
        <v>0.227439339475094</v>
      </c>
      <c r="H48" s="27">
        <v>0</v>
      </c>
      <c r="I48" s="27">
        <v>0</v>
      </c>
      <c r="J48" s="27">
        <v>0</v>
      </c>
      <c r="K48" s="27">
        <v>0</v>
      </c>
      <c r="L48" s="27">
        <v>0</v>
      </c>
    </row>
    <row r="49" spans="2:12">
      <c r="B49" s="14" t="s">
        <v>146</v>
      </c>
      <c r="C49" s="27" cm="1">
        <f t="array" ref="C49">TREND($B$68:$B$118,C$68:C$118,C16)</f>
        <v>3.96189835476345</v>
      </c>
      <c r="D49" s="27" cm="1">
        <f t="array" ref="D49">TREND($B$68:$B$118,D$68:D$118,D16)</f>
        <v>4.90659094393415</v>
      </c>
      <c r="E49" s="27" cm="1">
        <f t="array" ref="E49">TREND($B$68:$B$118,E$68:E$118,E16)</f>
        <v>0.717233333452255</v>
      </c>
      <c r="F49" s="27" cm="1">
        <f t="array" ref="F49">TREND($B$68:$B$118,F$68:F$118,F16)</f>
        <v>0.717345132115335</v>
      </c>
      <c r="G49" s="27" cm="1">
        <f t="array" ref="G49">TREND($B$68:$B$118,G$68:G$118,G16)</f>
        <v>9.98540496217271</v>
      </c>
      <c r="H49" s="27">
        <v>0</v>
      </c>
      <c r="I49" s="27">
        <v>0</v>
      </c>
      <c r="J49" s="27">
        <v>0</v>
      </c>
      <c r="K49" s="27">
        <v>0</v>
      </c>
      <c r="L49" s="27">
        <v>0</v>
      </c>
    </row>
    <row r="50" spans="2:12">
      <c r="B50" s="14" t="s">
        <v>147</v>
      </c>
      <c r="C50" s="27" cm="1">
        <f t="array" ref="C50">TREND($B$68:$B$118,C$68:C$118,C17)</f>
        <v>7.13429604888252</v>
      </c>
      <c r="D50" s="27" cm="1">
        <f t="array" ref="D50">TREND($B$68:$B$118,D$68:D$118,D17)</f>
        <v>4.86270162282462</v>
      </c>
      <c r="E50" s="27" cm="1">
        <f t="array" ref="E50">TREND($B$68:$B$118,E$68:E$118,E17)</f>
        <v>0.711746865112303</v>
      </c>
      <c r="F50" s="27" cm="1">
        <f t="array" ref="F50">TREND($B$68:$B$118,F$68:F$118,F17)</f>
        <v>0.177538119668998</v>
      </c>
      <c r="G50" s="27" cm="1">
        <f t="array" ref="G50">TREND($B$68:$B$118,G$68:G$118,G17)</f>
        <v>5.37400312032184</v>
      </c>
      <c r="H50" s="27">
        <v>0</v>
      </c>
      <c r="I50" s="27">
        <v>0</v>
      </c>
      <c r="J50" s="27">
        <v>0</v>
      </c>
      <c r="K50" s="27">
        <v>0</v>
      </c>
      <c r="L50" s="27">
        <v>0</v>
      </c>
    </row>
    <row r="51" spans="2:12">
      <c r="B51" s="14" t="s">
        <v>148</v>
      </c>
      <c r="C51" s="27" cm="1">
        <f t="array" ref="C51">TREND($B$68:$B$118,C$68:C$118,C18)</f>
        <v>3.43130967266261</v>
      </c>
      <c r="D51" s="27" cm="1">
        <f t="array" ref="D51">TREND($B$68:$B$118,D$68:D$118,D18)</f>
        <v>3.78798916427608</v>
      </c>
      <c r="E51" s="27" cm="1">
        <f t="array" ref="E51">TREND($B$68:$B$118,E$68:E$118,E18)</f>
        <v>0.751933473511802</v>
      </c>
      <c r="F51" s="27" cm="1">
        <f t="array" ref="F51">TREND($B$68:$B$118,F$68:F$118,F18)</f>
        <v>0.736050046754875</v>
      </c>
      <c r="G51" s="27" cm="1">
        <f t="array" ref="G51">TREND($B$68:$B$118,G$68:G$118,G18)</f>
        <v>4.69716967407919</v>
      </c>
      <c r="H51" s="27">
        <v>0</v>
      </c>
      <c r="I51" s="27">
        <v>0</v>
      </c>
      <c r="J51" s="27">
        <v>0</v>
      </c>
      <c r="K51" s="27">
        <v>0</v>
      </c>
      <c r="L51" s="27">
        <v>0</v>
      </c>
    </row>
    <row r="52" spans="2:12">
      <c r="B52" s="13" t="s">
        <v>152</v>
      </c>
      <c r="C52" s="27" cm="1">
        <f t="array" ref="C52">TREND($B$68:$B$118,C$68:C$118,C19)</f>
        <v>4.44416975658771</v>
      </c>
      <c r="D52" s="27" cm="1">
        <f t="array" ref="D52">TREND($B$68:$B$118,D$68:D$118,D19)</f>
        <v>7.9381206744607</v>
      </c>
      <c r="E52" s="27" cm="1">
        <f t="array" ref="E52">TREND($B$68:$B$118,E$68:E$118,E19)</f>
        <v>1.15038816875782</v>
      </c>
      <c r="F52" s="27" cm="1">
        <f t="array" ref="F52">TREND($B$68:$B$118,F$68:F$118,F19)</f>
        <v>1.15048866021337</v>
      </c>
      <c r="G52" s="27" cm="1">
        <f t="array" ref="G52">TREND($B$68:$B$118,G$68:G$118,G19)</f>
        <v>1.590876061188</v>
      </c>
      <c r="H52" s="27">
        <v>0</v>
      </c>
      <c r="I52" s="27">
        <v>0</v>
      </c>
      <c r="J52" s="27">
        <v>0</v>
      </c>
      <c r="K52" s="27">
        <v>0</v>
      </c>
      <c r="L52" s="27">
        <v>0</v>
      </c>
    </row>
    <row r="53" spans="2:12">
      <c r="B53" s="14" t="s">
        <v>156</v>
      </c>
      <c r="C53" s="27" cm="1">
        <f t="array" ref="C53">TREND($B$68:$B$118,C$68:C$118,C20)</f>
        <v>3.43577467374346</v>
      </c>
      <c r="D53" s="27" cm="1">
        <f t="array" ref="D53">TREND($B$68:$B$118,D$68:D$118,D20)</f>
        <v>2.34915765488256</v>
      </c>
      <c r="E53" s="27" cm="1">
        <f t="array" ref="E53">TREND($B$68:$B$118,E$68:E$118,E20)</f>
        <v>0.397536504765712</v>
      </c>
      <c r="F53" s="27" cm="1">
        <f t="array" ref="F53">TREND($B$68:$B$118,F$68:F$118,F20)</f>
        <v>0.397656648893493</v>
      </c>
      <c r="G53" s="27" cm="1">
        <f t="array" ref="G53">TREND($B$68:$B$118,G$68:G$118,G20)</f>
        <v>7.16233748573808</v>
      </c>
      <c r="H53" s="27">
        <v>0</v>
      </c>
      <c r="I53" s="27">
        <v>0</v>
      </c>
      <c r="J53" s="27">
        <v>0</v>
      </c>
      <c r="K53" s="27">
        <v>0</v>
      </c>
      <c r="L53" s="27">
        <v>0</v>
      </c>
    </row>
    <row r="54" spans="2:12">
      <c r="B54" s="14" t="s">
        <v>157</v>
      </c>
      <c r="C54" s="27" cm="1">
        <f t="array" ref="C54">TREND($B$68:$B$118,C$68:C$118,C21)</f>
        <v>8.33347405879169</v>
      </c>
      <c r="D54" s="27" cm="1">
        <f t="array" ref="D54">TREND($B$68:$B$118,D$68:D$118,D21)</f>
        <v>6.22780100542546</v>
      </c>
      <c r="E54" s="27" cm="1">
        <f t="array" ref="E54">TREND($B$68:$B$118,E$68:E$118,E21)</f>
        <v>3.02385028387377</v>
      </c>
      <c r="F54" s="27" cm="1">
        <f t="array" ref="F54">TREND($B$68:$B$118,F$68:F$118,F21)</f>
        <v>3.02390186989596</v>
      </c>
      <c r="G54" s="27" cm="1">
        <f t="array" ref="G54">TREND($B$68:$B$118,G$68:G$118,G21)</f>
        <v>8.29198147714407</v>
      </c>
      <c r="H54" s="27">
        <v>0</v>
      </c>
      <c r="I54" s="27">
        <v>0</v>
      </c>
      <c r="J54" s="27">
        <v>0</v>
      </c>
      <c r="K54" s="27">
        <v>0</v>
      </c>
      <c r="L54" s="27">
        <v>0</v>
      </c>
    </row>
    <row r="55" spans="2:12">
      <c r="B55" s="14" t="s">
        <v>1375</v>
      </c>
      <c r="C55" s="27" cm="1">
        <f t="array" ref="C55">TREND($B$68:$B$118,C$68:C$118,C22)</f>
        <v>2.78259037347208</v>
      </c>
      <c r="D55" s="27" cm="1">
        <f t="array" ref="D55">TREND($B$68:$B$118,D$68:D$118,D22)</f>
        <v>0.892800032785811</v>
      </c>
      <c r="E55" s="27" cm="1">
        <f t="array" ref="E55">TREND($B$68:$B$118,E$68:E$118,E22)</f>
        <v>0.215481741026216</v>
      </c>
      <c r="F55" s="27" cm="1">
        <f t="array" ref="F55">TREND($B$68:$B$118,F$68:F$118,F22)</f>
        <v>0.215606637567747</v>
      </c>
      <c r="G55" s="27" cm="1">
        <f t="array" ref="G55">TREND($B$68:$B$118,G$68:G$118,G22)</f>
        <v>2.2242679579771</v>
      </c>
      <c r="H55" s="27">
        <v>0</v>
      </c>
      <c r="I55" s="27">
        <v>0</v>
      </c>
      <c r="J55" s="27">
        <v>0</v>
      </c>
      <c r="K55" s="27">
        <v>0</v>
      </c>
      <c r="L55" s="27">
        <v>0</v>
      </c>
    </row>
    <row r="56" spans="2:12">
      <c r="B56" s="14" t="s">
        <v>160</v>
      </c>
      <c r="C56" s="27" cm="1">
        <f t="array" ref="C56">TREND($B$68:$B$118,C$68:C$118,C23)</f>
        <v>4.58333213040511</v>
      </c>
      <c r="D56" s="27" cm="1">
        <f t="array" ref="D56">TREND($B$68:$B$118,D$68:D$118,D23)</f>
        <v>4.33395970626417</v>
      </c>
      <c r="E56" s="27" cm="1">
        <f t="array" ref="E56">TREND($B$68:$B$118,E$68:E$118,E23)</f>
        <v>0.645650472826463</v>
      </c>
      <c r="F56" s="27" cm="1">
        <f t="array" ref="F56">TREND($B$68:$B$118,F$68:F$118,F23)</f>
        <v>0.645764140110633</v>
      </c>
      <c r="G56" s="27" cm="1">
        <f t="array" ref="G56">TREND($B$68:$B$118,G$68:G$118,G23)</f>
        <v>8.44789331994342</v>
      </c>
      <c r="H56" s="27">
        <v>0</v>
      </c>
      <c r="I56" s="27">
        <v>0</v>
      </c>
      <c r="J56" s="27">
        <v>0</v>
      </c>
      <c r="K56" s="27">
        <v>0</v>
      </c>
      <c r="L56" s="27">
        <v>0</v>
      </c>
    </row>
    <row r="57" spans="2:12">
      <c r="B57" s="14" t="s">
        <v>162</v>
      </c>
      <c r="C57" s="27" cm="1">
        <f t="array" ref="C57">TREND($B$68:$B$118,C$68:C$118,C24)</f>
        <v>5.35015462094641</v>
      </c>
      <c r="D57" s="27" cm="1">
        <f t="array" ref="D57">TREND($B$68:$B$118,D$68:D$118,D24)</f>
        <v>5.95721580079926</v>
      </c>
      <c r="E57" s="27" cm="1">
        <f t="array" ref="E57">TREND($B$68:$B$118,E$68:E$118,E24)</f>
        <v>1.63857193549029</v>
      </c>
      <c r="F57" s="27" cm="1">
        <f t="array" ref="F57">TREND($B$68:$B$118,F$68:F$118,F24)</f>
        <v>1.6386596832461</v>
      </c>
      <c r="G57" s="27" cm="1">
        <f t="array" ref="G57">TREND($B$68:$B$118,G$68:G$118,G24)</f>
        <v>7.25738255961432</v>
      </c>
      <c r="H57" s="27">
        <v>0</v>
      </c>
      <c r="I57" s="27">
        <v>0</v>
      </c>
      <c r="J57" s="27">
        <v>0</v>
      </c>
      <c r="K57" s="27">
        <v>0</v>
      </c>
      <c r="L57" s="27">
        <v>0</v>
      </c>
    </row>
    <row r="58" spans="2:12">
      <c r="B58" s="13" t="s">
        <v>8</v>
      </c>
      <c r="C58" s="27" cm="1">
        <f t="array" ref="C58">TREND($B$68:$B$118,C$68:C$118,C25)</f>
        <v>4.34978621133549</v>
      </c>
      <c r="D58" s="27" cm="1">
        <f t="array" ref="D58">TREND($B$68:$B$118,D$68:D$118,D25)</f>
        <v>1.51024581892029</v>
      </c>
      <c r="E58" s="27" cm="1">
        <f t="array" ref="E58">TREND($B$68:$B$118,E$68:E$118,E25)</f>
        <v>0.292666729803094</v>
      </c>
      <c r="F58" s="27" cm="1">
        <f t="array" ref="F58">TREND($B$68:$B$118,F$68:F$118,F25)</f>
        <v>0.292789611483852</v>
      </c>
      <c r="G58" s="27" cm="1">
        <f t="array" ref="G58">TREND($B$68:$B$118,G$68:G$118,G25)</f>
        <v>6.86121547674475</v>
      </c>
      <c r="H58" s="27">
        <v>0</v>
      </c>
      <c r="I58" s="27">
        <v>0</v>
      </c>
      <c r="J58" s="27">
        <v>0</v>
      </c>
      <c r="K58" s="27">
        <v>0</v>
      </c>
      <c r="L58" s="27">
        <v>0</v>
      </c>
    </row>
    <row r="59" spans="2:12">
      <c r="B59" s="13" t="s">
        <v>10</v>
      </c>
      <c r="C59" s="27" cm="1">
        <f t="array" ref="C59">TREND($B$68:$B$118,C$68:C$118,C26)</f>
        <v>2.47049574193932</v>
      </c>
      <c r="D59" s="27" cm="1">
        <f t="array" ref="D59">TREND($B$68:$B$118,D$68:D$118,D26)</f>
        <v>0.710824575786646</v>
      </c>
      <c r="E59" s="27" cm="1">
        <f t="array" ref="E59">TREND($B$68:$B$118,E$68:E$118,E26)</f>
        <v>1.86717836250734</v>
      </c>
      <c r="F59" s="27" cm="1">
        <f t="array" ref="F59">TREND($B$68:$B$118,F$68:F$118,F26)</f>
        <v>1.86726014265042</v>
      </c>
      <c r="G59" s="27" cm="1">
        <f t="array" ref="G59">TREND($B$68:$B$118,G$68:G$118,G26)</f>
        <v>6.6974734700383</v>
      </c>
      <c r="H59" s="27">
        <v>0</v>
      </c>
      <c r="I59" s="27">
        <v>0</v>
      </c>
      <c r="J59" s="27">
        <v>0</v>
      </c>
      <c r="K59" s="27">
        <v>0</v>
      </c>
      <c r="L59" s="27">
        <v>0</v>
      </c>
    </row>
    <row r="60" spans="2:12">
      <c r="B60" s="13" t="s">
        <v>12</v>
      </c>
      <c r="C60" s="27" cm="1">
        <f t="array" ref="C60">TREND($B$68:$B$118,C$68:C$118,C27)</f>
        <v>3.40495112897272</v>
      </c>
      <c r="D60" s="27" cm="1">
        <f t="array" ref="D60">TREND($B$68:$B$118,D$68:D$118,D27)</f>
        <v>1.1083275160294</v>
      </c>
      <c r="E60" s="27" cm="1">
        <f t="array" ref="E60">TREND($B$68:$B$118,E$68:E$118,E27)</f>
        <v>0.242424165363439</v>
      </c>
      <c r="F60" s="27" cm="1">
        <f t="array" ref="F60">TREND($B$68:$B$118,F$68:F$118,F27)</f>
        <v>0.242548358591609</v>
      </c>
      <c r="G60" s="27" cm="1">
        <f t="array" ref="G60">TREND($B$68:$B$118,G$68:G$118,G27)</f>
        <v>3.42894259957988</v>
      </c>
      <c r="H60" s="27">
        <v>0</v>
      </c>
      <c r="I60" s="27">
        <v>0</v>
      </c>
      <c r="J60" s="27">
        <v>0</v>
      </c>
      <c r="K60" s="27">
        <v>0</v>
      </c>
      <c r="L60" s="27">
        <v>0</v>
      </c>
    </row>
    <row r="61" spans="2:12">
      <c r="B61" s="13" t="s">
        <v>14</v>
      </c>
      <c r="C61" s="27" cm="1">
        <f t="array" ref="C61">TREND($B$68:$B$118,C$68:C$118,C28)</f>
        <v>2.39142130870809</v>
      </c>
      <c r="D61" s="27" cm="1">
        <f t="array" ref="D61">TREND($B$68:$B$118,D$68:D$118,D28)</f>
        <v>0.67718752885685</v>
      </c>
      <c r="E61" s="27" cm="1">
        <f t="array" ref="E61">TREND($B$68:$B$118,E$68:E$118,E28)</f>
        <v>0.591251281374724</v>
      </c>
      <c r="F61" s="27" cm="1">
        <f t="array" ref="F61">TREND($B$68:$B$118,F$68:F$118,F28)</f>
        <v>0.59136636871218</v>
      </c>
      <c r="G61" s="27" cm="1">
        <f t="array" ref="G61">TREND($B$68:$B$118,G$68:G$118,G28)</f>
        <v>7.04202627887348</v>
      </c>
      <c r="H61" s="27">
        <v>0</v>
      </c>
      <c r="I61" s="27">
        <v>0</v>
      </c>
      <c r="J61" s="27">
        <v>0</v>
      </c>
      <c r="K61" s="27">
        <v>0</v>
      </c>
      <c r="L61" s="27">
        <v>0</v>
      </c>
    </row>
    <row r="62" spans="2:12">
      <c r="B62" s="13" t="s">
        <v>16</v>
      </c>
      <c r="C62" s="27" cm="1">
        <f t="array" ref="C62">TREND($B$68:$B$118,C$68:C$118,C29)</f>
        <v>2.11541171970803</v>
      </c>
      <c r="D62" s="27" cm="1">
        <f t="array" ref="D62">TREND($B$68:$B$118,D$68:D$118,D29)</f>
        <v>0.559777297523038</v>
      </c>
      <c r="E62" s="27" cm="1">
        <f t="array" ref="E62">TREND($B$68:$B$118,E$68:E$118,E29)</f>
        <v>0.173851598492367</v>
      </c>
      <c r="F62" s="27" cm="1">
        <f t="array" ref="F62">TREND($B$68:$B$118,F$68:F$118,F29)</f>
        <v>0.173977581759989</v>
      </c>
      <c r="G62" s="27" cm="1">
        <f t="array" ref="G62">TREND($B$68:$B$118,G$68:G$118,G29)</f>
        <v>7.58735958430523</v>
      </c>
      <c r="H62" s="27">
        <v>0</v>
      </c>
      <c r="I62" s="27">
        <v>0</v>
      </c>
      <c r="J62" s="27">
        <v>0</v>
      </c>
      <c r="K62" s="27">
        <v>0</v>
      </c>
      <c r="L62" s="27">
        <v>0</v>
      </c>
    </row>
    <row r="63" spans="2:12">
      <c r="B63" s="13" t="s">
        <v>18</v>
      </c>
      <c r="C63" s="27" cm="1">
        <f t="array" ref="C63">TREND($B$68:$B$118,C$68:C$118,C30)</f>
        <v>0.829541941191261</v>
      </c>
      <c r="D63" s="27" cm="1">
        <f t="array" ref="D63">TREND($B$68:$B$118,D$68:D$118,D30)</f>
        <v>0.0127880834607002</v>
      </c>
      <c r="E63" s="27" cm="1">
        <f t="array" ref="E63">TREND($B$68:$B$118,E$68:E$118,E30)</f>
        <v>0.10547416796071</v>
      </c>
      <c r="F63" s="27" cm="1">
        <f t="array" ref="F63">TREND($B$68:$B$118,F$68:F$118,F30)</f>
        <v>0.105601936173885</v>
      </c>
      <c r="G63" s="27" cm="1">
        <f t="array" ref="G63">TREND($B$68:$B$118,G$68:G$118,G30)</f>
        <v>7.28520669053204</v>
      </c>
      <c r="H63" s="27">
        <v>0</v>
      </c>
      <c r="I63" s="27">
        <v>0</v>
      </c>
      <c r="J63" s="27">
        <v>0</v>
      </c>
      <c r="K63" s="27">
        <v>0</v>
      </c>
      <c r="L63" s="27">
        <v>0</v>
      </c>
    </row>
    <row r="64" spans="2:12">
      <c r="B64" s="13" t="s">
        <v>20</v>
      </c>
      <c r="C64" s="27" cm="1">
        <f t="array" ref="C64">TREND($B$68:$B$118,C$68:C$118,C31)</f>
        <v>0.82975209713417</v>
      </c>
      <c r="D64" s="27" cm="1">
        <f t="array" ref="D64">TREND($B$68:$B$118,D$68:D$118,D31)</f>
        <v>0.0128774805644847</v>
      </c>
      <c r="E64" s="27" cm="1">
        <f t="array" ref="E64">TREND($B$68:$B$118,E$68:E$118,E31)</f>
        <v>3.19719755464964e-6</v>
      </c>
      <c r="F64" s="27" cm="1">
        <f t="array" ref="F64">TREND($B$68:$B$118,F$68:F$118,F31)</f>
        <v>0.000133718657507831</v>
      </c>
      <c r="G64" s="27" cm="1">
        <f t="array" ref="G64">TREND($B$68:$B$118,G$68:G$118,G31)</f>
        <v>7.25173749600999</v>
      </c>
      <c r="H64" s="27">
        <v>0</v>
      </c>
      <c r="I64" s="27">
        <v>0</v>
      </c>
      <c r="J64" s="27">
        <v>0</v>
      </c>
      <c r="K64" s="27">
        <v>0</v>
      </c>
      <c r="L64" s="27">
        <v>0</v>
      </c>
    </row>
    <row r="65" spans="2:12">
      <c r="B65" s="2" t="s">
        <v>1341</v>
      </c>
      <c r="C65" s="27">
        <v>10</v>
      </c>
      <c r="D65" s="27">
        <v>10</v>
      </c>
      <c r="E65" s="27">
        <v>10</v>
      </c>
      <c r="F65" s="27">
        <v>10</v>
      </c>
      <c r="G65" s="27">
        <v>10</v>
      </c>
      <c r="H65" s="27">
        <v>10</v>
      </c>
      <c r="I65" s="27">
        <v>10</v>
      </c>
      <c r="J65" s="27">
        <v>10</v>
      </c>
      <c r="K65" s="27">
        <v>10</v>
      </c>
      <c r="L65" s="27">
        <v>10</v>
      </c>
    </row>
    <row r="66" ht="30" spans="2:12">
      <c r="B66" s="19" t="s">
        <v>1342</v>
      </c>
      <c r="C66" s="31"/>
      <c r="D66" s="31"/>
      <c r="E66" s="31"/>
      <c r="F66" s="31"/>
      <c r="G66" s="31"/>
      <c r="H66" s="32"/>
      <c r="I66" s="33"/>
      <c r="J66" s="33"/>
      <c r="K66" s="33"/>
      <c r="L66" s="33"/>
    </row>
    <row r="67" spans="2:12">
      <c r="B67" s="22" t="s">
        <v>1343</v>
      </c>
      <c r="C67" s="8" t="s">
        <v>1328</v>
      </c>
      <c r="D67" s="8" t="s">
        <v>1329</v>
      </c>
      <c r="E67" s="8" t="s">
        <v>1344</v>
      </c>
      <c r="F67" s="8" t="s">
        <v>1345</v>
      </c>
      <c r="G67" s="8" t="s">
        <v>1332</v>
      </c>
      <c r="H67" s="8" t="s">
        <v>1370</v>
      </c>
      <c r="I67" s="8" t="s">
        <v>1371</v>
      </c>
      <c r="J67" s="8" t="s">
        <v>1372</v>
      </c>
      <c r="K67" s="8" t="s">
        <v>1373</v>
      </c>
      <c r="L67" s="8" t="s">
        <v>1374</v>
      </c>
    </row>
    <row r="68" spans="2:12">
      <c r="B68" s="3">
        <v>0</v>
      </c>
      <c r="C68" s="27">
        <f t="shared" ref="C68:L68" si="2">C$32-0.1</f>
        <v>1.08994106490576</v>
      </c>
      <c r="D68" s="27">
        <f t="shared" si="2"/>
        <v>32.7352337450094</v>
      </c>
      <c r="E68" s="27">
        <f t="shared" si="2"/>
        <v>13118.6600142169</v>
      </c>
      <c r="F68" s="27">
        <f t="shared" si="2"/>
        <v>313.559838522046</v>
      </c>
      <c r="G68" s="27">
        <f t="shared" si="2"/>
        <v>27.8166666666667</v>
      </c>
      <c r="H68" s="27">
        <f t="shared" si="2"/>
        <v>-0.1</v>
      </c>
      <c r="I68" s="27">
        <f t="shared" si="2"/>
        <v>-0.1</v>
      </c>
      <c r="J68" s="27">
        <f t="shared" si="2"/>
        <v>-0.1</v>
      </c>
      <c r="K68" s="27">
        <f t="shared" si="2"/>
        <v>-0.1</v>
      </c>
      <c r="L68" s="27">
        <f t="shared" si="2"/>
        <v>-0.1</v>
      </c>
    </row>
    <row r="69" spans="2:12">
      <c r="B69" s="3">
        <v>0.2</v>
      </c>
      <c r="C69" s="27">
        <f t="shared" ref="C69:L84" si="3">C68+(((C$33+0.1)-(C$32-0.1))/50)</f>
        <v>1.11405075605805</v>
      </c>
      <c r="D69" s="27">
        <f t="shared" si="3"/>
        <v>34.2991897562033</v>
      </c>
      <c r="E69" s="27">
        <f t="shared" si="3"/>
        <v>19374.1383404679</v>
      </c>
      <c r="F69" s="27">
        <f t="shared" si="3"/>
        <v>463.127597972205</v>
      </c>
      <c r="G69" s="27">
        <f t="shared" si="3"/>
        <v>29.1869954206367</v>
      </c>
      <c r="H69" s="27">
        <f t="shared" si="3"/>
        <v>-0.096</v>
      </c>
      <c r="I69" s="27">
        <f t="shared" si="3"/>
        <v>-0.096</v>
      </c>
      <c r="J69" s="27">
        <f t="shared" si="3"/>
        <v>-0.096</v>
      </c>
      <c r="K69" s="27">
        <f t="shared" si="3"/>
        <v>-0.096</v>
      </c>
      <c r="L69" s="27">
        <f t="shared" si="3"/>
        <v>-0.096</v>
      </c>
    </row>
    <row r="70" spans="2:12">
      <c r="B70" s="3">
        <f>B69+0.2</f>
        <v>0.4</v>
      </c>
      <c r="C70" s="27">
        <f t="shared" si="3"/>
        <v>1.13816044721035</v>
      </c>
      <c r="D70" s="27">
        <f t="shared" si="3"/>
        <v>35.8631457673973</v>
      </c>
      <c r="E70" s="27">
        <f t="shared" si="3"/>
        <v>25629.6166667189</v>
      </c>
      <c r="F70" s="27">
        <f t="shared" si="3"/>
        <v>612.695357422363</v>
      </c>
      <c r="G70" s="27">
        <f t="shared" si="3"/>
        <v>30.5573241746067</v>
      </c>
      <c r="H70" s="27">
        <f t="shared" si="3"/>
        <v>-0.092</v>
      </c>
      <c r="I70" s="27">
        <f t="shared" si="3"/>
        <v>-0.092</v>
      </c>
      <c r="J70" s="27">
        <f t="shared" si="3"/>
        <v>-0.092</v>
      </c>
      <c r="K70" s="27">
        <f t="shared" si="3"/>
        <v>-0.092</v>
      </c>
      <c r="L70" s="27">
        <f t="shared" si="3"/>
        <v>-0.092</v>
      </c>
    </row>
    <row r="71" spans="2:12">
      <c r="B71" s="3">
        <f t="shared" ref="B71:B118" si="4">B70+0.2</f>
        <v>0.6</v>
      </c>
      <c r="C71" s="27">
        <f t="shared" si="3"/>
        <v>1.16227013836265</v>
      </c>
      <c r="D71" s="27">
        <f t="shared" si="3"/>
        <v>37.4271017785912</v>
      </c>
      <c r="E71" s="27">
        <f t="shared" si="3"/>
        <v>31885.0949929698</v>
      </c>
      <c r="F71" s="27">
        <f t="shared" si="3"/>
        <v>762.263116872522</v>
      </c>
      <c r="G71" s="27">
        <f t="shared" si="3"/>
        <v>31.9276529285767</v>
      </c>
      <c r="H71" s="27">
        <f t="shared" si="3"/>
        <v>-0.088</v>
      </c>
      <c r="I71" s="27">
        <f t="shared" si="3"/>
        <v>-0.088</v>
      </c>
      <c r="J71" s="27">
        <f t="shared" si="3"/>
        <v>-0.088</v>
      </c>
      <c r="K71" s="27">
        <f t="shared" si="3"/>
        <v>-0.088</v>
      </c>
      <c r="L71" s="27">
        <f t="shared" si="3"/>
        <v>-0.088</v>
      </c>
    </row>
    <row r="72" spans="2:12">
      <c r="B72" s="3">
        <f t="shared" si="4"/>
        <v>0.8</v>
      </c>
      <c r="C72" s="27">
        <f t="shared" si="3"/>
        <v>1.18637982951495</v>
      </c>
      <c r="D72" s="27">
        <f t="shared" si="3"/>
        <v>38.9910577897851</v>
      </c>
      <c r="E72" s="27">
        <f t="shared" si="3"/>
        <v>38140.5733192208</v>
      </c>
      <c r="F72" s="27">
        <f t="shared" si="3"/>
        <v>911.83087632268</v>
      </c>
      <c r="G72" s="27">
        <f t="shared" si="3"/>
        <v>33.2979816825467</v>
      </c>
      <c r="H72" s="27">
        <f t="shared" si="3"/>
        <v>-0.084</v>
      </c>
      <c r="I72" s="27">
        <f t="shared" si="3"/>
        <v>-0.084</v>
      </c>
      <c r="J72" s="27">
        <f t="shared" si="3"/>
        <v>-0.084</v>
      </c>
      <c r="K72" s="27">
        <f t="shared" si="3"/>
        <v>-0.084</v>
      </c>
      <c r="L72" s="27">
        <f t="shared" si="3"/>
        <v>-0.084</v>
      </c>
    </row>
    <row r="73" spans="2:12">
      <c r="B73" s="3">
        <f t="shared" si="4"/>
        <v>1</v>
      </c>
      <c r="C73" s="27">
        <f t="shared" si="3"/>
        <v>1.21048952066725</v>
      </c>
      <c r="D73" s="27">
        <f t="shared" si="3"/>
        <v>40.5550138009791</v>
      </c>
      <c r="E73" s="27">
        <f t="shared" si="3"/>
        <v>44396.0516454718</v>
      </c>
      <c r="F73" s="27">
        <f t="shared" si="3"/>
        <v>1061.39863577284</v>
      </c>
      <c r="G73" s="27">
        <f t="shared" si="3"/>
        <v>34.6683104365167</v>
      </c>
      <c r="H73" s="27">
        <f t="shared" si="3"/>
        <v>-0.08</v>
      </c>
      <c r="I73" s="27">
        <f t="shared" si="3"/>
        <v>-0.08</v>
      </c>
      <c r="J73" s="27">
        <f t="shared" si="3"/>
        <v>-0.08</v>
      </c>
      <c r="K73" s="27">
        <f t="shared" si="3"/>
        <v>-0.08</v>
      </c>
      <c r="L73" s="27">
        <f t="shared" si="3"/>
        <v>-0.08</v>
      </c>
    </row>
    <row r="74" spans="2:12">
      <c r="B74" s="3">
        <f t="shared" si="4"/>
        <v>1.2</v>
      </c>
      <c r="C74" s="27">
        <f t="shared" si="3"/>
        <v>1.23459921181955</v>
      </c>
      <c r="D74" s="27">
        <f t="shared" si="3"/>
        <v>42.118969812173</v>
      </c>
      <c r="E74" s="27">
        <f t="shared" si="3"/>
        <v>50651.5299717228</v>
      </c>
      <c r="F74" s="27">
        <f t="shared" si="3"/>
        <v>1210.966395223</v>
      </c>
      <c r="G74" s="27">
        <f t="shared" si="3"/>
        <v>36.0386391904867</v>
      </c>
      <c r="H74" s="27">
        <f t="shared" si="3"/>
        <v>-0.076</v>
      </c>
      <c r="I74" s="27">
        <f t="shared" si="3"/>
        <v>-0.076</v>
      </c>
      <c r="J74" s="27">
        <f t="shared" si="3"/>
        <v>-0.076</v>
      </c>
      <c r="K74" s="27">
        <f t="shared" si="3"/>
        <v>-0.076</v>
      </c>
      <c r="L74" s="27">
        <f t="shared" si="3"/>
        <v>-0.076</v>
      </c>
    </row>
    <row r="75" spans="2:12">
      <c r="B75" s="3">
        <f t="shared" si="4"/>
        <v>1.4</v>
      </c>
      <c r="C75" s="27">
        <f t="shared" si="3"/>
        <v>1.25870890297185</v>
      </c>
      <c r="D75" s="27">
        <f t="shared" si="3"/>
        <v>43.6829258233669</v>
      </c>
      <c r="E75" s="27">
        <f t="shared" si="3"/>
        <v>56907.0082979738</v>
      </c>
      <c r="F75" s="27">
        <f t="shared" si="3"/>
        <v>1360.53415467316</v>
      </c>
      <c r="G75" s="27">
        <f t="shared" si="3"/>
        <v>37.4089679444568</v>
      </c>
      <c r="H75" s="27">
        <f t="shared" si="3"/>
        <v>-0.072</v>
      </c>
      <c r="I75" s="27">
        <f t="shared" si="3"/>
        <v>-0.072</v>
      </c>
      <c r="J75" s="27">
        <f t="shared" si="3"/>
        <v>-0.072</v>
      </c>
      <c r="K75" s="27">
        <f t="shared" si="3"/>
        <v>-0.072</v>
      </c>
      <c r="L75" s="27">
        <f t="shared" si="3"/>
        <v>-0.072</v>
      </c>
    </row>
    <row r="76" spans="2:12">
      <c r="B76" s="3">
        <f t="shared" si="4"/>
        <v>1.6</v>
      </c>
      <c r="C76" s="27">
        <f t="shared" si="3"/>
        <v>1.28281859412415</v>
      </c>
      <c r="D76" s="27">
        <f t="shared" si="3"/>
        <v>45.2468818345609</v>
      </c>
      <c r="E76" s="27">
        <f t="shared" si="3"/>
        <v>63162.4866242248</v>
      </c>
      <c r="F76" s="27">
        <f t="shared" si="3"/>
        <v>1510.10191412331</v>
      </c>
      <c r="G76" s="27">
        <f t="shared" si="3"/>
        <v>38.7792966984268</v>
      </c>
      <c r="H76" s="27">
        <f t="shared" si="3"/>
        <v>-0.068</v>
      </c>
      <c r="I76" s="27">
        <f t="shared" si="3"/>
        <v>-0.068</v>
      </c>
      <c r="J76" s="27">
        <f t="shared" si="3"/>
        <v>-0.068</v>
      </c>
      <c r="K76" s="27">
        <f t="shared" si="3"/>
        <v>-0.068</v>
      </c>
      <c r="L76" s="27">
        <f t="shared" si="3"/>
        <v>-0.068</v>
      </c>
    </row>
    <row r="77" spans="2:12">
      <c r="B77" s="3">
        <f t="shared" si="4"/>
        <v>1.8</v>
      </c>
      <c r="C77" s="27">
        <f t="shared" si="3"/>
        <v>1.30692828527645</v>
      </c>
      <c r="D77" s="27">
        <f t="shared" si="3"/>
        <v>46.8108378457548</v>
      </c>
      <c r="E77" s="27">
        <f t="shared" si="3"/>
        <v>69417.9649504758</v>
      </c>
      <c r="F77" s="27">
        <f t="shared" si="3"/>
        <v>1659.66967357347</v>
      </c>
      <c r="G77" s="27">
        <f t="shared" si="3"/>
        <v>40.1496254523968</v>
      </c>
      <c r="H77" s="27">
        <f t="shared" si="3"/>
        <v>-0.064</v>
      </c>
      <c r="I77" s="27">
        <f t="shared" si="3"/>
        <v>-0.064</v>
      </c>
      <c r="J77" s="27">
        <f t="shared" si="3"/>
        <v>-0.064</v>
      </c>
      <c r="K77" s="27">
        <f t="shared" si="3"/>
        <v>-0.064</v>
      </c>
      <c r="L77" s="27">
        <f t="shared" si="3"/>
        <v>-0.064</v>
      </c>
    </row>
    <row r="78" spans="2:12">
      <c r="B78" s="3">
        <f t="shared" si="4"/>
        <v>2</v>
      </c>
      <c r="C78" s="27">
        <f t="shared" si="3"/>
        <v>1.33103797642875</v>
      </c>
      <c r="D78" s="27">
        <f t="shared" si="3"/>
        <v>48.3747938569487</v>
      </c>
      <c r="E78" s="27">
        <f t="shared" si="3"/>
        <v>75673.4432767268</v>
      </c>
      <c r="F78" s="27">
        <f t="shared" si="3"/>
        <v>1809.23743302363</v>
      </c>
      <c r="G78" s="27">
        <f t="shared" si="3"/>
        <v>41.5199542063668</v>
      </c>
      <c r="H78" s="27">
        <f t="shared" si="3"/>
        <v>-0.06</v>
      </c>
      <c r="I78" s="27">
        <f t="shared" si="3"/>
        <v>-0.06</v>
      </c>
      <c r="J78" s="27">
        <f t="shared" si="3"/>
        <v>-0.06</v>
      </c>
      <c r="K78" s="27">
        <f t="shared" si="3"/>
        <v>-0.06</v>
      </c>
      <c r="L78" s="27">
        <f t="shared" si="3"/>
        <v>-0.06</v>
      </c>
    </row>
    <row r="79" spans="2:12">
      <c r="B79" s="3">
        <f t="shared" si="4"/>
        <v>2.2</v>
      </c>
      <c r="C79" s="27">
        <f t="shared" si="3"/>
        <v>1.35514766758105</v>
      </c>
      <c r="D79" s="27">
        <f t="shared" si="3"/>
        <v>49.9387498681426</v>
      </c>
      <c r="E79" s="27">
        <f t="shared" si="3"/>
        <v>81928.9216029778</v>
      </c>
      <c r="F79" s="27">
        <f t="shared" si="3"/>
        <v>1958.80519247379</v>
      </c>
      <c r="G79" s="27">
        <f t="shared" si="3"/>
        <v>42.8902829603368</v>
      </c>
      <c r="H79" s="27">
        <f t="shared" si="3"/>
        <v>-0.056</v>
      </c>
      <c r="I79" s="27">
        <f t="shared" si="3"/>
        <v>-0.056</v>
      </c>
      <c r="J79" s="27">
        <f t="shared" si="3"/>
        <v>-0.056</v>
      </c>
      <c r="K79" s="27">
        <f t="shared" si="3"/>
        <v>-0.056</v>
      </c>
      <c r="L79" s="27">
        <f t="shared" si="3"/>
        <v>-0.056</v>
      </c>
    </row>
    <row r="80" spans="2:12">
      <c r="B80" s="3">
        <f t="shared" si="4"/>
        <v>2.4</v>
      </c>
      <c r="C80" s="27">
        <f t="shared" si="3"/>
        <v>1.37925735873335</v>
      </c>
      <c r="D80" s="27">
        <f t="shared" si="3"/>
        <v>51.5027058793366</v>
      </c>
      <c r="E80" s="27">
        <f t="shared" si="3"/>
        <v>88184.3999292287</v>
      </c>
      <c r="F80" s="27">
        <f t="shared" si="3"/>
        <v>2108.37295192395</v>
      </c>
      <c r="G80" s="27">
        <f t="shared" si="3"/>
        <v>44.2606117143068</v>
      </c>
      <c r="H80" s="27">
        <f t="shared" si="3"/>
        <v>-0.052</v>
      </c>
      <c r="I80" s="27">
        <f t="shared" si="3"/>
        <v>-0.052</v>
      </c>
      <c r="J80" s="27">
        <f t="shared" si="3"/>
        <v>-0.052</v>
      </c>
      <c r="K80" s="27">
        <f t="shared" si="3"/>
        <v>-0.052</v>
      </c>
      <c r="L80" s="27">
        <f t="shared" si="3"/>
        <v>-0.052</v>
      </c>
    </row>
    <row r="81" spans="2:12">
      <c r="B81" s="3">
        <f t="shared" si="4"/>
        <v>2.6</v>
      </c>
      <c r="C81" s="27">
        <f t="shared" si="3"/>
        <v>1.40336704988565</v>
      </c>
      <c r="D81" s="27">
        <f t="shared" si="3"/>
        <v>53.0666618905305</v>
      </c>
      <c r="E81" s="27">
        <f t="shared" si="3"/>
        <v>94439.8782554797</v>
      </c>
      <c r="F81" s="27">
        <f t="shared" si="3"/>
        <v>2257.94071137411</v>
      </c>
      <c r="G81" s="27">
        <f t="shared" si="3"/>
        <v>45.6309404682768</v>
      </c>
      <c r="H81" s="27">
        <f t="shared" si="3"/>
        <v>-0.048</v>
      </c>
      <c r="I81" s="27">
        <f t="shared" si="3"/>
        <v>-0.048</v>
      </c>
      <c r="J81" s="27">
        <f t="shared" si="3"/>
        <v>-0.048</v>
      </c>
      <c r="K81" s="27">
        <f t="shared" si="3"/>
        <v>-0.048</v>
      </c>
      <c r="L81" s="27">
        <f t="shared" si="3"/>
        <v>-0.048</v>
      </c>
    </row>
    <row r="82" spans="2:12">
      <c r="B82" s="3">
        <f t="shared" si="4"/>
        <v>2.8</v>
      </c>
      <c r="C82" s="27">
        <f t="shared" si="3"/>
        <v>1.42747674103795</v>
      </c>
      <c r="D82" s="27">
        <f t="shared" si="3"/>
        <v>54.6306179017244</v>
      </c>
      <c r="E82" s="27">
        <f t="shared" si="3"/>
        <v>100695.356581731</v>
      </c>
      <c r="F82" s="27">
        <f t="shared" si="3"/>
        <v>2407.50847082427</v>
      </c>
      <c r="G82" s="27">
        <f t="shared" si="3"/>
        <v>47.0012692222469</v>
      </c>
      <c r="H82" s="27">
        <f t="shared" si="3"/>
        <v>-0.044</v>
      </c>
      <c r="I82" s="27">
        <f t="shared" si="3"/>
        <v>-0.044</v>
      </c>
      <c r="J82" s="27">
        <f t="shared" si="3"/>
        <v>-0.044</v>
      </c>
      <c r="K82" s="27">
        <f t="shared" si="3"/>
        <v>-0.044</v>
      </c>
      <c r="L82" s="27">
        <f t="shared" si="3"/>
        <v>-0.044</v>
      </c>
    </row>
    <row r="83" spans="2:12">
      <c r="B83" s="3">
        <f t="shared" si="4"/>
        <v>3</v>
      </c>
      <c r="C83" s="27">
        <f t="shared" si="3"/>
        <v>1.45158643219024</v>
      </c>
      <c r="D83" s="27">
        <f t="shared" si="3"/>
        <v>56.1945739129184</v>
      </c>
      <c r="E83" s="27">
        <f t="shared" si="3"/>
        <v>106950.834907982</v>
      </c>
      <c r="F83" s="27">
        <f t="shared" si="3"/>
        <v>2557.07623027442</v>
      </c>
      <c r="G83" s="27">
        <f t="shared" si="3"/>
        <v>48.3715979762169</v>
      </c>
      <c r="H83" s="27">
        <f t="shared" si="3"/>
        <v>-0.04</v>
      </c>
      <c r="I83" s="27">
        <f t="shared" si="3"/>
        <v>-0.04</v>
      </c>
      <c r="J83" s="27">
        <f t="shared" si="3"/>
        <v>-0.04</v>
      </c>
      <c r="K83" s="27">
        <f t="shared" si="3"/>
        <v>-0.04</v>
      </c>
      <c r="L83" s="27">
        <f t="shared" si="3"/>
        <v>-0.04</v>
      </c>
    </row>
    <row r="84" spans="2:12">
      <c r="B84" s="3">
        <f t="shared" si="4"/>
        <v>3.2</v>
      </c>
      <c r="C84" s="27">
        <f t="shared" si="3"/>
        <v>1.47569612334254</v>
      </c>
      <c r="D84" s="27">
        <f t="shared" si="3"/>
        <v>57.7585299241123</v>
      </c>
      <c r="E84" s="27">
        <f t="shared" si="3"/>
        <v>113206.313234233</v>
      </c>
      <c r="F84" s="27">
        <f t="shared" si="3"/>
        <v>2706.64398972458</v>
      </c>
      <c r="G84" s="27">
        <f t="shared" si="3"/>
        <v>49.7419267301869</v>
      </c>
      <c r="H84" s="27">
        <f t="shared" si="3"/>
        <v>-0.0359999999999999</v>
      </c>
      <c r="I84" s="27">
        <f t="shared" si="3"/>
        <v>-0.0359999999999999</v>
      </c>
      <c r="J84" s="27">
        <f t="shared" si="3"/>
        <v>-0.0359999999999999</v>
      </c>
      <c r="K84" s="27">
        <f t="shared" si="3"/>
        <v>-0.0359999999999999</v>
      </c>
      <c r="L84" s="27">
        <f t="shared" si="3"/>
        <v>-0.0359999999999999</v>
      </c>
    </row>
    <row r="85" spans="2:12">
      <c r="B85" s="3">
        <f t="shared" si="4"/>
        <v>3.4</v>
      </c>
      <c r="C85" s="27">
        <f t="shared" ref="C85:L100" si="5">C84+(((C$33+0.1)-(C$32-0.1))/50)</f>
        <v>1.49980581449484</v>
      </c>
      <c r="D85" s="27">
        <f t="shared" si="5"/>
        <v>59.3224859353062</v>
      </c>
      <c r="E85" s="27">
        <f t="shared" si="5"/>
        <v>119461.791560484</v>
      </c>
      <c r="F85" s="27">
        <f t="shared" si="5"/>
        <v>2856.21174917474</v>
      </c>
      <c r="G85" s="27">
        <f t="shared" si="5"/>
        <v>51.1122554841569</v>
      </c>
      <c r="H85" s="27">
        <f t="shared" si="5"/>
        <v>-0.0319999999999999</v>
      </c>
      <c r="I85" s="27">
        <f t="shared" si="5"/>
        <v>-0.0319999999999999</v>
      </c>
      <c r="J85" s="27">
        <f t="shared" si="5"/>
        <v>-0.0319999999999999</v>
      </c>
      <c r="K85" s="27">
        <f t="shared" si="5"/>
        <v>-0.0319999999999999</v>
      </c>
      <c r="L85" s="27">
        <f t="shared" si="5"/>
        <v>-0.0319999999999999</v>
      </c>
    </row>
    <row r="86" spans="2:12">
      <c r="B86" s="3">
        <f t="shared" si="4"/>
        <v>3.6</v>
      </c>
      <c r="C86" s="27">
        <f t="shared" si="5"/>
        <v>1.52391550564714</v>
      </c>
      <c r="D86" s="27">
        <f t="shared" si="5"/>
        <v>60.8864419465002</v>
      </c>
      <c r="E86" s="27">
        <f t="shared" si="5"/>
        <v>125717.269886735</v>
      </c>
      <c r="F86" s="27">
        <f t="shared" si="5"/>
        <v>3005.7795086249</v>
      </c>
      <c r="G86" s="27">
        <f t="shared" si="5"/>
        <v>52.4825842381269</v>
      </c>
      <c r="H86" s="27">
        <f t="shared" si="5"/>
        <v>-0.0279999999999999</v>
      </c>
      <c r="I86" s="27">
        <f t="shared" si="5"/>
        <v>-0.0279999999999999</v>
      </c>
      <c r="J86" s="27">
        <f t="shared" si="5"/>
        <v>-0.0279999999999999</v>
      </c>
      <c r="K86" s="27">
        <f t="shared" si="5"/>
        <v>-0.0279999999999999</v>
      </c>
      <c r="L86" s="27">
        <f t="shared" si="5"/>
        <v>-0.0279999999999999</v>
      </c>
    </row>
    <row r="87" spans="2:12">
      <c r="B87" s="3">
        <f t="shared" si="4"/>
        <v>3.8</v>
      </c>
      <c r="C87" s="27">
        <f t="shared" si="5"/>
        <v>1.54802519679944</v>
      </c>
      <c r="D87" s="27">
        <f t="shared" si="5"/>
        <v>62.4503979576941</v>
      </c>
      <c r="E87" s="27">
        <f t="shared" si="5"/>
        <v>131972.748212986</v>
      </c>
      <c r="F87" s="27">
        <f t="shared" si="5"/>
        <v>3155.34726807506</v>
      </c>
      <c r="G87" s="27">
        <f t="shared" si="5"/>
        <v>53.8529129920969</v>
      </c>
      <c r="H87" s="27">
        <f t="shared" si="5"/>
        <v>-0.0239999999999999</v>
      </c>
      <c r="I87" s="27">
        <f t="shared" si="5"/>
        <v>-0.0239999999999999</v>
      </c>
      <c r="J87" s="27">
        <f t="shared" si="5"/>
        <v>-0.0239999999999999</v>
      </c>
      <c r="K87" s="27">
        <f t="shared" si="5"/>
        <v>-0.0239999999999999</v>
      </c>
      <c r="L87" s="27">
        <f t="shared" si="5"/>
        <v>-0.0239999999999999</v>
      </c>
    </row>
    <row r="88" spans="2:12">
      <c r="B88" s="3">
        <f t="shared" si="4"/>
        <v>4</v>
      </c>
      <c r="C88" s="27">
        <f t="shared" si="5"/>
        <v>1.57213488795174</v>
      </c>
      <c r="D88" s="27">
        <f t="shared" si="5"/>
        <v>64.014353968888</v>
      </c>
      <c r="E88" s="27">
        <f t="shared" si="5"/>
        <v>138228.226539237</v>
      </c>
      <c r="F88" s="27">
        <f t="shared" si="5"/>
        <v>3304.91502752522</v>
      </c>
      <c r="G88" s="27">
        <f t="shared" si="5"/>
        <v>55.2232417460669</v>
      </c>
      <c r="H88" s="27">
        <f t="shared" si="5"/>
        <v>-0.0199999999999999</v>
      </c>
      <c r="I88" s="27">
        <f t="shared" si="5"/>
        <v>-0.0199999999999999</v>
      </c>
      <c r="J88" s="27">
        <f t="shared" si="5"/>
        <v>-0.0199999999999999</v>
      </c>
      <c r="K88" s="27">
        <f t="shared" si="5"/>
        <v>-0.0199999999999999</v>
      </c>
      <c r="L88" s="27">
        <f t="shared" si="5"/>
        <v>-0.0199999999999999</v>
      </c>
    </row>
    <row r="89" spans="2:12">
      <c r="B89" s="3">
        <f t="shared" si="4"/>
        <v>4.2</v>
      </c>
      <c r="C89" s="27">
        <f t="shared" si="5"/>
        <v>1.59624457910404</v>
      </c>
      <c r="D89" s="27">
        <f t="shared" si="5"/>
        <v>65.578309980082</v>
      </c>
      <c r="E89" s="27">
        <f t="shared" si="5"/>
        <v>144483.704865488</v>
      </c>
      <c r="F89" s="27">
        <f t="shared" si="5"/>
        <v>3454.48278697537</v>
      </c>
      <c r="G89" s="27">
        <f t="shared" si="5"/>
        <v>56.593570500037</v>
      </c>
      <c r="H89" s="27">
        <f t="shared" si="5"/>
        <v>-0.0159999999999999</v>
      </c>
      <c r="I89" s="27">
        <f t="shared" si="5"/>
        <v>-0.0159999999999999</v>
      </c>
      <c r="J89" s="27">
        <f t="shared" si="5"/>
        <v>-0.0159999999999999</v>
      </c>
      <c r="K89" s="27">
        <f t="shared" si="5"/>
        <v>-0.0159999999999999</v>
      </c>
      <c r="L89" s="27">
        <f t="shared" si="5"/>
        <v>-0.0159999999999999</v>
      </c>
    </row>
    <row r="90" spans="2:12">
      <c r="B90" s="3">
        <f t="shared" si="4"/>
        <v>4.4</v>
      </c>
      <c r="C90" s="27">
        <f t="shared" si="5"/>
        <v>1.62035427025634</v>
      </c>
      <c r="D90" s="27">
        <f t="shared" si="5"/>
        <v>67.1422659912759</v>
      </c>
      <c r="E90" s="27">
        <f t="shared" si="5"/>
        <v>150739.183191739</v>
      </c>
      <c r="F90" s="27">
        <f t="shared" si="5"/>
        <v>3604.05054642553</v>
      </c>
      <c r="G90" s="27">
        <f t="shared" si="5"/>
        <v>57.963899254007</v>
      </c>
      <c r="H90" s="27">
        <f t="shared" si="5"/>
        <v>-0.0119999999999999</v>
      </c>
      <c r="I90" s="27">
        <f t="shared" si="5"/>
        <v>-0.0119999999999999</v>
      </c>
      <c r="J90" s="27">
        <f t="shared" si="5"/>
        <v>-0.0119999999999999</v>
      </c>
      <c r="K90" s="27">
        <f t="shared" si="5"/>
        <v>-0.0119999999999999</v>
      </c>
      <c r="L90" s="27">
        <f t="shared" si="5"/>
        <v>-0.0119999999999999</v>
      </c>
    </row>
    <row r="91" spans="2:12">
      <c r="B91" s="3">
        <f t="shared" si="4"/>
        <v>4.6</v>
      </c>
      <c r="C91" s="27">
        <f t="shared" si="5"/>
        <v>1.64446396140864</v>
      </c>
      <c r="D91" s="27">
        <f t="shared" si="5"/>
        <v>68.7062220024698</v>
      </c>
      <c r="E91" s="27">
        <f t="shared" si="5"/>
        <v>156994.66151799</v>
      </c>
      <c r="F91" s="27">
        <f t="shared" si="5"/>
        <v>3753.61830587569</v>
      </c>
      <c r="G91" s="27">
        <f t="shared" si="5"/>
        <v>59.334228007977</v>
      </c>
      <c r="H91" s="27">
        <f t="shared" si="5"/>
        <v>-0.00799999999999994</v>
      </c>
      <c r="I91" s="27">
        <f t="shared" si="5"/>
        <v>-0.00799999999999994</v>
      </c>
      <c r="J91" s="27">
        <f t="shared" si="5"/>
        <v>-0.00799999999999994</v>
      </c>
      <c r="K91" s="27">
        <f t="shared" si="5"/>
        <v>-0.00799999999999994</v>
      </c>
      <c r="L91" s="27">
        <f t="shared" si="5"/>
        <v>-0.00799999999999994</v>
      </c>
    </row>
    <row r="92" spans="2:12">
      <c r="B92" s="3">
        <f t="shared" si="4"/>
        <v>4.8</v>
      </c>
      <c r="C92" s="27">
        <f t="shared" si="5"/>
        <v>1.66857365256094</v>
      </c>
      <c r="D92" s="27">
        <f t="shared" si="5"/>
        <v>70.2701780136638</v>
      </c>
      <c r="E92" s="27">
        <f t="shared" si="5"/>
        <v>163250.139844241</v>
      </c>
      <c r="F92" s="27">
        <f t="shared" si="5"/>
        <v>3903.18606532585</v>
      </c>
      <c r="G92" s="27">
        <f t="shared" si="5"/>
        <v>60.704556761947</v>
      </c>
      <c r="H92" s="27">
        <f t="shared" si="5"/>
        <v>-0.00399999999999994</v>
      </c>
      <c r="I92" s="27">
        <f t="shared" si="5"/>
        <v>-0.00399999999999994</v>
      </c>
      <c r="J92" s="27">
        <f t="shared" si="5"/>
        <v>-0.00399999999999994</v>
      </c>
      <c r="K92" s="27">
        <f t="shared" si="5"/>
        <v>-0.00399999999999994</v>
      </c>
      <c r="L92" s="27">
        <f t="shared" si="5"/>
        <v>-0.00399999999999994</v>
      </c>
    </row>
    <row r="93" spans="2:12">
      <c r="B93" s="3">
        <f t="shared" si="4"/>
        <v>5</v>
      </c>
      <c r="C93" s="27">
        <f t="shared" si="5"/>
        <v>1.69268334371324</v>
      </c>
      <c r="D93" s="27">
        <f t="shared" si="5"/>
        <v>71.8341340248577</v>
      </c>
      <c r="E93" s="27">
        <f t="shared" si="5"/>
        <v>169505.618170492</v>
      </c>
      <c r="F93" s="27">
        <f t="shared" si="5"/>
        <v>4052.75382477601</v>
      </c>
      <c r="G93" s="27">
        <f t="shared" si="5"/>
        <v>62.074885515917</v>
      </c>
      <c r="H93" s="27">
        <f t="shared" si="5"/>
        <v>5.55111512312578e-17</v>
      </c>
      <c r="I93" s="27">
        <f t="shared" si="5"/>
        <v>5.55111512312578e-17</v>
      </c>
      <c r="J93" s="27">
        <f t="shared" si="5"/>
        <v>5.55111512312578e-17</v>
      </c>
      <c r="K93" s="27">
        <f t="shared" si="5"/>
        <v>5.55111512312578e-17</v>
      </c>
      <c r="L93" s="27">
        <f t="shared" si="5"/>
        <v>5.55111512312578e-17</v>
      </c>
    </row>
    <row r="94" spans="2:12">
      <c r="B94" s="3">
        <f t="shared" si="4"/>
        <v>5.2</v>
      </c>
      <c r="C94" s="27">
        <f t="shared" si="5"/>
        <v>1.71679303486554</v>
      </c>
      <c r="D94" s="27">
        <f t="shared" si="5"/>
        <v>73.3980900360516</v>
      </c>
      <c r="E94" s="27">
        <f t="shared" si="5"/>
        <v>175761.096496743</v>
      </c>
      <c r="F94" s="27">
        <f t="shared" si="5"/>
        <v>4202.32158422617</v>
      </c>
      <c r="G94" s="27">
        <f t="shared" si="5"/>
        <v>63.445214269887</v>
      </c>
      <c r="H94" s="27">
        <f t="shared" si="5"/>
        <v>0.00400000000000006</v>
      </c>
      <c r="I94" s="27">
        <f t="shared" si="5"/>
        <v>0.00400000000000006</v>
      </c>
      <c r="J94" s="27">
        <f t="shared" si="5"/>
        <v>0.00400000000000006</v>
      </c>
      <c r="K94" s="27">
        <f t="shared" si="5"/>
        <v>0.00400000000000006</v>
      </c>
      <c r="L94" s="27">
        <f t="shared" si="5"/>
        <v>0.00400000000000006</v>
      </c>
    </row>
    <row r="95" spans="2:12">
      <c r="B95" s="3">
        <f t="shared" si="4"/>
        <v>5.4</v>
      </c>
      <c r="C95" s="27">
        <f t="shared" si="5"/>
        <v>1.74090272601784</v>
      </c>
      <c r="D95" s="27">
        <f t="shared" si="5"/>
        <v>74.9620460472456</v>
      </c>
      <c r="E95" s="27">
        <f t="shared" si="5"/>
        <v>182016.574822994</v>
      </c>
      <c r="F95" s="27">
        <f t="shared" si="5"/>
        <v>4351.88934367633</v>
      </c>
      <c r="G95" s="27">
        <f t="shared" si="5"/>
        <v>64.815543023857</v>
      </c>
      <c r="H95" s="27">
        <f t="shared" si="5"/>
        <v>0.00800000000000006</v>
      </c>
      <c r="I95" s="27">
        <f t="shared" si="5"/>
        <v>0.00800000000000006</v>
      </c>
      <c r="J95" s="27">
        <f t="shared" si="5"/>
        <v>0.00800000000000006</v>
      </c>
      <c r="K95" s="27">
        <f t="shared" si="5"/>
        <v>0.00800000000000006</v>
      </c>
      <c r="L95" s="27">
        <f t="shared" si="5"/>
        <v>0.00800000000000006</v>
      </c>
    </row>
    <row r="96" spans="2:12">
      <c r="B96" s="3">
        <f t="shared" si="4"/>
        <v>5.6</v>
      </c>
      <c r="C96" s="27">
        <f t="shared" si="5"/>
        <v>1.76501241717014</v>
      </c>
      <c r="D96" s="27">
        <f t="shared" si="5"/>
        <v>76.5260020584395</v>
      </c>
      <c r="E96" s="27">
        <f t="shared" si="5"/>
        <v>188272.053149245</v>
      </c>
      <c r="F96" s="27">
        <f t="shared" si="5"/>
        <v>4501.45710312648</v>
      </c>
      <c r="G96" s="27">
        <f t="shared" si="5"/>
        <v>66.185871777827</v>
      </c>
      <c r="H96" s="27">
        <f t="shared" si="5"/>
        <v>0.0120000000000001</v>
      </c>
      <c r="I96" s="27">
        <f t="shared" si="5"/>
        <v>0.0120000000000001</v>
      </c>
      <c r="J96" s="27">
        <f t="shared" si="5"/>
        <v>0.0120000000000001</v>
      </c>
      <c r="K96" s="27">
        <f t="shared" si="5"/>
        <v>0.0120000000000001</v>
      </c>
      <c r="L96" s="27">
        <f t="shared" si="5"/>
        <v>0.0120000000000001</v>
      </c>
    </row>
    <row r="97" spans="2:12">
      <c r="B97" s="3">
        <f t="shared" si="4"/>
        <v>5.8</v>
      </c>
      <c r="C97" s="27">
        <f t="shared" si="5"/>
        <v>1.78912210832244</v>
      </c>
      <c r="D97" s="27">
        <f t="shared" si="5"/>
        <v>78.0899580696335</v>
      </c>
      <c r="E97" s="27">
        <f t="shared" si="5"/>
        <v>194527.531475496</v>
      </c>
      <c r="F97" s="27">
        <f t="shared" si="5"/>
        <v>4651.02486257664</v>
      </c>
      <c r="G97" s="27">
        <f t="shared" si="5"/>
        <v>67.5562005317971</v>
      </c>
      <c r="H97" s="27">
        <f t="shared" si="5"/>
        <v>0.0160000000000001</v>
      </c>
      <c r="I97" s="27">
        <f t="shared" si="5"/>
        <v>0.0160000000000001</v>
      </c>
      <c r="J97" s="27">
        <f t="shared" si="5"/>
        <v>0.0160000000000001</v>
      </c>
      <c r="K97" s="27">
        <f t="shared" si="5"/>
        <v>0.0160000000000001</v>
      </c>
      <c r="L97" s="27">
        <f t="shared" si="5"/>
        <v>0.0160000000000001</v>
      </c>
    </row>
    <row r="98" spans="2:12">
      <c r="B98" s="3">
        <f t="shared" si="4"/>
        <v>6</v>
      </c>
      <c r="C98" s="27">
        <f t="shared" si="5"/>
        <v>1.81323179947473</v>
      </c>
      <c r="D98" s="27">
        <f t="shared" si="5"/>
        <v>79.6539140808274</v>
      </c>
      <c r="E98" s="27">
        <f t="shared" si="5"/>
        <v>200783.009801747</v>
      </c>
      <c r="F98" s="27">
        <f t="shared" si="5"/>
        <v>4800.5926220268</v>
      </c>
      <c r="G98" s="27">
        <f t="shared" si="5"/>
        <v>68.9265292857671</v>
      </c>
      <c r="H98" s="27">
        <f t="shared" si="5"/>
        <v>0.0200000000000001</v>
      </c>
      <c r="I98" s="27">
        <f t="shared" si="5"/>
        <v>0.0200000000000001</v>
      </c>
      <c r="J98" s="27">
        <f t="shared" si="5"/>
        <v>0.0200000000000001</v>
      </c>
      <c r="K98" s="27">
        <f t="shared" si="5"/>
        <v>0.0200000000000001</v>
      </c>
      <c r="L98" s="27">
        <f t="shared" si="5"/>
        <v>0.0200000000000001</v>
      </c>
    </row>
    <row r="99" spans="2:12">
      <c r="B99" s="3">
        <f t="shared" si="4"/>
        <v>6.2</v>
      </c>
      <c r="C99" s="27">
        <f t="shared" si="5"/>
        <v>1.83734149062703</v>
      </c>
      <c r="D99" s="27">
        <f t="shared" si="5"/>
        <v>81.2178700920213</v>
      </c>
      <c r="E99" s="27">
        <f t="shared" si="5"/>
        <v>207038.488127998</v>
      </c>
      <c r="F99" s="27">
        <f t="shared" si="5"/>
        <v>4950.16038147696</v>
      </c>
      <c r="G99" s="27">
        <f t="shared" si="5"/>
        <v>70.2968580397371</v>
      </c>
      <c r="H99" s="27">
        <f t="shared" si="5"/>
        <v>0.0240000000000001</v>
      </c>
      <c r="I99" s="27">
        <f t="shared" si="5"/>
        <v>0.0240000000000001</v>
      </c>
      <c r="J99" s="27">
        <f t="shared" si="5"/>
        <v>0.0240000000000001</v>
      </c>
      <c r="K99" s="27">
        <f t="shared" si="5"/>
        <v>0.0240000000000001</v>
      </c>
      <c r="L99" s="27">
        <f t="shared" si="5"/>
        <v>0.0240000000000001</v>
      </c>
    </row>
    <row r="100" spans="2:12">
      <c r="B100" s="3">
        <f t="shared" si="4"/>
        <v>6.4</v>
      </c>
      <c r="C100" s="27">
        <f t="shared" si="5"/>
        <v>1.86145118177933</v>
      </c>
      <c r="D100" s="27">
        <f t="shared" si="5"/>
        <v>82.7818261032153</v>
      </c>
      <c r="E100" s="27">
        <f t="shared" si="5"/>
        <v>213293.966454249</v>
      </c>
      <c r="F100" s="27">
        <f t="shared" si="5"/>
        <v>5099.72814092712</v>
      </c>
      <c r="G100" s="27">
        <f t="shared" si="5"/>
        <v>71.6671867937071</v>
      </c>
      <c r="H100" s="27">
        <f t="shared" si="5"/>
        <v>0.0280000000000001</v>
      </c>
      <c r="I100" s="27">
        <f t="shared" si="5"/>
        <v>0.0280000000000001</v>
      </c>
      <c r="J100" s="27">
        <f t="shared" si="5"/>
        <v>0.0280000000000001</v>
      </c>
      <c r="K100" s="27">
        <f t="shared" si="5"/>
        <v>0.0280000000000001</v>
      </c>
      <c r="L100" s="27">
        <f t="shared" si="5"/>
        <v>0.0280000000000001</v>
      </c>
    </row>
    <row r="101" spans="2:12">
      <c r="B101" s="3">
        <f t="shared" si="4"/>
        <v>6.6</v>
      </c>
      <c r="C101" s="27">
        <f t="shared" ref="C101:L116" si="6">C100+(((C$33+0.1)-(C$32-0.1))/50)</f>
        <v>1.88556087293163</v>
      </c>
      <c r="D101" s="27">
        <f t="shared" si="6"/>
        <v>84.3457821144092</v>
      </c>
      <c r="E101" s="27">
        <f t="shared" si="6"/>
        <v>219549.4447805</v>
      </c>
      <c r="F101" s="27">
        <f t="shared" si="6"/>
        <v>5249.29590037728</v>
      </c>
      <c r="G101" s="27">
        <f t="shared" si="6"/>
        <v>73.0375155476771</v>
      </c>
      <c r="H101" s="27">
        <f t="shared" si="6"/>
        <v>0.0320000000000001</v>
      </c>
      <c r="I101" s="27">
        <f t="shared" si="6"/>
        <v>0.0320000000000001</v>
      </c>
      <c r="J101" s="27">
        <f t="shared" si="6"/>
        <v>0.0320000000000001</v>
      </c>
      <c r="K101" s="27">
        <f t="shared" si="6"/>
        <v>0.0320000000000001</v>
      </c>
      <c r="L101" s="27">
        <f t="shared" si="6"/>
        <v>0.0320000000000001</v>
      </c>
    </row>
    <row r="102" spans="2:12">
      <c r="B102" s="3">
        <f t="shared" si="4"/>
        <v>6.8</v>
      </c>
      <c r="C102" s="27">
        <f t="shared" si="6"/>
        <v>1.90967056408393</v>
      </c>
      <c r="D102" s="27">
        <f t="shared" si="6"/>
        <v>85.9097381256031</v>
      </c>
      <c r="E102" s="27">
        <f t="shared" si="6"/>
        <v>225804.923106751</v>
      </c>
      <c r="F102" s="27">
        <f t="shared" si="6"/>
        <v>5398.86365982744</v>
      </c>
      <c r="G102" s="27">
        <f t="shared" si="6"/>
        <v>74.4078443016471</v>
      </c>
      <c r="H102" s="27">
        <f t="shared" si="6"/>
        <v>0.0360000000000001</v>
      </c>
      <c r="I102" s="27">
        <f t="shared" si="6"/>
        <v>0.0360000000000001</v>
      </c>
      <c r="J102" s="27">
        <f t="shared" si="6"/>
        <v>0.0360000000000001</v>
      </c>
      <c r="K102" s="27">
        <f t="shared" si="6"/>
        <v>0.0360000000000001</v>
      </c>
      <c r="L102" s="27">
        <f t="shared" si="6"/>
        <v>0.0360000000000001</v>
      </c>
    </row>
    <row r="103" spans="2:12">
      <c r="B103" s="3">
        <f t="shared" si="4"/>
        <v>7</v>
      </c>
      <c r="C103" s="27">
        <f t="shared" si="6"/>
        <v>1.93378025523623</v>
      </c>
      <c r="D103" s="27">
        <f t="shared" si="6"/>
        <v>87.4736941367971</v>
      </c>
      <c r="E103" s="27">
        <f t="shared" si="6"/>
        <v>232060.401433002</v>
      </c>
      <c r="F103" s="27">
        <f t="shared" si="6"/>
        <v>5548.43141927759</v>
      </c>
      <c r="G103" s="27">
        <f t="shared" si="6"/>
        <v>75.7781730556171</v>
      </c>
      <c r="H103" s="27">
        <f t="shared" si="6"/>
        <v>0.0400000000000001</v>
      </c>
      <c r="I103" s="27">
        <f t="shared" si="6"/>
        <v>0.0400000000000001</v>
      </c>
      <c r="J103" s="27">
        <f t="shared" si="6"/>
        <v>0.0400000000000001</v>
      </c>
      <c r="K103" s="27">
        <f t="shared" si="6"/>
        <v>0.0400000000000001</v>
      </c>
      <c r="L103" s="27">
        <f t="shared" si="6"/>
        <v>0.0400000000000001</v>
      </c>
    </row>
    <row r="104" spans="2:12">
      <c r="B104" s="3">
        <f t="shared" si="4"/>
        <v>7.2</v>
      </c>
      <c r="C104" s="27">
        <f t="shared" si="6"/>
        <v>1.95788994638853</v>
      </c>
      <c r="D104" s="27">
        <f t="shared" si="6"/>
        <v>89.037650147991</v>
      </c>
      <c r="E104" s="27">
        <f t="shared" si="6"/>
        <v>238315.879759253</v>
      </c>
      <c r="F104" s="27">
        <f t="shared" si="6"/>
        <v>5697.99917872775</v>
      </c>
      <c r="G104" s="27">
        <f t="shared" si="6"/>
        <v>77.1485018095872</v>
      </c>
      <c r="H104" s="27">
        <f t="shared" si="6"/>
        <v>0.0440000000000001</v>
      </c>
      <c r="I104" s="27">
        <f t="shared" si="6"/>
        <v>0.0440000000000001</v>
      </c>
      <c r="J104" s="27">
        <f t="shared" si="6"/>
        <v>0.0440000000000001</v>
      </c>
      <c r="K104" s="27">
        <f t="shared" si="6"/>
        <v>0.0440000000000001</v>
      </c>
      <c r="L104" s="27">
        <f t="shared" si="6"/>
        <v>0.0440000000000001</v>
      </c>
    </row>
    <row r="105" spans="2:12">
      <c r="B105" s="3">
        <f t="shared" si="4"/>
        <v>7.4</v>
      </c>
      <c r="C105" s="27">
        <f t="shared" si="6"/>
        <v>1.98199963754083</v>
      </c>
      <c r="D105" s="27">
        <f t="shared" si="6"/>
        <v>90.601606159185</v>
      </c>
      <c r="E105" s="27">
        <f t="shared" si="6"/>
        <v>244571.358085504</v>
      </c>
      <c r="F105" s="27">
        <f t="shared" si="6"/>
        <v>5847.56693817791</v>
      </c>
      <c r="G105" s="27">
        <f t="shared" si="6"/>
        <v>78.5188305635572</v>
      </c>
      <c r="H105" s="27">
        <f t="shared" si="6"/>
        <v>0.0480000000000001</v>
      </c>
      <c r="I105" s="27">
        <f t="shared" si="6"/>
        <v>0.0480000000000001</v>
      </c>
      <c r="J105" s="27">
        <f t="shared" si="6"/>
        <v>0.0480000000000001</v>
      </c>
      <c r="K105" s="27">
        <f t="shared" si="6"/>
        <v>0.0480000000000001</v>
      </c>
      <c r="L105" s="27">
        <f t="shared" si="6"/>
        <v>0.0480000000000001</v>
      </c>
    </row>
    <row r="106" spans="2:12">
      <c r="B106" s="3">
        <f t="shared" si="4"/>
        <v>7.6</v>
      </c>
      <c r="C106" s="27">
        <f t="shared" si="6"/>
        <v>2.00610932869313</v>
      </c>
      <c r="D106" s="27">
        <f t="shared" si="6"/>
        <v>92.1655621703789</v>
      </c>
      <c r="E106" s="27">
        <f t="shared" si="6"/>
        <v>250826.836411755</v>
      </c>
      <c r="F106" s="27">
        <f t="shared" si="6"/>
        <v>5997.13469762807</v>
      </c>
      <c r="G106" s="27">
        <f t="shared" si="6"/>
        <v>79.8891593175272</v>
      </c>
      <c r="H106" s="27">
        <f t="shared" si="6"/>
        <v>0.0520000000000001</v>
      </c>
      <c r="I106" s="27">
        <f t="shared" si="6"/>
        <v>0.0520000000000001</v>
      </c>
      <c r="J106" s="27">
        <f t="shared" si="6"/>
        <v>0.0520000000000001</v>
      </c>
      <c r="K106" s="27">
        <f t="shared" si="6"/>
        <v>0.0520000000000001</v>
      </c>
      <c r="L106" s="27">
        <f t="shared" si="6"/>
        <v>0.0520000000000001</v>
      </c>
    </row>
    <row r="107" spans="2:12">
      <c r="B107" s="3">
        <f t="shared" si="4"/>
        <v>7.8</v>
      </c>
      <c r="C107" s="27">
        <f t="shared" si="6"/>
        <v>2.03021901984543</v>
      </c>
      <c r="D107" s="27">
        <f t="shared" si="6"/>
        <v>93.7295181815728</v>
      </c>
      <c r="E107" s="27">
        <f t="shared" si="6"/>
        <v>257082.314738006</v>
      </c>
      <c r="F107" s="27">
        <f t="shared" si="6"/>
        <v>6146.70245707823</v>
      </c>
      <c r="G107" s="27">
        <f t="shared" si="6"/>
        <v>81.2594880714972</v>
      </c>
      <c r="H107" s="27">
        <f t="shared" si="6"/>
        <v>0.0560000000000001</v>
      </c>
      <c r="I107" s="27">
        <f t="shared" si="6"/>
        <v>0.0560000000000001</v>
      </c>
      <c r="J107" s="27">
        <f t="shared" si="6"/>
        <v>0.0560000000000001</v>
      </c>
      <c r="K107" s="27">
        <f t="shared" si="6"/>
        <v>0.0560000000000001</v>
      </c>
      <c r="L107" s="27">
        <f t="shared" si="6"/>
        <v>0.0560000000000001</v>
      </c>
    </row>
    <row r="108" spans="2:12">
      <c r="B108" s="3">
        <f t="shared" si="4"/>
        <v>8</v>
      </c>
      <c r="C108" s="27">
        <f t="shared" si="6"/>
        <v>2.05432871099773</v>
      </c>
      <c r="D108" s="27">
        <f t="shared" si="6"/>
        <v>95.2934741927668</v>
      </c>
      <c r="E108" s="27">
        <f t="shared" si="6"/>
        <v>263337.793064257</v>
      </c>
      <c r="F108" s="27">
        <f t="shared" si="6"/>
        <v>6296.27021652839</v>
      </c>
      <c r="G108" s="27">
        <f t="shared" si="6"/>
        <v>82.6298168254672</v>
      </c>
      <c r="H108" s="27">
        <f t="shared" si="6"/>
        <v>0.0600000000000001</v>
      </c>
      <c r="I108" s="27">
        <f t="shared" si="6"/>
        <v>0.0600000000000001</v>
      </c>
      <c r="J108" s="27">
        <f t="shared" si="6"/>
        <v>0.0600000000000001</v>
      </c>
      <c r="K108" s="27">
        <f t="shared" si="6"/>
        <v>0.0600000000000001</v>
      </c>
      <c r="L108" s="27">
        <f t="shared" si="6"/>
        <v>0.0600000000000001</v>
      </c>
    </row>
    <row r="109" spans="2:12">
      <c r="B109" s="3">
        <f t="shared" si="4"/>
        <v>8.2</v>
      </c>
      <c r="C109" s="27">
        <f t="shared" si="6"/>
        <v>2.07843840215003</v>
      </c>
      <c r="D109" s="27">
        <f t="shared" si="6"/>
        <v>96.8574302039607</v>
      </c>
      <c r="E109" s="27">
        <f t="shared" si="6"/>
        <v>269593.271390508</v>
      </c>
      <c r="F109" s="27">
        <f t="shared" si="6"/>
        <v>6445.83797597855</v>
      </c>
      <c r="G109" s="27">
        <f t="shared" si="6"/>
        <v>84.0001455794372</v>
      </c>
      <c r="H109" s="27">
        <f t="shared" si="6"/>
        <v>0.0640000000000001</v>
      </c>
      <c r="I109" s="27">
        <f t="shared" si="6"/>
        <v>0.0640000000000001</v>
      </c>
      <c r="J109" s="27">
        <f t="shared" si="6"/>
        <v>0.0640000000000001</v>
      </c>
      <c r="K109" s="27">
        <f t="shared" si="6"/>
        <v>0.0640000000000001</v>
      </c>
      <c r="L109" s="27">
        <f t="shared" si="6"/>
        <v>0.0640000000000001</v>
      </c>
    </row>
    <row r="110" spans="2:12">
      <c r="B110" s="3">
        <f t="shared" si="4"/>
        <v>8.4</v>
      </c>
      <c r="C110" s="27">
        <f t="shared" si="6"/>
        <v>2.10254809330233</v>
      </c>
      <c r="D110" s="27">
        <f t="shared" si="6"/>
        <v>98.4213862151546</v>
      </c>
      <c r="E110" s="27">
        <f t="shared" si="6"/>
        <v>275848.749716759</v>
      </c>
      <c r="F110" s="27">
        <f t="shared" si="6"/>
        <v>6595.4057354287</v>
      </c>
      <c r="G110" s="27">
        <f t="shared" si="6"/>
        <v>85.3704743334072</v>
      </c>
      <c r="H110" s="27">
        <f t="shared" si="6"/>
        <v>0.0680000000000001</v>
      </c>
      <c r="I110" s="27">
        <f t="shared" si="6"/>
        <v>0.0680000000000001</v>
      </c>
      <c r="J110" s="27">
        <f t="shared" si="6"/>
        <v>0.0680000000000001</v>
      </c>
      <c r="K110" s="27">
        <f t="shared" si="6"/>
        <v>0.0680000000000001</v>
      </c>
      <c r="L110" s="27">
        <f t="shared" si="6"/>
        <v>0.0680000000000001</v>
      </c>
    </row>
    <row r="111" spans="2:12">
      <c r="B111" s="3">
        <f t="shared" si="4"/>
        <v>8.6</v>
      </c>
      <c r="C111" s="27">
        <f t="shared" si="6"/>
        <v>2.12665778445463</v>
      </c>
      <c r="D111" s="27">
        <f t="shared" si="6"/>
        <v>99.9853422263486</v>
      </c>
      <c r="E111" s="27">
        <f t="shared" si="6"/>
        <v>282104.22804301</v>
      </c>
      <c r="F111" s="27">
        <f t="shared" si="6"/>
        <v>6744.97349487886</v>
      </c>
      <c r="G111" s="27">
        <f t="shared" si="6"/>
        <v>86.7408030873773</v>
      </c>
      <c r="H111" s="27">
        <f t="shared" si="6"/>
        <v>0.0720000000000001</v>
      </c>
      <c r="I111" s="27">
        <f t="shared" si="6"/>
        <v>0.0720000000000001</v>
      </c>
      <c r="J111" s="27">
        <f t="shared" si="6"/>
        <v>0.0720000000000001</v>
      </c>
      <c r="K111" s="27">
        <f t="shared" si="6"/>
        <v>0.0720000000000001</v>
      </c>
      <c r="L111" s="27">
        <f t="shared" si="6"/>
        <v>0.0720000000000001</v>
      </c>
    </row>
    <row r="112" spans="2:12">
      <c r="B112" s="3">
        <f t="shared" si="4"/>
        <v>8.8</v>
      </c>
      <c r="C112" s="27">
        <f t="shared" si="6"/>
        <v>2.15076747560693</v>
      </c>
      <c r="D112" s="27">
        <f t="shared" si="6"/>
        <v>101.549298237543</v>
      </c>
      <c r="E112" s="27">
        <f t="shared" si="6"/>
        <v>288359.706369261</v>
      </c>
      <c r="F112" s="27">
        <f t="shared" si="6"/>
        <v>6894.54125432902</v>
      </c>
      <c r="G112" s="27">
        <f t="shared" si="6"/>
        <v>88.1111318413473</v>
      </c>
      <c r="H112" s="27">
        <f t="shared" si="6"/>
        <v>0.0760000000000001</v>
      </c>
      <c r="I112" s="27">
        <f t="shared" si="6"/>
        <v>0.0760000000000001</v>
      </c>
      <c r="J112" s="27">
        <f t="shared" si="6"/>
        <v>0.0760000000000001</v>
      </c>
      <c r="K112" s="27">
        <f t="shared" si="6"/>
        <v>0.0760000000000001</v>
      </c>
      <c r="L112" s="27">
        <f t="shared" si="6"/>
        <v>0.0760000000000001</v>
      </c>
    </row>
    <row r="113" spans="2:12">
      <c r="B113" s="3">
        <f t="shared" si="4"/>
        <v>9</v>
      </c>
      <c r="C113" s="27">
        <f t="shared" si="6"/>
        <v>2.17487716675923</v>
      </c>
      <c r="D113" s="27">
        <f t="shared" si="6"/>
        <v>103.113254248736</v>
      </c>
      <c r="E113" s="27">
        <f t="shared" si="6"/>
        <v>294615.184695512</v>
      </c>
      <c r="F113" s="27">
        <f t="shared" si="6"/>
        <v>7044.10901377918</v>
      </c>
      <c r="G113" s="27">
        <f t="shared" si="6"/>
        <v>89.4814605953173</v>
      </c>
      <c r="H113" s="27">
        <f t="shared" si="6"/>
        <v>0.0800000000000001</v>
      </c>
      <c r="I113" s="27">
        <f t="shared" si="6"/>
        <v>0.0800000000000001</v>
      </c>
      <c r="J113" s="27">
        <f t="shared" si="6"/>
        <v>0.0800000000000001</v>
      </c>
      <c r="K113" s="27">
        <f t="shared" si="6"/>
        <v>0.0800000000000001</v>
      </c>
      <c r="L113" s="27">
        <f t="shared" si="6"/>
        <v>0.0800000000000001</v>
      </c>
    </row>
    <row r="114" spans="2:12">
      <c r="B114" s="3">
        <f t="shared" si="4"/>
        <v>9.2</v>
      </c>
      <c r="C114" s="27">
        <f t="shared" si="6"/>
        <v>2.19898685791153</v>
      </c>
      <c r="D114" s="27">
        <f t="shared" si="6"/>
        <v>104.67721025993</v>
      </c>
      <c r="E114" s="27">
        <f t="shared" si="6"/>
        <v>300870.663021763</v>
      </c>
      <c r="F114" s="27">
        <f t="shared" si="6"/>
        <v>7193.67677322934</v>
      </c>
      <c r="G114" s="27">
        <f t="shared" si="6"/>
        <v>90.8517893492873</v>
      </c>
      <c r="H114" s="27">
        <f t="shared" si="6"/>
        <v>0.0840000000000001</v>
      </c>
      <c r="I114" s="27">
        <f t="shared" si="6"/>
        <v>0.0840000000000001</v>
      </c>
      <c r="J114" s="27">
        <f t="shared" si="6"/>
        <v>0.0840000000000001</v>
      </c>
      <c r="K114" s="27">
        <f t="shared" si="6"/>
        <v>0.0840000000000001</v>
      </c>
      <c r="L114" s="27">
        <f t="shared" si="6"/>
        <v>0.0840000000000001</v>
      </c>
    </row>
    <row r="115" spans="2:12">
      <c r="B115" s="3">
        <f t="shared" si="4"/>
        <v>9.4</v>
      </c>
      <c r="C115" s="27">
        <f t="shared" si="6"/>
        <v>2.22309654906383</v>
      </c>
      <c r="D115" s="27">
        <f t="shared" si="6"/>
        <v>106.241166271124</v>
      </c>
      <c r="E115" s="27">
        <f t="shared" si="6"/>
        <v>307126.141348014</v>
      </c>
      <c r="F115" s="27">
        <f t="shared" si="6"/>
        <v>7343.2445326795</v>
      </c>
      <c r="G115" s="27">
        <f t="shared" si="6"/>
        <v>92.2221181032573</v>
      </c>
      <c r="H115" s="27">
        <f t="shared" si="6"/>
        <v>0.0880000000000001</v>
      </c>
      <c r="I115" s="27">
        <f t="shared" si="6"/>
        <v>0.0880000000000001</v>
      </c>
      <c r="J115" s="27">
        <f t="shared" si="6"/>
        <v>0.0880000000000001</v>
      </c>
      <c r="K115" s="27">
        <f t="shared" si="6"/>
        <v>0.0880000000000001</v>
      </c>
      <c r="L115" s="27">
        <f t="shared" si="6"/>
        <v>0.0880000000000001</v>
      </c>
    </row>
    <row r="116" spans="2:12">
      <c r="B116" s="3">
        <f t="shared" si="4"/>
        <v>9.6</v>
      </c>
      <c r="C116" s="27">
        <f t="shared" si="6"/>
        <v>2.24720624021612</v>
      </c>
      <c r="D116" s="27">
        <f t="shared" si="6"/>
        <v>107.805122282318</v>
      </c>
      <c r="E116" s="27">
        <f t="shared" si="6"/>
        <v>313381.619674265</v>
      </c>
      <c r="F116" s="27">
        <f t="shared" si="6"/>
        <v>7492.81229212966</v>
      </c>
      <c r="G116" s="27">
        <f t="shared" si="6"/>
        <v>93.5924468572273</v>
      </c>
      <c r="H116" s="27">
        <f t="shared" si="6"/>
        <v>0.0920000000000001</v>
      </c>
      <c r="I116" s="27">
        <f t="shared" si="6"/>
        <v>0.0920000000000001</v>
      </c>
      <c r="J116" s="27">
        <f t="shared" si="6"/>
        <v>0.0920000000000001</v>
      </c>
      <c r="K116" s="27">
        <f t="shared" si="6"/>
        <v>0.0920000000000001</v>
      </c>
      <c r="L116" s="27">
        <f t="shared" si="6"/>
        <v>0.0920000000000001</v>
      </c>
    </row>
    <row r="117" spans="2:12">
      <c r="B117" s="3">
        <f t="shared" si="4"/>
        <v>9.8</v>
      </c>
      <c r="C117" s="27">
        <f t="shared" ref="C117:L118" si="7">C116+(((C$33+0.1)-(C$32-0.1))/50)</f>
        <v>2.27131593136842</v>
      </c>
      <c r="D117" s="27">
        <f t="shared" si="7"/>
        <v>109.369078293512</v>
      </c>
      <c r="E117" s="27">
        <f t="shared" si="7"/>
        <v>319637.098000515</v>
      </c>
      <c r="F117" s="27">
        <f t="shared" si="7"/>
        <v>7642.38005157981</v>
      </c>
      <c r="G117" s="27">
        <f t="shared" si="7"/>
        <v>94.9627756111973</v>
      </c>
      <c r="H117" s="27">
        <f t="shared" si="7"/>
        <v>0.0960000000000001</v>
      </c>
      <c r="I117" s="27">
        <f t="shared" si="7"/>
        <v>0.0960000000000001</v>
      </c>
      <c r="J117" s="27">
        <f t="shared" si="7"/>
        <v>0.0960000000000001</v>
      </c>
      <c r="K117" s="27">
        <f t="shared" si="7"/>
        <v>0.0960000000000001</v>
      </c>
      <c r="L117" s="27">
        <f t="shared" si="7"/>
        <v>0.0960000000000001</v>
      </c>
    </row>
    <row r="118" spans="2:12">
      <c r="B118" s="3">
        <f t="shared" si="4"/>
        <v>10</v>
      </c>
      <c r="C118" s="27">
        <f t="shared" si="7"/>
        <v>2.29542562252072</v>
      </c>
      <c r="D118" s="27">
        <f t="shared" si="7"/>
        <v>110.933034304706</v>
      </c>
      <c r="E118" s="27">
        <f t="shared" si="7"/>
        <v>325892.576326766</v>
      </c>
      <c r="F118" s="27">
        <f t="shared" si="7"/>
        <v>7791.94781102997</v>
      </c>
      <c r="G118" s="27">
        <f t="shared" si="7"/>
        <v>96.3331043651674</v>
      </c>
      <c r="H118" s="27">
        <f t="shared" si="7"/>
        <v>0.1</v>
      </c>
      <c r="I118" s="27">
        <f t="shared" si="7"/>
        <v>0.1</v>
      </c>
      <c r="J118" s="27">
        <f t="shared" si="7"/>
        <v>0.1</v>
      </c>
      <c r="K118" s="27">
        <f t="shared" si="7"/>
        <v>0.1</v>
      </c>
      <c r="L118" s="27">
        <f t="shared" si="7"/>
        <v>0.1</v>
      </c>
    </row>
    <row r="119" spans="2:12">
      <c r="B119" s="3"/>
    </row>
    <row r="120" spans="2:12">
      <c r="B120" s="3"/>
    </row>
    <row r="121" spans="2:12">
      <c r="B121" s="3"/>
    </row>
    <row r="122" spans="2:12">
      <c r="B122" s="3"/>
    </row>
    <row r="123" spans="2:12">
      <c r="B123" s="3"/>
    </row>
    <row r="124" spans="2:12">
      <c r="B124" s="3"/>
    </row>
  </sheetData>
  <mergeCells count="2">
    <mergeCell ref="B2:D2"/>
    <mergeCell ref="B35:D35"/>
  </mergeCells>
  <pageMargins left="0.7" right="0.7" top="0.75" bottom="0.75" header="0.3" footer="0.3"/>
  <pageSetup paperSize="1" orientation="portrait" horizontalDpi="1200" verticalDpi="120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H122"/>
  <sheetViews>
    <sheetView showGridLines="0" tabSelected="1" zoomScale="71" zoomScaleNormal="71" topLeftCell="D1" workbookViewId="0">
      <selection activeCell="K13" sqref="K13"/>
    </sheetView>
  </sheetViews>
  <sheetFormatPr defaultColWidth="8.85185185185185" defaultRowHeight="13.8"/>
  <cols>
    <col min="1" max="1" width="8.85185185185185" style="2"/>
    <col min="2" max="2" width="35.712962962963" style="2" customWidth="1"/>
    <col min="3" max="3" width="29.1388888888889" style="3" customWidth="1"/>
    <col min="4" max="4" width="33.712962962963" style="3" customWidth="1"/>
    <col min="5" max="5" width="43.287037037037" style="3" customWidth="1"/>
    <col min="6" max="6" width="30.8518518518519" style="3" customWidth="1"/>
    <col min="7" max="7" width="28.1388888888889" style="2" customWidth="1"/>
    <col min="8" max="8" width="32.4259259259259" style="2" hidden="1" customWidth="1"/>
    <col min="9" max="9" width="33.8518518518519" style="2" hidden="1" customWidth="1"/>
    <col min="10" max="10" width="27.4259259259259" style="2" hidden="1" customWidth="1"/>
    <col min="11" max="11" width="31.8518518518519" style="2" customWidth="1"/>
    <col min="12" max="12" width="33.1388888888889" style="2" customWidth="1"/>
    <col min="13" max="13" width="47.287037037037" style="2" customWidth="1"/>
    <col min="14" max="14" width="48.712962962963" style="2" customWidth="1"/>
    <col min="15" max="15" width="50.712962962963" style="2" customWidth="1"/>
    <col min="16" max="16" width="22.287037037037" style="2" customWidth="1"/>
    <col min="17" max="17" width="21.8518518518519" style="2" customWidth="1"/>
    <col min="18" max="18" width="19.287037037037" style="2" customWidth="1"/>
    <col min="19" max="19" width="17.287037037037" style="2" hidden="1" customWidth="1"/>
    <col min="20" max="20" width="27.8518518518519" style="2" hidden="1" customWidth="1"/>
    <col min="21" max="21" width="22.4259259259259" style="2" hidden="1" customWidth="1"/>
    <col min="22" max="22" width="30.712962962963" style="2" hidden="1" customWidth="1"/>
    <col min="23" max="23" width="26.1388888888889" style="2" hidden="1" customWidth="1"/>
    <col min="24" max="24" width="37.8518518518519" style="2" hidden="1" customWidth="1"/>
    <col min="25" max="25" width="42.287037037037" style="2" hidden="1" customWidth="1"/>
    <col min="26" max="26" width="37.8518518518519" style="2" hidden="1" customWidth="1"/>
    <col min="27" max="27" width="39.1388888888889" style="2" hidden="1" customWidth="1"/>
    <col min="28" max="28" width="43.712962962963" style="2" hidden="1" customWidth="1"/>
    <col min="29" max="29" width="39.1388888888889" style="2" hidden="1" customWidth="1"/>
    <col min="30" max="30" width="29.1388888888889" style="2" hidden="1" customWidth="1"/>
    <col min="31" max="31" width="43.8518518518519" style="2" hidden="1" customWidth="1"/>
    <col min="32" max="32" width="33.4259259259259" style="2" hidden="1" customWidth="1"/>
    <col min="33" max="33" width="33.4259259259259" style="2" customWidth="1"/>
    <col min="34" max="16384" width="8.85185185185185" style="2"/>
  </cols>
  <sheetData>
    <row r="2" customFormat="1" ht="35.1" customHeight="1" spans="2:33">
      <c r="B2" s="4" t="s">
        <v>1327</v>
      </c>
      <c r="C2" s="4"/>
      <c r="D2" s="4"/>
      <c r="E2" s="4"/>
      <c r="F2" s="4"/>
      <c r="G2" s="4"/>
      <c r="H2" s="4"/>
      <c r="I2" s="4"/>
      <c r="J2" s="4"/>
      <c r="K2" s="4"/>
      <c r="L2" s="4"/>
      <c r="M2" s="4"/>
      <c r="N2" s="4"/>
      <c r="O2" s="4"/>
      <c r="P2" s="4"/>
      <c r="Q2" s="4"/>
      <c r="R2" s="4"/>
      <c r="S2" s="5"/>
      <c r="T2" s="5"/>
      <c r="U2" s="5"/>
      <c r="V2" s="5"/>
      <c r="W2" s="5"/>
      <c r="X2" s="5"/>
      <c r="Y2" s="5"/>
      <c r="Z2" s="5"/>
      <c r="AA2" s="5"/>
      <c r="AB2" s="5"/>
      <c r="AC2" s="5"/>
      <c r="AD2" s="5"/>
      <c r="AE2" s="5"/>
      <c r="AF2" s="5"/>
      <c r="AG2" s="5"/>
    </row>
    <row r="3" customFormat="1" ht="29.1" customHeight="1" spans="2:33">
      <c r="B3" s="6" t="s">
        <v>46</v>
      </c>
      <c r="C3" s="7" t="s">
        <v>1346</v>
      </c>
      <c r="D3" s="8" t="s">
        <v>72</v>
      </c>
      <c r="E3" s="9" t="s">
        <v>74</v>
      </c>
      <c r="F3" s="9" t="s">
        <v>76</v>
      </c>
      <c r="G3" s="8" t="s">
        <v>78</v>
      </c>
      <c r="H3" s="8" t="s">
        <v>80</v>
      </c>
      <c r="I3" s="8" t="s">
        <v>82</v>
      </c>
      <c r="J3" s="8" t="s">
        <v>84</v>
      </c>
      <c r="K3" s="8" t="s">
        <v>86</v>
      </c>
      <c r="L3" s="8" t="s">
        <v>88</v>
      </c>
      <c r="M3" s="8" t="s">
        <v>90</v>
      </c>
      <c r="N3" s="8" t="s">
        <v>92</v>
      </c>
      <c r="O3" s="8" t="s">
        <v>94</v>
      </c>
      <c r="P3" s="10" t="s">
        <v>166</v>
      </c>
      <c r="Q3" s="10" t="s">
        <v>167</v>
      </c>
      <c r="R3" s="10" t="s">
        <v>168</v>
      </c>
      <c r="S3" s="8" t="s">
        <v>96</v>
      </c>
      <c r="T3" s="8" t="s">
        <v>98</v>
      </c>
      <c r="U3" s="8" t="s">
        <v>100</v>
      </c>
      <c r="V3" s="8" t="s">
        <v>169</v>
      </c>
      <c r="W3" s="11" t="s">
        <v>1348</v>
      </c>
      <c r="X3" s="8" t="s">
        <v>104</v>
      </c>
      <c r="Y3" s="8" t="s">
        <v>106</v>
      </c>
      <c r="Z3" s="8" t="s">
        <v>108</v>
      </c>
      <c r="AA3" s="8" t="s">
        <v>110</v>
      </c>
      <c r="AB3" s="8" t="s">
        <v>112</v>
      </c>
      <c r="AC3" s="8" t="s">
        <v>114</v>
      </c>
      <c r="AD3" s="8" t="s">
        <v>116</v>
      </c>
      <c r="AE3" s="8" t="s">
        <v>118</v>
      </c>
      <c r="AF3" s="12" t="s">
        <v>171</v>
      </c>
      <c r="AG3" s="12" t="s">
        <v>172</v>
      </c>
    </row>
    <row r="4" spans="2:33">
      <c r="B4" s="13" t="s">
        <v>133</v>
      </c>
      <c r="C4" s="3" cm="1">
        <f t="array" ref="C4">_xlfn.STDEV.S(IF('Fractional-Calorimetry-Data'!$B$4:$B$2948=B4,IF('Fractional-Calorimetry-Data'!$J$4:$J2853=100,'Fractional-Calorimetry-Data'!$BE$4:$BE$2948)))</f>
        <v>0.0760023243843717</v>
      </c>
      <c r="D4" s="3" cm="1">
        <f t="array" ref="D4">_xlfn.STDEV.S(IF('Fractional-Calorimetry-Data'!$B$4:$B$2948=$B4,IF('Fractional-Calorimetry-Data'!$J$4:$J$2853=100,'Fractional-Calorimetry-Data'!R$4:R$2948)))</f>
        <v>3.15099056559307</v>
      </c>
      <c r="E4" s="3" cm="1">
        <f t="array" ref="E4">_xlfn.STDEV.S(IF('Fractional-Calorimetry-Data'!$B$4:$B$2948=$B4,IF('Fractional-Calorimetry-Data'!$J$4:$J$2853=100,'Fractional-Calorimetry-Data'!S$4:S$2948)))</f>
        <v>0.0109711595554591</v>
      </c>
      <c r="F4" s="3" cm="1">
        <f t="array" ref="F4">_xlfn.STDEV.S(IF('Fractional-Calorimetry-Data'!$B$4:$B$2948=$B4,IF('Fractional-Calorimetry-Data'!$J$4:$J$2853=100,'Fractional-Calorimetry-Data'!T$4:T$2948)))</f>
        <v>2.87433920382643</v>
      </c>
      <c r="G4" s="3" cm="1">
        <f t="array" ref="G4">_xlfn.STDEV.S(IF('Fractional-Calorimetry-Data'!$B$4:$B$2948=$B4,IF('Fractional-Calorimetry-Data'!$J$4:$J$2853=100,'Fractional-Calorimetry-Data'!U$4:U$2948)))</f>
        <v>3.25046740927081</v>
      </c>
      <c r="H4" s="3" cm="1">
        <f t="array" ref="H4">_xlfn.STDEV.S(IF('Fractional-Calorimetry-Data'!$B$4:$B$2948=$B4,IF('Fractional-Calorimetry-Data'!$J$4:$J$2853=100,'Fractional-Calorimetry-Data'!V$4:V$2948)))</f>
        <v>5.08290912780539</v>
      </c>
      <c r="I4" s="3" cm="1">
        <f t="array" ref="I4">_xlfn.STDEV.S(IF('Fractional-Calorimetry-Data'!$B$4:$B$2948=$B4,IF('Fractional-Calorimetry-Data'!$J$4:$J$2853=100,'Fractional-Calorimetry-Data'!W$4:W$2948)))</f>
        <v>15.6033017339782</v>
      </c>
      <c r="J4" s="3" cm="1">
        <f t="array" ref="J4">_xlfn.STDEV.S(IF('Fractional-Calorimetry-Data'!$B$4:$B$2948=$B4,IF('Fractional-Calorimetry-Data'!$J$4:$J$2853=100,'Fractional-Calorimetry-Data'!X$4:X$2948)))</f>
        <v>16.9343956460301</v>
      </c>
      <c r="K4" s="3" cm="1">
        <f t="array" ref="K4">_xlfn.STDEV.S(IF('Fractional-Calorimetry-Data'!$B$4:$B$2948=$B4,IF('Fractional-Calorimetry-Data'!$J$4:$J$2853=100,'Fractional-Calorimetry-Data'!Y$4:Y$2948)))</f>
        <v>8.77756699921972</v>
      </c>
      <c r="L4" s="3" cm="1">
        <f t="array" ref="L4">_xlfn.STDEV.S(IF('Fractional-Calorimetry-Data'!$B$4:$B$2948=$B4,IF('Fractional-Calorimetry-Data'!$J$4:$J$2853=100,'Fractional-Calorimetry-Data'!Z$4:Z$2948)))</f>
        <v>25.3608921473608</v>
      </c>
      <c r="M4" s="3" cm="1">
        <f t="array" ref="M4">_xlfn.STDEV.S(IF('Fractional-Calorimetry-Data'!$B$4:$B$2948=$B4,IF('Fractional-Calorimetry-Data'!$J$4:$J$2853=100,'Fractional-Calorimetry-Data'!AA$4:AA$2948)))</f>
        <v>27.4834779768939</v>
      </c>
      <c r="N4" s="3" cm="1">
        <f t="array" ref="N4">_xlfn.STDEV.S(IF('Fractional-Calorimetry-Data'!$B$4:$B$2948=$B4,IF('Fractional-Calorimetry-Data'!$J$4:$J$2853=100,'Fractional-Calorimetry-Data'!AB$4:AB$2948)))</f>
        <v>0.94812819354871</v>
      </c>
      <c r="O4" s="3" cm="1">
        <f t="array" ref="O4">_xlfn.STDEV.S(IF('Fractional-Calorimetry-Data'!$B$4:$B$2948=$B4,IF('Fractional-Calorimetry-Data'!$J$4:$J$2853=100,'Fractional-Calorimetry-Data'!AC$4:AC$2948)))</f>
        <v>0.63978548578487</v>
      </c>
      <c r="P4" s="3" cm="1">
        <f t="array" ref="P4">_xlfn.STDEV.S(IF('Fractional-Calorimetry-Data'!$B$4:$B$2948=$B4,IF('Fractional-Calorimetry-Data'!$J$4:$J$2853=100,'Fractional-Calorimetry-Data'!AD$4:AD$2948)))</f>
        <v>2.52995854034523</v>
      </c>
      <c r="Q4" s="3" cm="1">
        <f t="array" ref="Q4">_xlfn.STDEV.S(IF('Fractional-Calorimetry-Data'!$B$4:$B$2948=$B4,IF('Fractional-Calorimetry-Data'!$J$4:$J$2853=100,'Fractional-Calorimetry-Data'!AE$4:AE$2948)))</f>
        <v>0.814529086815444</v>
      </c>
      <c r="R4" s="3" cm="1">
        <f t="array" ref="R4">_xlfn.STDEV.S(IF('Fractional-Calorimetry-Data'!$B$4:$B$2948=$B4,IF('Fractional-Calorimetry-Data'!$J$4:$J$2853=100,'Fractional-Calorimetry-Data'!AF$4:AF$2948)))</f>
        <v>1.7837862722432</v>
      </c>
      <c r="S4" s="3" cm="1">
        <f t="array" ref="S4">_xlfn.STDEV.S(IF('Fractional-Calorimetry-Data'!$B$4:$B$2948=$B4,IF('Fractional-Calorimetry-Data'!$J$4:$J$2853=100,'Fractional-Calorimetry-Data'!AG$4:AG$2948)))</f>
        <v>212.938002294331</v>
      </c>
      <c r="T4" s="3" cm="1">
        <f t="array" ref="T4">_xlfn.STDEV.S(IF('Fractional-Calorimetry-Data'!$B$4:$B$2948=$B4,IF('Fractional-Calorimetry-Data'!$J$4:$J$2853=100,'Fractional-Calorimetry-Data'!AH$4:AH$2948)))</f>
        <v>15.7241322384077</v>
      </c>
      <c r="U4" s="3" cm="1">
        <f t="array" ref="U4">_xlfn.STDEV.S(IF('Fractional-Calorimetry-Data'!$B$4:$B$2948=$B4,IF('Fractional-Calorimetry-Data'!$J$4:$J$2853=100,'Fractional-Calorimetry-Data'!AI$4:AI$2948)))</f>
        <v>24.8331496176191</v>
      </c>
      <c r="V4" s="3" cm="1">
        <f t="array" ref="V4">_xlfn.STDEV.S(IF('Fractional-Calorimetry-Data'!$B$4:$B$2948=$B4,IF('Fractional-Calorimetry-Data'!$J$4:$J$2853=100,'Fractional-Calorimetry-Data'!AJ$4:AJ$2948)))</f>
        <v>52.064681412308</v>
      </c>
      <c r="W4" s="3" cm="1">
        <f t="array" ref="W4">_xlfn.STDEV.S(IF('Fractional-Calorimetry-Data'!$B$4:$B$2948=$B4,IF('Fractional-Calorimetry-Data'!$J$4:$J$2853=100,'Fractional-Calorimetry-Data'!AK$4:AK$2948)))</f>
        <v>39.6937990900244</v>
      </c>
      <c r="X4" s="3" cm="1">
        <f t="array" ref="X4">_xlfn.STDEV.S(IF('Fractional-Calorimetry-Data'!$B$4:$B$2948=$B4,IF('Fractional-Calorimetry-Data'!$J$4:$J$2853=100,'Fractional-Calorimetry-Data'!AL$4:AL$2948)))</f>
        <v>4.34187173960016</v>
      </c>
      <c r="Y4" s="3" cm="1">
        <f t="array" ref="Y4">_xlfn.STDEV.S(IF('Fractional-Calorimetry-Data'!$B$4:$B$2948=$B4,IF('Fractional-Calorimetry-Data'!$J$4:$J$2853=100,'Fractional-Calorimetry-Data'!AM$4:AM$2948)))</f>
        <v>2.84740284559981</v>
      </c>
      <c r="Z4" s="3" cm="1">
        <f t="array" ref="Z4">_xlfn.STDEV.S(IF('Fractional-Calorimetry-Data'!$B$4:$B$2948=$B4,IF('Fractional-Calorimetry-Data'!$J$4:$J$2853=100,'Fractional-Calorimetry-Data'!AN$4:AN$2948)))</f>
        <v>3.14246908574957</v>
      </c>
      <c r="AA4" s="3" cm="1">
        <f t="array" ref="AA4">_xlfn.STDEV.S(IF('Fractional-Calorimetry-Data'!$B$4:$B$2948=$B4,IF('Fractional-Calorimetry-Data'!$J$4:$J$2853=100,'Fractional-Calorimetry-Data'!AO$4:AO$2948)))</f>
        <v>1.63454041498677</v>
      </c>
      <c r="AB4" s="3" cm="1">
        <f t="array" ref="AB4">_xlfn.STDEV.S(IF('Fractional-Calorimetry-Data'!$B$4:$B$2948=$B4,IF('Fractional-Calorimetry-Data'!$J$4:$J$2853=100,'Fractional-Calorimetry-Data'!AP$4:AP$2948)))</f>
        <v>1.72931441333644</v>
      </c>
      <c r="AC4" s="3" cm="1">
        <f t="array" ref="AC4">_xlfn.STDEV.S(IF('Fractional-Calorimetry-Data'!$B$4:$B$2948=$B4,IF('Fractional-Calorimetry-Data'!$J$4:$J$2853=100,'Fractional-Calorimetry-Data'!AQ$4:AQ$2948)))</f>
        <v>3.54257227668251</v>
      </c>
      <c r="AD4" s="3" cm="1">
        <f t="array" ref="AD4">_xlfn.STDEV.S(IF('Fractional-Calorimetry-Data'!$B$4:$B$2948=$B4,IF('Fractional-Calorimetry-Data'!$J$4:$J$2853=100,'Fractional-Calorimetry-Data'!AR$4:AR$2948)))</f>
        <v>1.21156241680121</v>
      </c>
      <c r="AE4" s="3" cm="1">
        <f t="array" ref="AE4">_xlfn.STDEV.S(IF('Fractional-Calorimetry-Data'!$B$4:$B$2948=$B4,IF('Fractional-Calorimetry-Data'!$J$4:$J$2853=100,'Fractional-Calorimetry-Data'!AS$4:AS$2948)))</f>
        <v>2.78966287335013</v>
      </c>
      <c r="AF4" s="3" cm="1">
        <f t="array" ref="AF4">_xlfn.STDEV.S(IF('Fractional-Calorimetry-Data'!$B$4:$B$2948=$B4,IF('Fractional-Calorimetry-Data'!$J$4:$J$2853=100,'Fractional-Calorimetry-Data'!AT$4:AT$2948)))</f>
        <v>4.5141686031593</v>
      </c>
      <c r="AG4" s="3" cm="1">
        <f t="array" ref="AG4">_xlfn.STDEV.S(IF('Fractional-Calorimetry-Data'!$B$4:$B$2948=$B4,IF('Fractional-Calorimetry-Data'!$J$4:$J$2853=100,'Fractional-Calorimetry-Data'!AU$4:AU$2948)))</f>
        <v>9.30875404741578</v>
      </c>
    </row>
    <row r="5" spans="2:33">
      <c r="B5" s="13" t="s">
        <v>136</v>
      </c>
      <c r="C5" s="3" cm="1">
        <f t="array" ref="C5">_xlfn.STDEV.S(IF('Fractional-Calorimetry-Data'!$B$4:$B$2948=B5,IF('Fractional-Calorimetry-Data'!$J$4:$J2854=100,'Fractional-Calorimetry-Data'!$BE$4:$BE$2948)))</f>
        <v>0.127550205217485</v>
      </c>
      <c r="D5" s="3" cm="1">
        <f t="array" ref="D5">_xlfn.STDEV.S(IF('Fractional-Calorimetry-Data'!$B$4:$B$2948=$B5,IF('Fractional-Calorimetry-Data'!$J$4:$J$2853=100,'Fractional-Calorimetry-Data'!R$4:R$2948)))</f>
        <v>7.95910308825442</v>
      </c>
      <c r="E5" s="3" cm="1">
        <f t="array" ref="E5">_xlfn.STDEV.S(IF('Fractional-Calorimetry-Data'!$B$4:$B$2948=$B5,IF('Fractional-Calorimetry-Data'!$J$4:$J$2853=100,'Fractional-Calorimetry-Data'!S$4:S$2948)))</f>
        <v>0.00924765518587182</v>
      </c>
      <c r="F5" s="3" cm="1">
        <f t="array" ref="F5">_xlfn.STDEV.S(IF('Fractional-Calorimetry-Data'!$B$4:$B$2948=$B5,IF('Fractional-Calorimetry-Data'!$J$4:$J$2853=100,'Fractional-Calorimetry-Data'!T$4:T$2948)))</f>
        <v>7.26390770516676</v>
      </c>
      <c r="G5" s="3" cm="1">
        <f t="array" ref="G5">_xlfn.STDEV.S(IF('Fractional-Calorimetry-Data'!$B$4:$B$2948=$B5,IF('Fractional-Calorimetry-Data'!$J$4:$J$2853=100,'Fractional-Calorimetry-Data'!U$4:U$2948)))</f>
        <v>8.26525329809301</v>
      </c>
      <c r="H5" s="3" cm="1">
        <f t="array" ref="H5">_xlfn.STDEV.S(IF('Fractional-Calorimetry-Data'!$B$4:$B$2948=$B5,IF('Fractional-Calorimetry-Data'!$J$4:$J$2853=100,'Fractional-Calorimetry-Data'!V$4:V$2948)))</f>
        <v>4.55362473078893</v>
      </c>
      <c r="I5" s="3" cm="1">
        <f t="array" ref="I5">_xlfn.STDEV.S(IF('Fractional-Calorimetry-Data'!$B$4:$B$2948=$B5,IF('Fractional-Calorimetry-Data'!$J$4:$J$2853=100,'Fractional-Calorimetry-Data'!W$4:W$2948)))</f>
        <v>14.5151270192046</v>
      </c>
      <c r="J5" s="3" cm="1">
        <f t="array" ref="J5">_xlfn.STDEV.S(IF('Fractional-Calorimetry-Data'!$B$4:$B$2948=$B5,IF('Fractional-Calorimetry-Data'!$J$4:$J$2853=100,'Fractional-Calorimetry-Data'!X$4:X$2948)))</f>
        <v>15.7595091421343</v>
      </c>
      <c r="K5" s="3" cm="1">
        <f t="array" ref="K5">_xlfn.STDEV.S(IF('Fractional-Calorimetry-Data'!$B$4:$B$2948=$B5,IF('Fractional-Calorimetry-Data'!$J$4:$J$2853=100,'Fractional-Calorimetry-Data'!Y$4:Y$2948)))</f>
        <v>5.97970635402598</v>
      </c>
      <c r="L5" s="3" cm="1">
        <f t="array" ref="L5">_xlfn.STDEV.S(IF('Fractional-Calorimetry-Data'!$B$4:$B$2948=$B5,IF('Fractional-Calorimetry-Data'!$J$4:$J$2853=100,'Fractional-Calorimetry-Data'!Z$4:Z$2948)))</f>
        <v>15.2685962036868</v>
      </c>
      <c r="M5" s="3" cm="1">
        <f t="array" ref="M5">_xlfn.STDEV.S(IF('Fractional-Calorimetry-Data'!$B$4:$B$2948=$B5,IF('Fractional-Calorimetry-Data'!$J$4:$J$2853=100,'Fractional-Calorimetry-Data'!AA$4:AA$2948)))</f>
        <v>16.8707365184599</v>
      </c>
      <c r="N5" s="3" cm="1">
        <f t="array" ref="N5">_xlfn.STDEV.S(IF('Fractional-Calorimetry-Data'!$B$4:$B$2948=$B5,IF('Fractional-Calorimetry-Data'!$J$4:$J$2853=100,'Fractional-Calorimetry-Data'!AB$4:AB$2948)))</f>
        <v>1.83855046392848</v>
      </c>
      <c r="O5" s="3" cm="1">
        <f t="array" ref="O5">_xlfn.STDEV.S(IF('Fractional-Calorimetry-Data'!$B$4:$B$2948=$B5,IF('Fractional-Calorimetry-Data'!$J$4:$J$2853=100,'Fractional-Calorimetry-Data'!AC$4:AC$2948)))</f>
        <v>1.0476402297526</v>
      </c>
      <c r="P5" s="3" cm="1">
        <f t="array" ref="P5">_xlfn.STDEV.S(IF('Fractional-Calorimetry-Data'!$B$4:$B$2948=$B5,IF('Fractional-Calorimetry-Data'!$J$4:$J$2853=100,'Fractional-Calorimetry-Data'!AD$4:AD$2948)))</f>
        <v>2.75096725079635</v>
      </c>
      <c r="Q5" s="3" cm="1">
        <f t="array" ref="Q5">_xlfn.STDEV.S(IF('Fractional-Calorimetry-Data'!$B$4:$B$2948=$B5,IF('Fractional-Calorimetry-Data'!$J$4:$J$2853=100,'Fractional-Calorimetry-Data'!AE$4:AE$2948)))</f>
        <v>1.26574263238949</v>
      </c>
      <c r="R5" s="3" cm="1">
        <f t="array" ref="R5">_xlfn.STDEV.S(IF('Fractional-Calorimetry-Data'!$B$4:$B$2948=$B5,IF('Fractional-Calorimetry-Data'!$J$4:$J$2853=100,'Fractional-Calorimetry-Data'!AF$4:AF$2948)))</f>
        <v>2.34193133120027</v>
      </c>
      <c r="S5" s="3" cm="1">
        <f t="array" ref="S5">_xlfn.STDEV.S(IF('Fractional-Calorimetry-Data'!$B$4:$B$2948=$B5,IF('Fractional-Calorimetry-Data'!$J$4:$J$2853=100,'Fractional-Calorimetry-Data'!AG$4:AG$2948)))</f>
        <v>103.597409841613</v>
      </c>
      <c r="T5" s="3" cm="1">
        <f t="array" ref="T5">_xlfn.STDEV.S(IF('Fractional-Calorimetry-Data'!$B$4:$B$2948=$B5,IF('Fractional-Calorimetry-Data'!$J$4:$J$2853=100,'Fractional-Calorimetry-Data'!AH$4:AH$2948)))</f>
        <v>79.1215836504569</v>
      </c>
      <c r="U5" s="3" cm="1">
        <f t="array" ref="U5">_xlfn.STDEV.S(IF('Fractional-Calorimetry-Data'!$B$4:$B$2948=$B5,IF('Fractional-Calorimetry-Data'!$J$4:$J$2853=100,'Fractional-Calorimetry-Data'!AI$4:AI$2948)))</f>
        <v>22.2176725378447</v>
      </c>
      <c r="V5" s="3" cm="1">
        <f t="array" ref="V5">_xlfn.STDEV.S(IF('Fractional-Calorimetry-Data'!$B$4:$B$2948=$B5,IF('Fractional-Calorimetry-Data'!$J$4:$J$2853=100,'Fractional-Calorimetry-Data'!AJ$4:AJ$2948)))</f>
        <v>49.9050896387576</v>
      </c>
      <c r="W5" s="3" cm="1">
        <f t="array" ref="W5">_xlfn.STDEV.S(IF('Fractional-Calorimetry-Data'!$B$4:$B$2948=$B5,IF('Fractional-Calorimetry-Data'!$J$4:$J$2853=100,'Fractional-Calorimetry-Data'!AK$4:AK$2948)))</f>
        <v>52.0969045373142</v>
      </c>
      <c r="X5" s="3" cm="1">
        <f t="array" ref="X5">_xlfn.STDEV.S(IF('Fractional-Calorimetry-Data'!$B$4:$B$2948=$B5,IF('Fractional-Calorimetry-Data'!$J$4:$J$2853=100,'Fractional-Calorimetry-Data'!AL$4:AL$2948)))</f>
        <v>4.34141344595828</v>
      </c>
      <c r="Y5" s="3" cm="1">
        <f t="array" ref="Y5">_xlfn.STDEV.S(IF('Fractional-Calorimetry-Data'!$B$4:$B$2948=$B5,IF('Fractional-Calorimetry-Data'!$J$4:$J$2853=100,'Fractional-Calorimetry-Data'!AM$4:AM$2948)))</f>
        <v>1.4887639419037</v>
      </c>
      <c r="Z5" s="3" cm="1">
        <f t="array" ref="Z5">_xlfn.STDEV.S(IF('Fractional-Calorimetry-Data'!$B$4:$B$2948=$B5,IF('Fractional-Calorimetry-Data'!$J$4:$J$2853=100,'Fractional-Calorimetry-Data'!AN$4:AN$2948)))</f>
        <v>2.66992391406507</v>
      </c>
      <c r="AA5" s="3" cm="1">
        <f t="array" ref="AA5">_xlfn.STDEV.S(IF('Fractional-Calorimetry-Data'!$B$4:$B$2948=$B5,IF('Fractional-Calorimetry-Data'!$J$4:$J$2853=100,'Fractional-Calorimetry-Data'!AO$4:AO$2948)))</f>
        <v>0.914324133275314</v>
      </c>
      <c r="AB5" s="3" cm="1">
        <f t="array" ref="AB5">_xlfn.STDEV.S(IF('Fractional-Calorimetry-Data'!$B$4:$B$2948=$B5,IF('Fractional-Calorimetry-Data'!$J$4:$J$2853=100,'Fractional-Calorimetry-Data'!AP$4:AP$2948)))</f>
        <v>1.70477090197771</v>
      </c>
      <c r="AC5" s="3" cm="1">
        <f t="array" ref="AC5">_xlfn.STDEV.S(IF('Fractional-Calorimetry-Data'!$B$4:$B$2948=$B5,IF('Fractional-Calorimetry-Data'!$J$4:$J$2853=100,'Fractional-Calorimetry-Data'!AQ$4:AQ$2948)))</f>
        <v>3.22079401030136</v>
      </c>
      <c r="AD5" s="3" cm="1">
        <f t="array" ref="AD5">_xlfn.STDEV.S(IF('Fractional-Calorimetry-Data'!$B$4:$B$2948=$B5,IF('Fractional-Calorimetry-Data'!$J$4:$J$2853=100,'Fractional-Calorimetry-Data'!AR$4:AR$2948)))</f>
        <v>0.99291513395148</v>
      </c>
      <c r="AE5" s="3" cm="1">
        <f t="array" ref="AE5">_xlfn.STDEV.S(IF('Fractional-Calorimetry-Data'!$B$4:$B$2948=$B5,IF('Fractional-Calorimetry-Data'!$J$4:$J$2853=100,'Fractional-Calorimetry-Data'!AS$4:AS$2948)))</f>
        <v>3.97870215048957</v>
      </c>
      <c r="AF5" s="3" cm="1">
        <f t="array" ref="AF5">_xlfn.STDEV.S(IF('Fractional-Calorimetry-Data'!$B$4:$B$2948=$B5,IF('Fractional-Calorimetry-Data'!$J$4:$J$2853=100,'Fractional-Calorimetry-Data'!AT$4:AT$2948)))</f>
        <v>4.46316921492143</v>
      </c>
      <c r="AG5" s="3" cm="1">
        <f t="array" ref="AG5">_xlfn.STDEV.S(IF('Fractional-Calorimetry-Data'!$B$4:$B$2948=$B5,IF('Fractional-Calorimetry-Data'!$J$4:$J$2853=100,'Fractional-Calorimetry-Data'!AU$4:AU$2948)))</f>
        <v>6.07957119528572</v>
      </c>
    </row>
    <row r="6" spans="2:33">
      <c r="B6" s="14" t="s">
        <v>139</v>
      </c>
      <c r="C6" s="3" cm="1">
        <f t="array" ref="C6">_xlfn.STDEV.S(IF('Fractional-Calorimetry-Data'!$B$4:$B$2948=B6,IF('Fractional-Calorimetry-Data'!$J$4:$J2856=100,'Fractional-Calorimetry-Data'!$BE$4:$BE$2948)))</f>
        <v>0.191996053325814</v>
      </c>
      <c r="D6" s="3" cm="1">
        <f t="array" ref="D6">_xlfn.STDEV.S(IF('Fractional-Calorimetry-Data'!$B$4:$B$2948=$B6,IF('Fractional-Calorimetry-Data'!$J$4:$J$2853=100,'Fractional-Calorimetry-Data'!R$4:R$2948)))</f>
        <v>7.02460545555026</v>
      </c>
      <c r="E6" s="3" cm="1">
        <f t="array" ref="E6">_xlfn.STDEV.S(IF('Fractional-Calorimetry-Data'!$B$4:$B$2948=$B6,IF('Fractional-Calorimetry-Data'!$J$4:$J$2853=100,'Fractional-Calorimetry-Data'!S$4:S$2948)))</f>
        <v>0.0215810745278769</v>
      </c>
      <c r="F6" s="3" cm="1">
        <f t="array" ref="F6">_xlfn.STDEV.S(IF('Fractional-Calorimetry-Data'!$B$4:$B$2948=$B6,IF('Fractional-Calorimetry-Data'!$J$4:$J$2853=100,'Fractional-Calorimetry-Data'!T$4:T$2948)))</f>
        <v>6.87917643089458</v>
      </c>
      <c r="G6" s="3" cm="1">
        <f t="array" ref="G6">_xlfn.STDEV.S(IF('Fractional-Calorimetry-Data'!$B$4:$B$2948=$B6,IF('Fractional-Calorimetry-Data'!$J$4:$J$2853=100,'Fractional-Calorimetry-Data'!U$4:U$2948)))</f>
        <v>8.63097522152437</v>
      </c>
      <c r="H6" s="3" cm="1">
        <f t="array" ref="H6">_xlfn.STDEV.S(IF('Fractional-Calorimetry-Data'!$B$4:$B$2948=$B6,IF('Fractional-Calorimetry-Data'!$J$4:$J$2853=100,'Fractional-Calorimetry-Data'!V$4:V$2948)))</f>
        <v>8.30120407996546</v>
      </c>
      <c r="I6" s="3" cm="1">
        <f t="array" ref="I6">_xlfn.STDEV.S(IF('Fractional-Calorimetry-Data'!$B$4:$B$2948=$B6,IF('Fractional-Calorimetry-Data'!$J$4:$J$2853=100,'Fractional-Calorimetry-Data'!W$4:W$2948)))</f>
        <v>18.3292025636892</v>
      </c>
      <c r="J6" s="3" cm="1">
        <f t="array" ref="J6">_xlfn.STDEV.S(IF('Fractional-Calorimetry-Data'!$B$4:$B$2948=$B6,IF('Fractional-Calorimetry-Data'!$J$4:$J$2853=100,'Fractional-Calorimetry-Data'!X$4:X$2948)))</f>
        <v>9.3341547200558</v>
      </c>
      <c r="K6" s="3" cm="1">
        <f t="array" ref="K6">_xlfn.STDEV.S(IF('Fractional-Calorimetry-Data'!$B$4:$B$2948=$B6,IF('Fractional-Calorimetry-Data'!$J$4:$J$2853=100,'Fractional-Calorimetry-Data'!Y$4:Y$2948)))</f>
        <v>12.1036632550144</v>
      </c>
      <c r="L6" s="3" cm="1">
        <f t="array" ref="L6">_xlfn.STDEV.S(IF('Fractional-Calorimetry-Data'!$B$4:$B$2948=$B6,IF('Fractional-Calorimetry-Data'!$J$4:$J$2853=100,'Fractional-Calorimetry-Data'!Z$4:Z$2948)))</f>
        <v>24.5089335299903</v>
      </c>
      <c r="M6" s="3" cm="1">
        <f t="array" ref="M6">_xlfn.STDEV.S(IF('Fractional-Calorimetry-Data'!$B$4:$B$2948=$B6,IF('Fractional-Calorimetry-Data'!$J$4:$J$2853=100,'Fractional-Calorimetry-Data'!AA$4:AA$2948)))</f>
        <v>15.8626165180338</v>
      </c>
      <c r="N6" s="3" cm="1">
        <f t="array" ref="N6">_xlfn.STDEV.S(IF('Fractional-Calorimetry-Data'!$B$4:$B$2948=$B6,IF('Fractional-Calorimetry-Data'!$J$4:$J$2853=100,'Fractional-Calorimetry-Data'!AB$4:AB$2948)))</f>
        <v>3.97939497448573</v>
      </c>
      <c r="O6" s="3" cm="1">
        <f t="array" ref="O6">_xlfn.STDEV.S(IF('Fractional-Calorimetry-Data'!$B$4:$B$2948=$B6,IF('Fractional-Calorimetry-Data'!$J$4:$J$2853=100,'Fractional-Calorimetry-Data'!AC$4:AC$2948)))</f>
        <v>0.182409507008385</v>
      </c>
      <c r="P6" s="3" cm="1">
        <f t="array" ref="P6">_xlfn.STDEV.S(IF('Fractional-Calorimetry-Data'!$B$4:$B$2948=$B6,IF('Fractional-Calorimetry-Data'!$J$4:$J$2853=100,'Fractional-Calorimetry-Data'!AD$4:AD$2948)))</f>
        <v>4.38823735807572</v>
      </c>
      <c r="Q6" s="3" cm="1">
        <f t="array" ref="Q6">_xlfn.STDEV.S(IF('Fractional-Calorimetry-Data'!$B$4:$B$2948=$B6,IF('Fractional-Calorimetry-Data'!$J$4:$J$2853=100,'Fractional-Calorimetry-Data'!AE$4:AE$2948)))</f>
        <v>1.08717038472073</v>
      </c>
      <c r="R6" s="3" cm="1">
        <f t="array" ref="R6">_xlfn.STDEV.S(IF('Fractional-Calorimetry-Data'!$B$4:$B$2948=$B6,IF('Fractional-Calorimetry-Data'!$J$4:$J$2853=100,'Fractional-Calorimetry-Data'!AF$4:AF$2948)))</f>
        <v>4.64935236565266</v>
      </c>
      <c r="S6" s="3" cm="1">
        <f t="array" ref="S6">_xlfn.STDEV.S(IF('Fractional-Calorimetry-Data'!$B$4:$B$2948=$B6,IF('Fractional-Calorimetry-Data'!$J$4:$J$2853=100,'Fractional-Calorimetry-Data'!AG$4:AG$2948)))</f>
        <v>25.4307112824317</v>
      </c>
      <c r="T6" s="3" cm="1">
        <f t="array" ref="T6">_xlfn.STDEV.S(IF('Fractional-Calorimetry-Data'!$B$4:$B$2948=$B6,IF('Fractional-Calorimetry-Data'!$J$4:$J$2853=100,'Fractional-Calorimetry-Data'!AH$4:AH$2948)))</f>
        <v>8.41383048282405</v>
      </c>
      <c r="U6" s="3" cm="1">
        <f t="array" ref="U6">_xlfn.STDEV.S(IF('Fractional-Calorimetry-Data'!$B$4:$B$2948=$B6,IF('Fractional-Calorimetry-Data'!$J$4:$J$2853=100,'Fractional-Calorimetry-Data'!AI$4:AI$2948)))</f>
        <v>8.89784897759354</v>
      </c>
      <c r="V6" s="3" cm="1">
        <f t="array" ref="V6">_xlfn.STDEV.S(IF('Fractional-Calorimetry-Data'!$B$4:$B$2948=$B6,IF('Fractional-Calorimetry-Data'!$J$4:$J$2853=100,'Fractional-Calorimetry-Data'!AJ$4:AJ$2948)))</f>
        <v>47.9531273328619</v>
      </c>
      <c r="W6" s="3" cm="1">
        <f t="array" ref="W6">_xlfn.STDEV.S(IF('Fractional-Calorimetry-Data'!$B$4:$B$2948=$B6,IF('Fractional-Calorimetry-Data'!$J$4:$J$2853=100,'Fractional-Calorimetry-Data'!AK$4:AK$2948)))</f>
        <v>24.907588840926</v>
      </c>
      <c r="X6" s="3" cm="1">
        <f t="array" ref="X6">_xlfn.STDEV.S(IF('Fractional-Calorimetry-Data'!$B$4:$B$2948=$B6,IF('Fractional-Calorimetry-Data'!$J$4:$J$2853=100,'Fractional-Calorimetry-Data'!AL$4:AL$2948)))</f>
        <v>6.39803680827174</v>
      </c>
      <c r="Y6" s="3" cm="1">
        <f t="array" ref="Y6">_xlfn.STDEV.S(IF('Fractional-Calorimetry-Data'!$B$4:$B$2948=$B6,IF('Fractional-Calorimetry-Data'!$J$4:$J$2853=100,'Fractional-Calorimetry-Data'!AM$4:AM$2948)))</f>
        <v>4.55642952321223</v>
      </c>
      <c r="Z6" s="3" cm="1">
        <f t="array" ref="Z6">_xlfn.STDEV.S(IF('Fractional-Calorimetry-Data'!$B$4:$B$2948=$B6,IF('Fractional-Calorimetry-Data'!$J$4:$J$2853=100,'Fractional-Calorimetry-Data'!AN$4:AN$2948)))</f>
        <v>3.33929051014001</v>
      </c>
      <c r="AA6" s="3" cm="1">
        <f t="array" ref="AA6">_xlfn.STDEV.S(IF('Fractional-Calorimetry-Data'!$B$4:$B$2948=$B6,IF('Fractional-Calorimetry-Data'!$J$4:$J$2853=100,'Fractional-Calorimetry-Data'!AO$4:AO$2948)))</f>
        <v>0.919240326453196</v>
      </c>
      <c r="AB6" s="3" cm="1">
        <f t="array" ref="AB6">_xlfn.STDEV.S(IF('Fractional-Calorimetry-Data'!$B$4:$B$2948=$B6,IF('Fractional-Calorimetry-Data'!$J$4:$J$2853=100,'Fractional-Calorimetry-Data'!AP$4:AP$2948)))</f>
        <v>1.12815237347522</v>
      </c>
      <c r="AC6" s="3" cm="1">
        <f t="array" ref="AC6">_xlfn.STDEV.S(IF('Fractional-Calorimetry-Data'!$B$4:$B$2948=$B6,IF('Fractional-Calorimetry-Data'!$J$4:$J$2853=100,'Fractional-Calorimetry-Data'!AQ$4:AQ$2948)))</f>
        <v>2.05343073362063</v>
      </c>
      <c r="AD6" s="3" cm="1">
        <f t="array" ref="AD6">_xlfn.STDEV.S(IF('Fractional-Calorimetry-Data'!$B$4:$B$2948=$B6,IF('Fractional-Calorimetry-Data'!$J$4:$J$2853=100,'Fractional-Calorimetry-Data'!AR$4:AR$2948)))</f>
        <v>0.253349780167876</v>
      </c>
      <c r="AE6" s="3" cm="1">
        <f t="array" ref="AE6">_xlfn.STDEV.S(IF('Fractional-Calorimetry-Data'!$B$4:$B$2948=$B6,IF('Fractional-Calorimetry-Data'!$J$4:$J$2853=100,'Fractional-Calorimetry-Data'!AS$4:AS$2948)))</f>
        <v>2.35123903506214</v>
      </c>
      <c r="AF6" s="3" cm="1">
        <f t="array" ref="AF6">_xlfn.STDEV.S(IF('Fractional-Calorimetry-Data'!$B$4:$B$2948=$B6,IF('Fractional-Calorimetry-Data'!$J$4:$J$2853=100,'Fractional-Calorimetry-Data'!AT$4:AT$2948)))</f>
        <v>6.30329962092164</v>
      </c>
      <c r="AG6" s="3" cm="1">
        <f t="array" ref="AG6">_xlfn.STDEV.S(IF('Fractional-Calorimetry-Data'!$B$4:$B$2948=$B6,IF('Fractional-Calorimetry-Data'!$J$4:$J$2853=100,'Fractional-Calorimetry-Data'!AU$4:AU$2948)))</f>
        <v>13.3298102309223</v>
      </c>
    </row>
    <row r="7" spans="2:33">
      <c r="B7" s="14" t="s">
        <v>32</v>
      </c>
      <c r="C7" s="3" cm="1">
        <f t="array" ref="C7">_xlfn.STDEV.S(IF('Fractional-Calorimetry-Data'!$B$4:$B$2948=B7,IF('Fractional-Calorimetry-Data'!$J$4:$J2857=100,'Fractional-Calorimetry-Data'!$BE$4:$BE$2948)))</f>
        <v>0.138420211846561</v>
      </c>
      <c r="D7" s="3" cm="1">
        <f t="array" ref="D7">_xlfn.STDEV.S(IF('Fractional-Calorimetry-Data'!$B$4:$B$2948=$B7,IF('Fractional-Calorimetry-Data'!$J$4:$J$2853=100,'Fractional-Calorimetry-Data'!R$4:R$2948)))</f>
        <v>3.38849569181376</v>
      </c>
      <c r="E7" s="3" cm="1">
        <f t="array" ref="E7">_xlfn.STDEV.S(IF('Fractional-Calorimetry-Data'!$B$4:$B$2948=$B7,IF('Fractional-Calorimetry-Data'!$J$4:$J$2853=100,'Fractional-Calorimetry-Data'!S$4:S$2948)))</f>
        <v>0.00781141356082122</v>
      </c>
      <c r="F7" s="3" cm="1">
        <f t="array" ref="F7">_xlfn.STDEV.S(IF('Fractional-Calorimetry-Data'!$B$4:$B$2948=$B7,IF('Fractional-Calorimetry-Data'!$J$4:$J$2853=100,'Fractional-Calorimetry-Data'!T$4:T$2948)))</f>
        <v>3.63845908680889</v>
      </c>
      <c r="G7" s="3" cm="1">
        <f t="array" ref="G7">_xlfn.STDEV.S(IF('Fractional-Calorimetry-Data'!$B$4:$B$2948=$B7,IF('Fractional-Calorimetry-Data'!$J$4:$J$2853=100,'Fractional-Calorimetry-Data'!U$4:U$2948)))</f>
        <v>6.22253112973336</v>
      </c>
      <c r="H7" s="3" cm="1">
        <f t="array" ref="H7">_xlfn.STDEV.S(IF('Fractional-Calorimetry-Data'!$B$4:$B$2948=$B7,IF('Fractional-Calorimetry-Data'!$J$4:$J$2853=100,'Fractional-Calorimetry-Data'!V$4:V$2948)))</f>
        <v>2.79206375800907</v>
      </c>
      <c r="I7" s="3" cm="1">
        <f t="array" ref="I7">_xlfn.STDEV.S(IF('Fractional-Calorimetry-Data'!$B$4:$B$2948=$B7,IF('Fractional-Calorimetry-Data'!$J$4:$J$2853=100,'Fractional-Calorimetry-Data'!W$4:W$2948)))</f>
        <v>10.9621417539561</v>
      </c>
      <c r="J7" s="3" cm="1">
        <f t="array" ref="J7">_xlfn.STDEV.S(IF('Fractional-Calorimetry-Data'!$B$4:$B$2948=$B7,IF('Fractional-Calorimetry-Data'!$J$4:$J$2853=100,'Fractional-Calorimetry-Data'!X$4:X$2948)))</f>
        <v>4.54057721402949</v>
      </c>
      <c r="K7" s="3" cm="1">
        <f t="array" ref="K7">_xlfn.STDEV.S(IF('Fractional-Calorimetry-Data'!$B$4:$B$2948=$B7,IF('Fractional-Calorimetry-Data'!$J$4:$J$2853=100,'Fractional-Calorimetry-Data'!Y$4:Y$2948)))</f>
        <v>5.18994672919235</v>
      </c>
      <c r="L7" s="3" cm="1">
        <f t="array" ref="L7">_xlfn.STDEV.S(IF('Fractional-Calorimetry-Data'!$B$4:$B$2948=$B7,IF('Fractional-Calorimetry-Data'!$J$4:$J$2853=100,'Fractional-Calorimetry-Data'!Z$4:Z$2948)))</f>
        <v>9.87403031223642</v>
      </c>
      <c r="M7" s="3" cm="1">
        <f t="array" ref="M7">_xlfn.STDEV.S(IF('Fractional-Calorimetry-Data'!$B$4:$B$2948=$B7,IF('Fractional-Calorimetry-Data'!$J$4:$J$2853=100,'Fractional-Calorimetry-Data'!AA$4:AA$2948)))</f>
        <v>6.55674889536072</v>
      </c>
      <c r="N7" s="3" cm="1">
        <f t="array" ref="N7">_xlfn.STDEV.S(IF('Fractional-Calorimetry-Data'!$B$4:$B$2948=$B7,IF('Fractional-Calorimetry-Data'!$J$4:$J$2853=100,'Fractional-Calorimetry-Data'!AB$4:AB$2948)))</f>
        <v>3.47083971953422</v>
      </c>
      <c r="O7" s="3" cm="1">
        <f t="array" ref="O7">_xlfn.STDEV.S(IF('Fractional-Calorimetry-Data'!$B$4:$B$2948=$B7,IF('Fractional-Calorimetry-Data'!$J$4:$J$2853=100,'Fractional-Calorimetry-Data'!AC$4:AC$2948)))</f>
        <v>0.170946073184689</v>
      </c>
      <c r="P7" s="3" cm="1">
        <f t="array" ref="P7">_xlfn.STDEV.S(IF('Fractional-Calorimetry-Data'!$B$4:$B$2948=$B7,IF('Fractional-Calorimetry-Data'!$J$4:$J$2853=100,'Fractional-Calorimetry-Data'!AD$4:AD$2948)))</f>
        <v>1.9405984129798</v>
      </c>
      <c r="Q7" s="3" cm="1">
        <f t="array" ref="Q7">_xlfn.STDEV.S(IF('Fractional-Calorimetry-Data'!$B$4:$B$2948=$B7,IF('Fractional-Calorimetry-Data'!$J$4:$J$2853=100,'Fractional-Calorimetry-Data'!AE$4:AE$2948)))</f>
        <v>0.512172879226743</v>
      </c>
      <c r="R7" s="3" cm="1">
        <f t="array" ref="R7">_xlfn.STDEV.S(IF('Fractional-Calorimetry-Data'!$B$4:$B$2948=$B7,IF('Fractional-Calorimetry-Data'!$J$4:$J$2853=100,'Fractional-Calorimetry-Data'!AF$4:AF$2948)))</f>
        <v>0.820975647032858</v>
      </c>
      <c r="S7" s="3" cm="1">
        <f t="array" ref="S7">_xlfn.STDEV.S(IF('Fractional-Calorimetry-Data'!$B$4:$B$2948=$B7,IF('Fractional-Calorimetry-Data'!$J$4:$J$2853=100,'Fractional-Calorimetry-Data'!AG$4:AG$2948)))</f>
        <v>83.8945847379806</v>
      </c>
      <c r="T7" s="3" cm="1">
        <f t="array" ref="T7">_xlfn.STDEV.S(IF('Fractional-Calorimetry-Data'!$B$4:$B$2948=$B7,IF('Fractional-Calorimetry-Data'!$J$4:$J$2853=100,'Fractional-Calorimetry-Data'!AH$4:AH$2948)))</f>
        <v>14.1654235634594</v>
      </c>
      <c r="U7" s="3" cm="1">
        <f t="array" ref="U7">_xlfn.STDEV.S(IF('Fractional-Calorimetry-Data'!$B$4:$B$2948=$B7,IF('Fractional-Calorimetry-Data'!$J$4:$J$2853=100,'Fractional-Calorimetry-Data'!AI$4:AI$2948)))</f>
        <v>12.4200712759065</v>
      </c>
      <c r="V7" s="3" t="e" cm="1">
        <f t="array" ref="V7">_xlfn.STDEV.S(IF('Fractional-Calorimetry-Data'!$B$4:$B$2948=$B7,IF('Fractional-Calorimetry-Data'!$J$4:$J$2853=100,'Fractional-Calorimetry-Data'!AJ$4:AJ$2948)))</f>
        <v>#DIV/0!</v>
      </c>
      <c r="W7" s="3" cm="1">
        <f t="array" ref="W7">_xlfn.STDEV.S(IF('Fractional-Calorimetry-Data'!$B$4:$B$2948=$B7,IF('Fractional-Calorimetry-Data'!$J$4:$J$2853=100,'Fractional-Calorimetry-Data'!AK$4:AK$2948)))</f>
        <v>37.6550754892707</v>
      </c>
      <c r="X7" s="3" cm="1">
        <f t="array" ref="X7">_xlfn.STDEV.S(IF('Fractional-Calorimetry-Data'!$B$4:$B$2948=$B7,IF('Fractional-Calorimetry-Data'!$J$4:$J$2853=100,'Fractional-Calorimetry-Data'!AL$4:AL$2948)))</f>
        <v>3.04510847993064</v>
      </c>
      <c r="Y7" s="3" cm="1">
        <f t="array" ref="Y7">_xlfn.STDEV.S(IF('Fractional-Calorimetry-Data'!$B$4:$B$2948=$B7,IF('Fractional-Calorimetry-Data'!$J$4:$J$2853=100,'Fractional-Calorimetry-Data'!AM$4:AM$2948)))</f>
        <v>0.496476841902474</v>
      </c>
      <c r="Z7" s="3" cm="1">
        <f t="array" ref="Z7">_xlfn.STDEV.S(IF('Fractional-Calorimetry-Data'!$B$4:$B$2948=$B7,IF('Fractional-Calorimetry-Data'!$J$4:$J$2853=100,'Fractional-Calorimetry-Data'!AN$4:AN$2948)))</f>
        <v>2.51978964850786</v>
      </c>
      <c r="AA7" s="3" cm="1">
        <f t="array" ref="AA7">_xlfn.STDEV.S(IF('Fractional-Calorimetry-Data'!$B$4:$B$2948=$B7,IF('Fractional-Calorimetry-Data'!$J$4:$J$2853=100,'Fractional-Calorimetry-Data'!AO$4:AO$2948)))</f>
        <v>1.2127707195434</v>
      </c>
      <c r="AB7" s="3" cm="1">
        <f t="array" ref="AB7">_xlfn.STDEV.S(IF('Fractional-Calorimetry-Data'!$B$4:$B$2948=$B7,IF('Fractional-Calorimetry-Data'!$J$4:$J$2853=100,'Fractional-Calorimetry-Data'!AP$4:AP$2948)))</f>
        <v>0.0646669790682863</v>
      </c>
      <c r="AC7" s="3" cm="1">
        <f t="array" ref="AC7">_xlfn.STDEV.S(IF('Fractional-Calorimetry-Data'!$B$4:$B$2948=$B7,IF('Fractional-Calorimetry-Data'!$J$4:$J$2853=100,'Fractional-Calorimetry-Data'!AQ$4:AQ$2948)))</f>
        <v>0.852780958767469</v>
      </c>
      <c r="AD7" s="3" cm="1">
        <f t="array" ref="AD7">_xlfn.STDEV.S(IF('Fractional-Calorimetry-Data'!$B$4:$B$2948=$B7,IF('Fractional-Calorimetry-Data'!$J$4:$J$2853=100,'Fractional-Calorimetry-Data'!AR$4:AR$2948)))</f>
        <v>0.0603022689155527</v>
      </c>
      <c r="AE7" s="3" cm="1">
        <f t="array" ref="AE7">_xlfn.STDEV.S(IF('Fractional-Calorimetry-Data'!$B$4:$B$2948=$B7,IF('Fractional-Calorimetry-Data'!$J$4:$J$2853=100,'Fractional-Calorimetry-Data'!AS$4:AS$2948)))</f>
        <v>1.24115083692516</v>
      </c>
      <c r="AF7" s="3" cm="1">
        <f t="array" ref="AF7">_xlfn.STDEV.S(IF('Fractional-Calorimetry-Data'!$B$4:$B$2948=$B7,IF('Fractional-Calorimetry-Data'!$J$4:$J$2853=100,'Fractional-Calorimetry-Data'!AT$4:AT$2948)))</f>
        <v>3.13062645778477</v>
      </c>
      <c r="AG7" s="3" cm="1">
        <f t="array" ref="AG7">_xlfn.STDEV.S(IF('Fractional-Calorimetry-Data'!$B$4:$B$2948=$B7,IF('Fractional-Calorimetry-Data'!$J$4:$J$2853=100,'Fractional-Calorimetry-Data'!AU$4:AU$2948)))</f>
        <v>6.46702238053392</v>
      </c>
    </row>
    <row r="8" spans="2:33">
      <c r="B8" s="14" t="s">
        <v>34</v>
      </c>
      <c r="C8" s="3" cm="1">
        <f t="array" ref="C8">_xlfn.STDEV.S(IF('Fractional-Calorimetry-Data'!$B$4:$B$2948=B8,IF('Fractional-Calorimetry-Data'!$J$4:$J2858=100,'Fractional-Calorimetry-Data'!$BE$4:$BE$2948)))</f>
        <v>0.263731109512418</v>
      </c>
      <c r="D8" s="3" cm="1">
        <f t="array" ref="D8">_xlfn.STDEV.S(IF('Fractional-Calorimetry-Data'!$B$4:$B$2948=$B8,IF('Fractional-Calorimetry-Data'!$J$4:$J$2853=100,'Fractional-Calorimetry-Data'!R$4:R$2948)))</f>
        <v>8.16148764609441</v>
      </c>
      <c r="E8" s="3" cm="1">
        <f t="array" ref="E8">_xlfn.STDEV.S(IF('Fractional-Calorimetry-Data'!$B$4:$B$2948=$B8,IF('Fractional-Calorimetry-Data'!$J$4:$J$2853=100,'Fractional-Calorimetry-Data'!S$4:S$2948)))</f>
        <v>0.00985393322486001</v>
      </c>
      <c r="F8" s="3" cm="1">
        <f t="array" ref="F8">_xlfn.STDEV.S(IF('Fractional-Calorimetry-Data'!$B$4:$B$2948=$B8,IF('Fractional-Calorimetry-Data'!$J$4:$J$2853=100,'Fractional-Calorimetry-Data'!T$4:T$2948)))</f>
        <v>7.50468069770603</v>
      </c>
      <c r="G8" s="3" cm="1">
        <f t="array" ref="G8">_xlfn.STDEV.S(IF('Fractional-Calorimetry-Data'!$B$4:$B$2948=$B8,IF('Fractional-Calorimetry-Data'!$J$4:$J$2853=100,'Fractional-Calorimetry-Data'!U$4:U$2948)))</f>
        <v>11.8557471985325</v>
      </c>
      <c r="H8" s="3" cm="1">
        <f t="array" ref="H8">_xlfn.STDEV.S(IF('Fractional-Calorimetry-Data'!$B$4:$B$2948=$B8,IF('Fractional-Calorimetry-Data'!$J$4:$J$2853=100,'Fractional-Calorimetry-Data'!V$4:V$2948)))</f>
        <v>4.8484955350182</v>
      </c>
      <c r="I8" s="3" cm="1">
        <f t="array" ref="I8">_xlfn.STDEV.S(IF('Fractional-Calorimetry-Data'!$B$4:$B$2948=$B8,IF('Fractional-Calorimetry-Data'!$J$4:$J$2853=100,'Fractional-Calorimetry-Data'!W$4:W$2948)))</f>
        <v>16.7124798696367</v>
      </c>
      <c r="J8" s="3" cm="1">
        <f t="array" ref="J8">_xlfn.STDEV.S(IF('Fractional-Calorimetry-Data'!$B$4:$B$2948=$B8,IF('Fractional-Calorimetry-Data'!$J$4:$J$2853=100,'Fractional-Calorimetry-Data'!X$4:X$2948)))</f>
        <v>2.72164709131238</v>
      </c>
      <c r="K8" s="3" cm="1">
        <f t="array" ref="K8">_xlfn.STDEV.S(IF('Fractional-Calorimetry-Data'!$B$4:$B$2948=$B8,IF('Fractional-Calorimetry-Data'!$J$4:$J$2853=100,'Fractional-Calorimetry-Data'!Y$4:Y$2948)))</f>
        <v>8.71276510629751</v>
      </c>
      <c r="L8" s="3" cm="1">
        <f t="array" ref="L8">_xlfn.STDEV.S(IF('Fractional-Calorimetry-Data'!$B$4:$B$2948=$B8,IF('Fractional-Calorimetry-Data'!$J$4:$J$2853=100,'Fractional-Calorimetry-Data'!Z$4:Z$2948)))</f>
        <v>11.7917340393708</v>
      </c>
      <c r="M8" s="3" cm="1">
        <f t="array" ref="M8">_xlfn.STDEV.S(IF('Fractional-Calorimetry-Data'!$B$4:$B$2948=$B8,IF('Fractional-Calorimetry-Data'!$J$4:$J$2853=100,'Fractional-Calorimetry-Data'!AA$4:AA$2948)))</f>
        <v>3.92784343749294</v>
      </c>
      <c r="N8" s="3" cm="1">
        <f t="array" ref="N8">_xlfn.STDEV.S(IF('Fractional-Calorimetry-Data'!$B$4:$B$2948=$B8,IF('Fractional-Calorimetry-Data'!$J$4:$J$2853=100,'Fractional-Calorimetry-Data'!AB$4:AB$2948)))</f>
        <v>5.0948226865194</v>
      </c>
      <c r="O8" s="3" cm="1">
        <f t="array" ref="O8">_xlfn.STDEV.S(IF('Fractional-Calorimetry-Data'!$B$4:$B$2948=$B8,IF('Fractional-Calorimetry-Data'!$J$4:$J$2853=100,'Fractional-Calorimetry-Data'!AC$4:AC$2948)))</f>
        <v>0.112849764692953</v>
      </c>
      <c r="P8" s="3" cm="1">
        <f t="array" ref="P8">_xlfn.STDEV.S(IF('Fractional-Calorimetry-Data'!$B$4:$B$2948=$B8,IF('Fractional-Calorimetry-Data'!$J$4:$J$2853=100,'Fractional-Calorimetry-Data'!AD$4:AD$2948)))</f>
        <v>1.08102993266942</v>
      </c>
      <c r="Q8" s="3" cm="1">
        <f t="array" ref="Q8">_xlfn.STDEV.S(IF('Fractional-Calorimetry-Data'!$B$4:$B$2948=$B8,IF('Fractional-Calorimetry-Data'!$J$4:$J$2853=100,'Fractional-Calorimetry-Data'!AE$4:AE$2948)))</f>
        <v>1.49077609335524</v>
      </c>
      <c r="R8" s="3" cm="1">
        <f t="array" ref="R8">_xlfn.STDEV.S(IF('Fractional-Calorimetry-Data'!$B$4:$B$2948=$B8,IF('Fractional-Calorimetry-Data'!$J$4:$J$2853=100,'Fractional-Calorimetry-Data'!AF$4:AF$2948)))</f>
        <v>0.706702248753984</v>
      </c>
      <c r="S8" s="3" cm="1">
        <f t="array" ref="S8">_xlfn.STDEV.S(IF('Fractional-Calorimetry-Data'!$B$4:$B$2948=$B8,IF('Fractional-Calorimetry-Data'!$J$4:$J$2853=100,'Fractional-Calorimetry-Data'!AG$4:AG$2948)))</f>
        <v>129.072809499176</v>
      </c>
      <c r="T8" s="3" cm="1">
        <f t="array" ref="T8">_xlfn.STDEV.S(IF('Fractional-Calorimetry-Data'!$B$4:$B$2948=$B8,IF('Fractional-Calorimetry-Data'!$J$4:$J$2853=100,'Fractional-Calorimetry-Data'!AH$4:AH$2948)))</f>
        <v>25.3950717144821</v>
      </c>
      <c r="U8" s="3" cm="1">
        <f t="array" ref="U8">_xlfn.STDEV.S(IF('Fractional-Calorimetry-Data'!$B$4:$B$2948=$B8,IF('Fractional-Calorimetry-Data'!$J$4:$J$2853=100,'Fractional-Calorimetry-Data'!AI$4:AI$2948)))</f>
        <v>27.4425320328923</v>
      </c>
      <c r="V8" s="3" t="e" cm="1">
        <f t="array" ref="V8">_xlfn.STDEV.S(IF('Fractional-Calorimetry-Data'!$B$4:$B$2948=$B8,IF('Fractional-Calorimetry-Data'!$J$4:$J$2853=100,'Fractional-Calorimetry-Data'!AJ$4:AJ$2948)))</f>
        <v>#DIV/0!</v>
      </c>
      <c r="W8" s="3" cm="1">
        <f t="array" ref="W8">_xlfn.STDEV.S(IF('Fractional-Calorimetry-Data'!$B$4:$B$2948=$B8,IF('Fractional-Calorimetry-Data'!$J$4:$J$2853=100,'Fractional-Calorimetry-Data'!AK$4:AK$2948)))</f>
        <v>75.5209369690369</v>
      </c>
      <c r="X8" s="3" cm="1">
        <f t="array" ref="X8">_xlfn.STDEV.S(IF('Fractional-Calorimetry-Data'!$B$4:$B$2948=$B8,IF('Fractional-Calorimetry-Data'!$J$4:$J$2853=100,'Fractional-Calorimetry-Data'!AL$4:AL$2948)))</f>
        <v>4.7189442322056</v>
      </c>
      <c r="Y8" s="3" cm="1">
        <f t="array" ref="Y8">_xlfn.STDEV.S(IF('Fractional-Calorimetry-Data'!$B$4:$B$2948=$B8,IF('Fractional-Calorimetry-Data'!$J$4:$J$2853=100,'Fractional-Calorimetry-Data'!AM$4:AM$2948)))</f>
        <v>0.775799888287351</v>
      </c>
      <c r="Z8" s="3" cm="1">
        <f t="array" ref="Z8">_xlfn.STDEV.S(IF('Fractional-Calorimetry-Data'!$B$4:$B$2948=$B8,IF('Fractional-Calorimetry-Data'!$J$4:$J$2853=100,'Fractional-Calorimetry-Data'!AN$4:AN$2948)))</f>
        <v>1.29662742014299</v>
      </c>
      <c r="AA8" s="3" cm="1">
        <f t="array" ref="AA8">_xlfn.STDEV.S(IF('Fractional-Calorimetry-Data'!$B$4:$B$2948=$B8,IF('Fractional-Calorimetry-Data'!$J$4:$J$2853=100,'Fractional-Calorimetry-Data'!AO$4:AO$2948)))</f>
        <v>1.50812926059628</v>
      </c>
      <c r="AB8" s="3" cm="1">
        <f t="array" ref="AB8">_xlfn.STDEV.S(IF('Fractional-Calorimetry-Data'!$B$4:$B$2948=$B8,IF('Fractional-Calorimetry-Data'!$J$4:$J$2853=100,'Fractional-Calorimetry-Data'!AP$4:AP$2948)))</f>
        <v>0.0420792902348253</v>
      </c>
      <c r="AC8" s="3" cm="1">
        <f t="array" ref="AC8">_xlfn.STDEV.S(IF('Fractional-Calorimetry-Data'!$B$4:$B$2948=$B8,IF('Fractional-Calorimetry-Data'!$J$4:$J$2853=100,'Fractional-Calorimetry-Data'!AQ$4:AQ$2948)))</f>
        <v>0.648074069840786</v>
      </c>
      <c r="AD8" s="3" cm="1">
        <f t="array" ref="AD8">_xlfn.STDEV.S(IF('Fractional-Calorimetry-Data'!$B$4:$B$2948=$B8,IF('Fractional-Calorimetry-Data'!$J$4:$J$2853=100,'Fractional-Calorimetry-Data'!AR$4:AR$2948)))</f>
        <v>0.32659863237109</v>
      </c>
      <c r="AE8" s="3" cm="1">
        <f t="array" ref="AE8">_xlfn.STDEV.S(IF('Fractional-Calorimetry-Data'!$B$4:$B$2948=$B8,IF('Fractional-Calorimetry-Data'!$J$4:$J$2853=100,'Fractional-Calorimetry-Data'!AS$4:AS$2948)))</f>
        <v>2.8893616596058</v>
      </c>
      <c r="AF8" s="3" cm="1">
        <f t="array" ref="AF8">_xlfn.STDEV.S(IF('Fractional-Calorimetry-Data'!$B$4:$B$2948=$B8,IF('Fractional-Calorimetry-Data'!$J$4:$J$2853=100,'Fractional-Calorimetry-Data'!AT$4:AT$2948)))</f>
        <v>4.80882050680484</v>
      </c>
      <c r="AG8" s="3" cm="1">
        <f t="array" ref="AG8">_xlfn.STDEV.S(IF('Fractional-Calorimetry-Data'!$B$4:$B$2948=$B8,IF('Fractional-Calorimetry-Data'!$J$4:$J$2853=100,'Fractional-Calorimetry-Data'!AU$4:AU$2948)))</f>
        <v>9.98833812306126</v>
      </c>
    </row>
    <row r="9" spans="2:33">
      <c r="B9" s="14" t="s">
        <v>28</v>
      </c>
      <c r="C9" s="3" cm="1">
        <f t="array" ref="C9">_xlfn.STDEV.S(IF('Fractional-Calorimetry-Data'!$B$4:$B$2948=B9,IF('Fractional-Calorimetry-Data'!$J$4:$J2859=100,'Fractional-Calorimetry-Data'!$BE$4:$BE$2948)))</f>
        <v>0.104044003271735</v>
      </c>
      <c r="D9" s="3" cm="1">
        <f t="array" ref="D9">_xlfn.STDEV.S(IF('Fractional-Calorimetry-Data'!$B$4:$B$2948=$B9,IF('Fractional-Calorimetry-Data'!$J$4:$J$2853=100,'Fractional-Calorimetry-Data'!R$4:R$2948)))</f>
        <v>4.11338668361919</v>
      </c>
      <c r="E9" s="3" cm="1">
        <f t="array" ref="E9">_xlfn.STDEV.S(IF('Fractional-Calorimetry-Data'!$B$4:$B$2948=$B9,IF('Fractional-Calorimetry-Data'!$J$4:$J$2853=100,'Fractional-Calorimetry-Data'!S$4:S$2948)))</f>
        <v>0.00484314401562084</v>
      </c>
      <c r="F9" s="3" cm="1">
        <f t="array" ref="F9">_xlfn.STDEV.S(IF('Fractional-Calorimetry-Data'!$B$4:$B$2948=$B9,IF('Fractional-Calorimetry-Data'!$J$4:$J$2853=100,'Fractional-Calorimetry-Data'!T$4:T$2948)))</f>
        <v>4.16498522148064</v>
      </c>
      <c r="G9" s="3" cm="1">
        <f t="array" ref="G9">_xlfn.STDEV.S(IF('Fractional-Calorimetry-Data'!$B$4:$B$2948=$B9,IF('Fractional-Calorimetry-Data'!$J$4:$J$2853=100,'Fractional-Calorimetry-Data'!U$4:U$2948)))</f>
        <v>4.6771857995573</v>
      </c>
      <c r="H9" s="3" cm="1">
        <f t="array" ref="H9">_xlfn.STDEV.S(IF('Fractional-Calorimetry-Data'!$B$4:$B$2948=$B9,IF('Fractional-Calorimetry-Data'!$J$4:$J$2853=100,'Fractional-Calorimetry-Data'!V$4:V$2948)))</f>
        <v>3.52966780447727</v>
      </c>
      <c r="I9" s="3" cm="1">
        <f t="array" ref="I9">_xlfn.STDEV.S(IF('Fractional-Calorimetry-Data'!$B$4:$B$2948=$B9,IF('Fractional-Calorimetry-Data'!$J$4:$J$2853=100,'Fractional-Calorimetry-Data'!W$4:W$2948)))</f>
        <v>11.6797530292428</v>
      </c>
      <c r="J9" s="3" cm="1">
        <f t="array" ref="J9">_xlfn.STDEV.S(IF('Fractional-Calorimetry-Data'!$B$4:$B$2948=$B9,IF('Fractional-Calorimetry-Data'!$J$4:$J$2853=100,'Fractional-Calorimetry-Data'!X$4:X$2948)))</f>
        <v>8.38064917273011</v>
      </c>
      <c r="K9" s="3" cm="1">
        <f t="array" ref="K9">_xlfn.STDEV.S(IF('Fractional-Calorimetry-Data'!$B$4:$B$2948=$B9,IF('Fractional-Calorimetry-Data'!$J$4:$J$2853=100,'Fractional-Calorimetry-Data'!Y$4:Y$2948)))</f>
        <v>6.18051809491709</v>
      </c>
      <c r="L9" s="3" cm="1">
        <f t="array" ref="L9">_xlfn.STDEV.S(IF('Fractional-Calorimetry-Data'!$B$4:$B$2948=$B9,IF('Fractional-Calorimetry-Data'!$J$4:$J$2853=100,'Fractional-Calorimetry-Data'!Z$4:Z$2948)))</f>
        <v>16.4811689697365</v>
      </c>
      <c r="M9" s="3" cm="1">
        <f t="array" ref="M9">_xlfn.STDEV.S(IF('Fractional-Calorimetry-Data'!$B$4:$B$2948=$B9,IF('Fractional-Calorimetry-Data'!$J$4:$J$2853=100,'Fractional-Calorimetry-Data'!AA$4:AA$2948)))</f>
        <v>15.0660795931737</v>
      </c>
      <c r="N9" s="3" cm="1">
        <f t="array" ref="N9">_xlfn.STDEV.S(IF('Fractional-Calorimetry-Data'!$B$4:$B$2948=$B9,IF('Fractional-Calorimetry-Data'!$J$4:$J$2853=100,'Fractional-Calorimetry-Data'!AB$4:AB$2948)))</f>
        <v>0.93282240346983</v>
      </c>
      <c r="O9" s="3" cm="1">
        <f t="array" ref="O9">_xlfn.STDEV.S(IF('Fractional-Calorimetry-Data'!$B$4:$B$2948=$B9,IF('Fractional-Calorimetry-Data'!$J$4:$J$2853=100,'Fractional-Calorimetry-Data'!AC$4:AC$2948)))</f>
        <v>0.26518149809105</v>
      </c>
      <c r="P9" s="3" cm="1">
        <f t="array" ref="P9">_xlfn.STDEV.S(IF('Fractional-Calorimetry-Data'!$B$4:$B$2948=$B9,IF('Fractional-Calorimetry-Data'!$J$4:$J$2853=100,'Fractional-Calorimetry-Data'!AD$4:AD$2948)))</f>
        <v>4.83295774901212</v>
      </c>
      <c r="Q9" s="3" cm="1">
        <f t="array" ref="Q9">_xlfn.STDEV.S(IF('Fractional-Calorimetry-Data'!$B$4:$B$2948=$B9,IF('Fractional-Calorimetry-Data'!$J$4:$J$2853=100,'Fractional-Calorimetry-Data'!AE$4:AE$2948)))</f>
        <v>3.15073048351969</v>
      </c>
      <c r="R9" s="3" cm="1">
        <f t="array" ref="R9">_xlfn.STDEV.S(IF('Fractional-Calorimetry-Data'!$B$4:$B$2948=$B9,IF('Fractional-Calorimetry-Data'!$J$4:$J$2853=100,'Fractional-Calorimetry-Data'!AF$4:AF$2948)))</f>
        <v>4.67055981156505</v>
      </c>
      <c r="S9" s="3" cm="1">
        <f t="array" ref="S9">_xlfn.STDEV.S(IF('Fractional-Calorimetry-Data'!$B$4:$B$2948=$B9,IF('Fractional-Calorimetry-Data'!$J$4:$J$2853=100,'Fractional-Calorimetry-Data'!AG$4:AG$2948)))</f>
        <v>3.93055861108894</v>
      </c>
      <c r="T9" s="3" cm="1">
        <f t="array" ref="T9">_xlfn.STDEV.S(IF('Fractional-Calorimetry-Data'!$B$4:$B$2948=$B9,IF('Fractional-Calorimetry-Data'!$J$4:$J$2853=100,'Fractional-Calorimetry-Data'!AH$4:AH$2948)))</f>
        <v>21.8315152658307</v>
      </c>
      <c r="U9" s="3" cm="1">
        <f t="array" ref="U9">_xlfn.STDEV.S(IF('Fractional-Calorimetry-Data'!$B$4:$B$2948=$B9,IF('Fractional-Calorimetry-Data'!$J$4:$J$2853=100,'Fractional-Calorimetry-Data'!AI$4:AI$2948)))</f>
        <v>20.8031695362514</v>
      </c>
      <c r="V9" s="3" t="e" cm="1">
        <f t="array" ref="V9">_xlfn.STDEV.S(IF('Fractional-Calorimetry-Data'!$B$4:$B$2948=$B9,IF('Fractional-Calorimetry-Data'!$J$4:$J$2853=100,'Fractional-Calorimetry-Data'!AJ$4:AJ$2948)))</f>
        <v>#DIV/0!</v>
      </c>
      <c r="W9" s="3" cm="1">
        <f t="array" ref="W9">_xlfn.STDEV.S(IF('Fractional-Calorimetry-Data'!$B$4:$B$2948=$B9,IF('Fractional-Calorimetry-Data'!$J$4:$J$2853=100,'Fractional-Calorimetry-Data'!AK$4:AK$2948)))</f>
        <v>48.9915458600032</v>
      </c>
      <c r="X9" s="3" cm="1">
        <f t="array" ref="X9">_xlfn.STDEV.S(IF('Fractional-Calorimetry-Data'!$B$4:$B$2948=$B9,IF('Fractional-Calorimetry-Data'!$J$4:$J$2853=100,'Fractional-Calorimetry-Data'!AL$4:AL$2948)))</f>
        <v>3.66127044340903</v>
      </c>
      <c r="Y9" s="3" cm="1">
        <f t="array" ref="Y9">_xlfn.STDEV.S(IF('Fractional-Calorimetry-Data'!$B$4:$B$2948=$B9,IF('Fractional-Calorimetry-Data'!$J$4:$J$2853=100,'Fractional-Calorimetry-Data'!AM$4:AM$2948)))</f>
        <v>1.00578455290789</v>
      </c>
      <c r="Z9" s="3" cm="1">
        <f t="array" ref="Z9">_xlfn.STDEV.S(IF('Fractional-Calorimetry-Data'!$B$4:$B$2948=$B9,IF('Fractional-Calorimetry-Data'!$J$4:$J$2853=100,'Fractional-Calorimetry-Data'!AN$4:AN$2948)))</f>
        <v>3.6748854632073</v>
      </c>
      <c r="AA9" s="3" cm="1">
        <f t="array" ref="AA9">_xlfn.STDEV.S(IF('Fractional-Calorimetry-Data'!$B$4:$B$2948=$B9,IF('Fractional-Calorimetry-Data'!$J$4:$J$2853=100,'Fractional-Calorimetry-Data'!AO$4:AO$2948)))</f>
        <v>0.73507401137423</v>
      </c>
      <c r="AB9" s="3" cm="1">
        <f t="array" ref="AB9">_xlfn.STDEV.S(IF('Fractional-Calorimetry-Data'!$B$4:$B$2948=$B9,IF('Fractional-Calorimetry-Data'!$J$4:$J$2853=100,'Fractional-Calorimetry-Data'!AP$4:AP$2948)))</f>
        <v>0.661988538337417</v>
      </c>
      <c r="AC9" s="3" cm="1">
        <f t="array" ref="AC9">_xlfn.STDEV.S(IF('Fractional-Calorimetry-Data'!$B$4:$B$2948=$B9,IF('Fractional-Calorimetry-Data'!$J$4:$J$2853=100,'Fractional-Calorimetry-Data'!AQ$4:AQ$2948)))</f>
        <v>2.30623348798401</v>
      </c>
      <c r="AD9" s="3" cm="1">
        <f t="array" ref="AD9">_xlfn.STDEV.S(IF('Fractional-Calorimetry-Data'!$B$4:$B$2948=$B9,IF('Fractional-Calorimetry-Data'!$J$4:$J$2853=100,'Fractional-Calorimetry-Data'!AR$4:AR$2948)))</f>
        <v>0.83524755575554</v>
      </c>
      <c r="AE9" s="3" cm="1">
        <f t="array" ref="AE9">_xlfn.STDEV.S(IF('Fractional-Calorimetry-Data'!$B$4:$B$2948=$B9,IF('Fractional-Calorimetry-Data'!$J$4:$J$2853=100,'Fractional-Calorimetry-Data'!AS$4:AS$2948)))</f>
        <v>1.81917248481432</v>
      </c>
      <c r="AF9" s="3" cm="1">
        <f t="array" ref="AF9">_xlfn.STDEV.S(IF('Fractional-Calorimetry-Data'!$B$4:$B$2948=$B9,IF('Fractional-Calorimetry-Data'!$J$4:$J$2853=100,'Fractional-Calorimetry-Data'!AT$4:AT$2948)))</f>
        <v>3.61292760064088</v>
      </c>
      <c r="AG9" s="3" cm="1">
        <f t="array" ref="AG9">_xlfn.STDEV.S(IF('Fractional-Calorimetry-Data'!$B$4:$B$2948=$B9,IF('Fractional-Calorimetry-Data'!$J$4:$J$2853=100,'Fractional-Calorimetry-Data'!AU$4:AU$2948)))</f>
        <v>7.63807405841712</v>
      </c>
    </row>
    <row r="10" spans="2:33">
      <c r="B10" s="14" t="s">
        <v>30</v>
      </c>
      <c r="C10" s="3" cm="1">
        <f t="array" ref="C10">_xlfn.STDEV.S(IF('Fractional-Calorimetry-Data'!$B$4:$B$2948=B10,IF('Fractional-Calorimetry-Data'!$J$4:$J2860=100,'Fractional-Calorimetry-Data'!$BE$4:$BE$2948)))</f>
        <v>0.110665628155493</v>
      </c>
      <c r="D10" s="3" cm="1">
        <f t="array" ref="D10">_xlfn.STDEV.S(IF('Fractional-Calorimetry-Data'!$B$4:$B$2948=$B10,IF('Fractional-Calorimetry-Data'!$J$4:$J$2853=100,'Fractional-Calorimetry-Data'!R$4:R$2948)))</f>
        <v>3.72018588537857</v>
      </c>
      <c r="E10" s="3" cm="1">
        <f t="array" ref="E10">_xlfn.STDEV.S(IF('Fractional-Calorimetry-Data'!$B$4:$B$2948=$B10,IF('Fractional-Calorimetry-Data'!$J$4:$J$2853=100,'Fractional-Calorimetry-Data'!S$4:S$2948)))</f>
        <v>0.0187019384022085</v>
      </c>
      <c r="F10" s="3" cm="1">
        <f t="array" ref="F10">_xlfn.STDEV.S(IF('Fractional-Calorimetry-Data'!$B$4:$B$2948=$B10,IF('Fractional-Calorimetry-Data'!$J$4:$J$2853=100,'Fractional-Calorimetry-Data'!T$4:T$2948)))</f>
        <v>3.308626303379</v>
      </c>
      <c r="G10" s="3" cm="1">
        <f t="array" ref="G10">_xlfn.STDEV.S(IF('Fractional-Calorimetry-Data'!$B$4:$B$2948=$B10,IF('Fractional-Calorimetry-Data'!$J$4:$J$2853=100,'Fractional-Calorimetry-Data'!U$4:U$2948)))</f>
        <v>4.97485379485179</v>
      </c>
      <c r="H10" s="3" cm="1">
        <f t="array" ref="H10">_xlfn.STDEV.S(IF('Fractional-Calorimetry-Data'!$B$4:$B$2948=$B10,IF('Fractional-Calorimetry-Data'!$J$4:$J$2853=100,'Fractional-Calorimetry-Data'!V$4:V$2948)))</f>
        <v>3.12800397949668</v>
      </c>
      <c r="I10" s="3" cm="1">
        <f t="array" ref="I10">_xlfn.STDEV.S(IF('Fractional-Calorimetry-Data'!$B$4:$B$2948=$B10,IF('Fractional-Calorimetry-Data'!$J$4:$J$2853=100,'Fractional-Calorimetry-Data'!W$4:W$2948)))</f>
        <v>17.538564057498</v>
      </c>
      <c r="J10" s="3" cm="1">
        <f t="array" ref="J10">_xlfn.STDEV.S(IF('Fractional-Calorimetry-Data'!$B$4:$B$2948=$B10,IF('Fractional-Calorimetry-Data'!$J$4:$J$2853=100,'Fractional-Calorimetry-Data'!X$4:X$2948)))</f>
        <v>12.9047732285663</v>
      </c>
      <c r="K10" s="3" cm="1">
        <f t="array" ref="K10">_xlfn.STDEV.S(IF('Fractional-Calorimetry-Data'!$B$4:$B$2948=$B10,IF('Fractional-Calorimetry-Data'!$J$4:$J$2853=100,'Fractional-Calorimetry-Data'!Y$4:Y$2948)))</f>
        <v>4.96731101081614</v>
      </c>
      <c r="L10" s="3" cm="1">
        <f t="array" ref="L10">_xlfn.STDEV.S(IF('Fractional-Calorimetry-Data'!$B$4:$B$2948=$B10,IF('Fractional-Calorimetry-Data'!$J$4:$J$2853=100,'Fractional-Calorimetry-Data'!Z$4:Z$2948)))</f>
        <v>21.9440828059525</v>
      </c>
      <c r="M10" s="3" cm="1">
        <f t="array" ref="M10">_xlfn.STDEV.S(IF('Fractional-Calorimetry-Data'!$B$4:$B$2948=$B10,IF('Fractional-Calorimetry-Data'!$J$4:$J$2853=100,'Fractional-Calorimetry-Data'!AA$4:AA$2948)))</f>
        <v>19.2018683959932</v>
      </c>
      <c r="N10" s="3" cm="1">
        <f t="array" ref="N10">_xlfn.STDEV.S(IF('Fractional-Calorimetry-Data'!$B$4:$B$2948=$B10,IF('Fractional-Calorimetry-Data'!$J$4:$J$2853=100,'Fractional-Calorimetry-Data'!AB$4:AB$2948)))</f>
        <v>3.13924631334708</v>
      </c>
      <c r="O10" s="3" cm="1">
        <f t="array" ref="O10">_xlfn.STDEV.S(IF('Fractional-Calorimetry-Data'!$B$4:$B$2948=$B10,IF('Fractional-Calorimetry-Data'!$J$4:$J$2853=100,'Fractional-Calorimetry-Data'!AC$4:AC$2948)))</f>
        <v>1.22324079087828</v>
      </c>
      <c r="P10" s="3" cm="1">
        <f t="array" ref="P10">_xlfn.STDEV.S(IF('Fractional-Calorimetry-Data'!$B$4:$B$2948=$B10,IF('Fractional-Calorimetry-Data'!$J$4:$J$2853=100,'Fractional-Calorimetry-Data'!AD$4:AD$2948)))</f>
        <v>1.26996424171126</v>
      </c>
      <c r="Q10" s="3" cm="1">
        <f t="array" ref="Q10">_xlfn.STDEV.S(IF('Fractional-Calorimetry-Data'!$B$4:$B$2948=$B10,IF('Fractional-Calorimetry-Data'!$J$4:$J$2853=100,'Fractional-Calorimetry-Data'!AE$4:AE$2948)))</f>
        <v>0.767133159626796</v>
      </c>
      <c r="R10" s="3" cm="1">
        <f t="array" ref="R10">_xlfn.STDEV.S(IF('Fractional-Calorimetry-Data'!$B$4:$B$2948=$B10,IF('Fractional-Calorimetry-Data'!$J$4:$J$2853=100,'Fractional-Calorimetry-Data'!AF$4:AF$2948)))</f>
        <v>1.26745821059389</v>
      </c>
      <c r="S10" s="3" cm="1">
        <f t="array" ref="S10">_xlfn.STDEV.S(IF('Fractional-Calorimetry-Data'!$B$4:$B$2948=$B10,IF('Fractional-Calorimetry-Data'!$J$4:$J$2853=100,'Fractional-Calorimetry-Data'!AG$4:AG$2948)))</f>
        <v>97.1020179227239</v>
      </c>
      <c r="T10" s="3" cm="1">
        <f t="array" ref="T10">_xlfn.STDEV.S(IF('Fractional-Calorimetry-Data'!$B$4:$B$2948=$B10,IF('Fractional-Calorimetry-Data'!$J$4:$J$2853=100,'Fractional-Calorimetry-Data'!AH$4:AH$2948)))</f>
        <v>22.8466990728578</v>
      </c>
      <c r="U10" s="3" cm="1">
        <f t="array" ref="U10">_xlfn.STDEV.S(IF('Fractional-Calorimetry-Data'!$B$4:$B$2948=$B10,IF('Fractional-Calorimetry-Data'!$J$4:$J$2853=100,'Fractional-Calorimetry-Data'!AI$4:AI$2948)))</f>
        <v>23.0736321126533</v>
      </c>
      <c r="V10" s="3" t="e" cm="1">
        <f t="array" ref="V10">_xlfn.STDEV.S(IF('Fractional-Calorimetry-Data'!$B$4:$B$2948=$B10,IF('Fractional-Calorimetry-Data'!$J$4:$J$2853=100,'Fractional-Calorimetry-Data'!AJ$4:AJ$2948)))</f>
        <v>#DIV/0!</v>
      </c>
      <c r="W10" s="3" cm="1">
        <f t="array" ref="W10">_xlfn.STDEV.S(IF('Fractional-Calorimetry-Data'!$B$4:$B$2948=$B10,IF('Fractional-Calorimetry-Data'!$J$4:$J$2853=100,'Fractional-Calorimetry-Data'!AK$4:AK$2948)))</f>
        <v>63.7957992415108</v>
      </c>
      <c r="X10" s="3" cm="1">
        <f t="array" ref="X10">_xlfn.STDEV.S(IF('Fractional-Calorimetry-Data'!$B$4:$B$2948=$B10,IF('Fractional-Calorimetry-Data'!$J$4:$J$2853=100,'Fractional-Calorimetry-Data'!AL$4:AL$2948)))</f>
        <v>2.22490142717043</v>
      </c>
      <c r="Y10" s="3" cm="1">
        <f t="array" ref="Y10">_xlfn.STDEV.S(IF('Fractional-Calorimetry-Data'!$B$4:$B$2948=$B10,IF('Fractional-Calorimetry-Data'!$J$4:$J$2853=100,'Fractional-Calorimetry-Data'!AM$4:AM$2948)))</f>
        <v>0.835102078965001</v>
      </c>
      <c r="Z10" s="3" cm="1">
        <f t="array" ref="Z10">_xlfn.STDEV.S(IF('Fractional-Calorimetry-Data'!$B$4:$B$2948=$B10,IF('Fractional-Calorimetry-Data'!$J$4:$J$2853=100,'Fractional-Calorimetry-Data'!AN$4:AN$2948)))</f>
        <v>3.7679893368347</v>
      </c>
      <c r="AA10" s="3" cm="1">
        <f t="array" ref="AA10">_xlfn.STDEV.S(IF('Fractional-Calorimetry-Data'!$B$4:$B$2948=$B10,IF('Fractional-Calorimetry-Data'!$J$4:$J$2853=100,'Fractional-Calorimetry-Data'!AO$4:AO$2948)))</f>
        <v>0.553453536705356</v>
      </c>
      <c r="AB10" s="3" cm="1">
        <f t="array" ref="AB10">_xlfn.STDEV.S(IF('Fractional-Calorimetry-Data'!$B$4:$B$2948=$B10,IF('Fractional-Calorimetry-Data'!$J$4:$J$2853=100,'Fractional-Calorimetry-Data'!AP$4:AP$2948)))</f>
        <v>0.439864746967747</v>
      </c>
      <c r="AC10" s="3" cm="1">
        <f t="array" ref="AC10">_xlfn.STDEV.S(IF('Fractional-Calorimetry-Data'!$B$4:$B$2948=$B10,IF('Fractional-Calorimetry-Data'!$J$4:$J$2853=100,'Fractional-Calorimetry-Data'!AQ$4:AQ$2948)))</f>
        <v>3.33587202991961</v>
      </c>
      <c r="AD10" s="3" cm="1">
        <f t="array" ref="AD10">_xlfn.STDEV.S(IF('Fractional-Calorimetry-Data'!$B$4:$B$2948=$B10,IF('Fractional-Calorimetry-Data'!$J$4:$J$2853=100,'Fractional-Calorimetry-Data'!AR$4:AR$2948)))</f>
        <v>0.541254768069837</v>
      </c>
      <c r="AE10" s="3" cm="1">
        <f t="array" ref="AE10">_xlfn.STDEV.S(IF('Fractional-Calorimetry-Data'!$B$4:$B$2948=$B10,IF('Fractional-Calorimetry-Data'!$J$4:$J$2853=100,'Fractional-Calorimetry-Data'!AS$4:AS$2948)))</f>
        <v>1.32053226691298</v>
      </c>
      <c r="AF10" s="3" cm="1">
        <f t="array" ref="AF10">_xlfn.STDEV.S(IF('Fractional-Calorimetry-Data'!$B$4:$B$2948=$B10,IF('Fractional-Calorimetry-Data'!$J$4:$J$2853=100,'Fractional-Calorimetry-Data'!AT$4:AT$2948)))</f>
        <v>2.27956223369569</v>
      </c>
      <c r="AG10" s="3" cm="1">
        <f t="array" ref="AG10">_xlfn.STDEV.S(IF('Fractional-Calorimetry-Data'!$B$4:$B$2948=$B10,IF('Fractional-Calorimetry-Data'!$J$4:$J$2853=100,'Fractional-Calorimetry-Data'!AU$4:AU$2948)))</f>
        <v>4.7527713731504</v>
      </c>
    </row>
    <row r="11" spans="2:33">
      <c r="B11" s="14" t="s">
        <v>140</v>
      </c>
      <c r="C11" s="3" cm="1">
        <f t="array" ref="C11">_xlfn.STDEV.S(IF('Fractional-Calorimetry-Data'!$B$4:$B$2948=B11,IF('Fractional-Calorimetry-Data'!$J$4:$J2861=100,'Fractional-Calorimetry-Data'!$BE$4:$BE$2948)))</f>
        <v>0.185040325099</v>
      </c>
      <c r="D11" s="3" cm="1">
        <f t="array" ref="D11">_xlfn.STDEV.S(IF('Fractional-Calorimetry-Data'!$B$4:$B$2948=$B11,IF('Fractional-Calorimetry-Data'!$J$4:$J$2853=100,'Fractional-Calorimetry-Data'!R$4:R$2948)))</f>
        <v>7.00730626414333</v>
      </c>
      <c r="E11" s="3" cm="1">
        <f t="array" ref="E11">_xlfn.STDEV.S(IF('Fractional-Calorimetry-Data'!$B$4:$B$2948=$B11,IF('Fractional-Calorimetry-Data'!$J$4:$J$2853=100,'Fractional-Calorimetry-Data'!S$4:S$2948)))</f>
        <v>0.0117825536887625</v>
      </c>
      <c r="F11" s="3" cm="1">
        <f t="array" ref="F11">_xlfn.STDEV.S(IF('Fractional-Calorimetry-Data'!$B$4:$B$2948=$B11,IF('Fractional-Calorimetry-Data'!$J$4:$J$2853=100,'Fractional-Calorimetry-Data'!T$4:T$2948)))</f>
        <v>7.01620750948919</v>
      </c>
      <c r="G11" s="3" cm="1">
        <f t="array" ref="G11">_xlfn.STDEV.S(IF('Fractional-Calorimetry-Data'!$B$4:$B$2948=$B11,IF('Fractional-Calorimetry-Data'!$J$4:$J$2853=100,'Fractional-Calorimetry-Data'!U$4:U$2948)))</f>
        <v>8.4600436635263</v>
      </c>
      <c r="H11" s="3" cm="1">
        <f t="array" ref="H11">_xlfn.STDEV.S(IF('Fractional-Calorimetry-Data'!$B$4:$B$2948=$B11,IF('Fractional-Calorimetry-Data'!$J$4:$J$2853=100,'Fractional-Calorimetry-Data'!V$4:V$2948)))</f>
        <v>5.24569670662681</v>
      </c>
      <c r="I11" s="3" cm="1">
        <f t="array" ref="I11">_xlfn.STDEV.S(IF('Fractional-Calorimetry-Data'!$B$4:$B$2948=$B11,IF('Fractional-Calorimetry-Data'!$J$4:$J$2853=100,'Fractional-Calorimetry-Data'!W$4:W$2948)))</f>
        <v>14.1676752727519</v>
      </c>
      <c r="J11" s="3" cm="1">
        <f t="array" ref="J11">_xlfn.STDEV.S(IF('Fractional-Calorimetry-Data'!$B$4:$B$2948=$B11,IF('Fractional-Calorimetry-Data'!$J$4:$J$2853=100,'Fractional-Calorimetry-Data'!X$4:X$2948)))</f>
        <v>5.66581989520109</v>
      </c>
      <c r="K11" s="3" cm="1">
        <f t="array" ref="K11">_xlfn.STDEV.S(IF('Fractional-Calorimetry-Data'!$B$4:$B$2948=$B11,IF('Fractional-Calorimetry-Data'!$J$4:$J$2853=100,'Fractional-Calorimetry-Data'!Y$4:Y$2948)))</f>
        <v>6.14888189630156</v>
      </c>
      <c r="L11" s="3" cm="1">
        <f t="array" ref="L11">_xlfn.STDEV.S(IF('Fractional-Calorimetry-Data'!$B$4:$B$2948=$B11,IF('Fractional-Calorimetry-Data'!$J$4:$J$2853=100,'Fractional-Calorimetry-Data'!Z$4:Z$2948)))</f>
        <v>12.4132391884928</v>
      </c>
      <c r="M11" s="3" cm="1">
        <f t="array" ref="M11">_xlfn.STDEV.S(IF('Fractional-Calorimetry-Data'!$B$4:$B$2948=$B11,IF('Fractional-Calorimetry-Data'!$J$4:$J$2853=100,'Fractional-Calorimetry-Data'!AA$4:AA$2948)))</f>
        <v>7.49215623583787</v>
      </c>
      <c r="N11" s="3" cm="1">
        <f t="array" ref="N11">_xlfn.STDEV.S(IF('Fractional-Calorimetry-Data'!$B$4:$B$2948=$B11,IF('Fractional-Calorimetry-Data'!$J$4:$J$2853=100,'Fractional-Calorimetry-Data'!AB$4:AB$2948)))</f>
        <v>3.1930530485975</v>
      </c>
      <c r="O11" s="3" cm="1">
        <f t="array" ref="O11">_xlfn.STDEV.S(IF('Fractional-Calorimetry-Data'!$B$4:$B$2948=$B11,IF('Fractional-Calorimetry-Data'!$J$4:$J$2853=100,'Fractional-Calorimetry-Data'!AC$4:AC$2948)))</f>
        <v>0.316590688248259</v>
      </c>
      <c r="P11" s="3" cm="1">
        <f t="array" ref="P11">_xlfn.STDEV.S(IF('Fractional-Calorimetry-Data'!$B$4:$B$2948=$B11,IF('Fractional-Calorimetry-Data'!$J$4:$J$2853=100,'Fractional-Calorimetry-Data'!AD$4:AD$2948)))</f>
        <v>0.991048816276188</v>
      </c>
      <c r="Q11" s="3" cm="1">
        <f t="array" ref="Q11">_xlfn.STDEV.S(IF('Fractional-Calorimetry-Data'!$B$4:$B$2948=$B11,IF('Fractional-Calorimetry-Data'!$J$4:$J$2853=100,'Fractional-Calorimetry-Data'!AE$4:AE$2948)))</f>
        <v>0.768975188183797</v>
      </c>
      <c r="R11" s="3" cm="1">
        <f t="array" ref="R11">_xlfn.STDEV.S(IF('Fractional-Calorimetry-Data'!$B$4:$B$2948=$B11,IF('Fractional-Calorimetry-Data'!$J$4:$J$2853=100,'Fractional-Calorimetry-Data'!AF$4:AF$2948)))</f>
        <v>0.624652203750425</v>
      </c>
      <c r="S11" s="3" cm="1">
        <f t="array" ref="S11">_xlfn.STDEV.S(IF('Fractional-Calorimetry-Data'!$B$4:$B$2948=$B11,IF('Fractional-Calorimetry-Data'!$J$4:$J$2853=100,'Fractional-Calorimetry-Data'!AG$4:AG$2948)))</f>
        <v>47.0653831322613</v>
      </c>
      <c r="T11" s="3" cm="1">
        <f t="array" ref="T11">_xlfn.STDEV.S(IF('Fractional-Calorimetry-Data'!$B$4:$B$2948=$B11,IF('Fractional-Calorimetry-Data'!$J$4:$J$2853=100,'Fractional-Calorimetry-Data'!AH$4:AH$2948)))</f>
        <v>7.09917686162337</v>
      </c>
      <c r="U11" s="3" cm="1">
        <f t="array" ref="U11">_xlfn.STDEV.S(IF('Fractional-Calorimetry-Data'!$B$4:$B$2948=$B11,IF('Fractional-Calorimetry-Data'!$J$4:$J$2853=100,'Fractional-Calorimetry-Data'!AI$4:AI$2948)))</f>
        <v>5.5059621643693</v>
      </c>
      <c r="V11" s="3" cm="1">
        <f t="array" ref="V11">_xlfn.STDEV.S(IF('Fractional-Calorimetry-Data'!$B$4:$B$2948=$B11,IF('Fractional-Calorimetry-Data'!$J$4:$J$2853=100,'Fractional-Calorimetry-Data'!AJ$4:AJ$2948)))</f>
        <v>0</v>
      </c>
      <c r="W11" s="3" cm="1">
        <f t="array" ref="W11">_xlfn.STDEV.S(IF('Fractional-Calorimetry-Data'!$B$4:$B$2948=$B11,IF('Fractional-Calorimetry-Data'!$J$4:$J$2853=100,'Fractional-Calorimetry-Data'!AK$4:AK$2948)))</f>
        <v>19.8919002428959</v>
      </c>
      <c r="X11" s="3" cm="1">
        <f t="array" ref="X11">_xlfn.STDEV.S(IF('Fractional-Calorimetry-Data'!$B$4:$B$2948=$B11,IF('Fractional-Calorimetry-Data'!$J$4:$J$2853=100,'Fractional-Calorimetry-Data'!AL$4:AL$2948)))</f>
        <v>3.55874349147213</v>
      </c>
      <c r="Y11" s="3" cm="1">
        <f t="array" ref="Y11">_xlfn.STDEV.S(IF('Fractional-Calorimetry-Data'!$B$4:$B$2948=$B11,IF('Fractional-Calorimetry-Data'!$J$4:$J$2853=100,'Fractional-Calorimetry-Data'!AM$4:AM$2948)))</f>
        <v>3.18836993731011</v>
      </c>
      <c r="Z11" s="3" cm="1">
        <f t="array" ref="Z11">_xlfn.STDEV.S(IF('Fractional-Calorimetry-Data'!$B$4:$B$2948=$B11,IF('Fractional-Calorimetry-Data'!$J$4:$J$2853=100,'Fractional-Calorimetry-Data'!AN$4:AN$2948)))</f>
        <v>2.7872028989652</v>
      </c>
      <c r="AA11" s="3" cm="1">
        <f t="array" ref="AA11">_xlfn.STDEV.S(IF('Fractional-Calorimetry-Data'!$B$4:$B$2948=$B11,IF('Fractional-Calorimetry-Data'!$J$4:$J$2853=100,'Fractional-Calorimetry-Data'!AO$4:AO$2948)))</f>
        <v>1.63867629506257</v>
      </c>
      <c r="AB11" s="3" cm="1">
        <f t="array" ref="AB11">_xlfn.STDEV.S(IF('Fractional-Calorimetry-Data'!$B$4:$B$2948=$B11,IF('Fractional-Calorimetry-Data'!$J$4:$J$2853=100,'Fractional-Calorimetry-Data'!AP$4:AP$2948)))</f>
        <v>0.39496835316263</v>
      </c>
      <c r="AC11" s="3" cm="1">
        <f t="array" ref="AC11">_xlfn.STDEV.S(IF('Fractional-Calorimetry-Data'!$B$4:$B$2948=$B11,IF('Fractional-Calorimetry-Data'!$J$4:$J$2853=100,'Fractional-Calorimetry-Data'!AQ$4:AQ$2948)))</f>
        <v>0.992735518415559</v>
      </c>
      <c r="AD11" s="3" cm="1">
        <f t="array" ref="AD11">_xlfn.STDEV.S(IF('Fractional-Calorimetry-Data'!$B$4:$B$2948=$B11,IF('Fractional-Calorimetry-Data'!$J$4:$J$2853=100,'Fractional-Calorimetry-Data'!AR$4:AR$2948)))</f>
        <v>0.186955558762988</v>
      </c>
      <c r="AE11" s="3" cm="1">
        <f t="array" ref="AE11">_xlfn.STDEV.S(IF('Fractional-Calorimetry-Data'!$B$4:$B$2948=$B11,IF('Fractional-Calorimetry-Data'!$J$4:$J$2853=100,'Fractional-Calorimetry-Data'!AS$4:AS$2948)))</f>
        <v>1.9818240756098</v>
      </c>
      <c r="AF11" s="3" cm="1">
        <f t="array" ref="AF11">_xlfn.STDEV.S(IF('Fractional-Calorimetry-Data'!$B$4:$B$2948=$B11,IF('Fractional-Calorimetry-Data'!$J$4:$J$2853=100,'Fractional-Calorimetry-Data'!AT$4:AT$2948)))</f>
        <v>3.55874349147213</v>
      </c>
      <c r="AG11" s="3" cm="1">
        <f t="array" ref="AG11">_xlfn.STDEV.S(IF('Fractional-Calorimetry-Data'!$B$4:$B$2948=$B11,IF('Fractional-Calorimetry-Data'!$J$4:$J$2853=100,'Fractional-Calorimetry-Data'!AU$4:AU$2948)))</f>
        <v>7.57179466270665</v>
      </c>
    </row>
    <row r="12" spans="2:33">
      <c r="B12" s="14" t="s">
        <v>144</v>
      </c>
      <c r="C12" s="3" cm="1">
        <f t="array" ref="C12">_xlfn.STDEV.S(IF('Fractional-Calorimetry-Data'!$B$4:$B$2948=B12,IF('Fractional-Calorimetry-Data'!$J$4:$J2863=100,'Fractional-Calorimetry-Data'!$BE$4:$BE$2948)))</f>
        <v>0.192807873609782</v>
      </c>
      <c r="D12" s="3" cm="1">
        <f t="array" ref="D12">_xlfn.STDEV.S(IF('Fractional-Calorimetry-Data'!$B$4:$B$2948=$B12,IF('Fractional-Calorimetry-Data'!$J$4:$J$2853=100,'Fractional-Calorimetry-Data'!R$4:R$2948)))</f>
        <v>12.5548249850116</v>
      </c>
      <c r="E12" s="3" cm="1">
        <f t="array" ref="E12">_xlfn.STDEV.S(IF('Fractional-Calorimetry-Data'!$B$4:$B$2948=$B12,IF('Fractional-Calorimetry-Data'!$J$4:$J$2853=100,'Fractional-Calorimetry-Data'!S$4:S$2948)))</f>
        <v>0.00918438572668147</v>
      </c>
      <c r="F12" s="3" cm="1">
        <f t="array" ref="F12">_xlfn.STDEV.S(IF('Fractional-Calorimetry-Data'!$B$4:$B$2948=$B12,IF('Fractional-Calorimetry-Data'!$J$4:$J$2853=100,'Fractional-Calorimetry-Data'!T$4:T$2948)))</f>
        <v>11.8767714718131</v>
      </c>
      <c r="G12" s="3" cm="1">
        <f t="array" ref="G12">_xlfn.STDEV.S(IF('Fractional-Calorimetry-Data'!$B$4:$B$2948=$B12,IF('Fractional-Calorimetry-Data'!$J$4:$J$2853=100,'Fractional-Calorimetry-Data'!U$4:U$2948)))</f>
        <v>12.6327718789131</v>
      </c>
      <c r="H12" s="3" cm="1">
        <f t="array" ref="H12">_xlfn.STDEV.S(IF('Fractional-Calorimetry-Data'!$B$4:$B$2948=$B12,IF('Fractional-Calorimetry-Data'!$J$4:$J$2853=100,'Fractional-Calorimetry-Data'!V$4:V$2948)))</f>
        <v>7.67505093045939</v>
      </c>
      <c r="I12" s="3" cm="1">
        <f t="array" ref="I12">_xlfn.STDEV.S(IF('Fractional-Calorimetry-Data'!$B$4:$B$2948=$B12,IF('Fractional-Calorimetry-Data'!$J$4:$J$2853=100,'Fractional-Calorimetry-Data'!W$4:W$2948)))</f>
        <v>30.70304064642</v>
      </c>
      <c r="J12" s="3" cm="1">
        <f t="array" ref="J12">_xlfn.STDEV.S(IF('Fractional-Calorimetry-Data'!$B$4:$B$2948=$B12,IF('Fractional-Calorimetry-Data'!$J$4:$J$2853=100,'Fractional-Calorimetry-Data'!X$4:X$2948)))</f>
        <v>28.3401077510312</v>
      </c>
      <c r="K12" s="3" cm="1">
        <f t="array" ref="K12">_xlfn.STDEV.S(IF('Fractional-Calorimetry-Data'!$B$4:$B$2948=$B12,IF('Fractional-Calorimetry-Data'!$J$4:$J$2853=100,'Fractional-Calorimetry-Data'!Y$4:Y$2948)))</f>
        <v>7.11700893955615</v>
      </c>
      <c r="L12" s="3" cm="1">
        <f t="array" ref="L12">_xlfn.STDEV.S(IF('Fractional-Calorimetry-Data'!$B$4:$B$2948=$B12,IF('Fractional-Calorimetry-Data'!$J$4:$J$2853=100,'Fractional-Calorimetry-Data'!Z$4:Z$2948)))</f>
        <v>27.8917956958543</v>
      </c>
      <c r="M12" s="3" cm="1">
        <f t="array" ref="M12">_xlfn.STDEV.S(IF('Fractional-Calorimetry-Data'!$B$4:$B$2948=$B12,IF('Fractional-Calorimetry-Data'!$J$4:$J$2853=100,'Fractional-Calorimetry-Data'!AA$4:AA$2948)))</f>
        <v>30.1177104498443</v>
      </c>
      <c r="N12" s="3" cm="1">
        <f t="array" ref="N12">_xlfn.STDEV.S(IF('Fractional-Calorimetry-Data'!$B$4:$B$2948=$B12,IF('Fractional-Calorimetry-Data'!$J$4:$J$2853=100,'Fractional-Calorimetry-Data'!AB$4:AB$2948)))</f>
        <v>2.03509758156006</v>
      </c>
      <c r="O12" s="3" cm="1">
        <f t="array" ref="O12">_xlfn.STDEV.S(IF('Fractional-Calorimetry-Data'!$B$4:$B$2948=$B12,IF('Fractional-Calorimetry-Data'!$J$4:$J$2853=100,'Fractional-Calorimetry-Data'!AC$4:AC$2948)))</f>
        <v>1.52919468784846</v>
      </c>
      <c r="P12" s="3" cm="1">
        <f t="array" ref="P12">_xlfn.STDEV.S(IF('Fractional-Calorimetry-Data'!$B$4:$B$2948=$B12,IF('Fractional-Calorimetry-Data'!$J$4:$J$2853=100,'Fractional-Calorimetry-Data'!AD$4:AD$2948)))</f>
        <v>2.60750138365287</v>
      </c>
      <c r="Q12" s="3" cm="1">
        <f t="array" ref="Q12">_xlfn.STDEV.S(IF('Fractional-Calorimetry-Data'!$B$4:$B$2948=$B12,IF('Fractional-Calorimetry-Data'!$J$4:$J$2853=100,'Fractional-Calorimetry-Data'!AE$4:AE$2948)))</f>
        <v>2.03740690877598</v>
      </c>
      <c r="R12" s="3" cm="1">
        <f t="array" ref="R12">_xlfn.STDEV.S(IF('Fractional-Calorimetry-Data'!$B$4:$B$2948=$B12,IF('Fractional-Calorimetry-Data'!$J$4:$J$2853=100,'Fractional-Calorimetry-Data'!AF$4:AF$2948)))</f>
        <v>2.66328151210352</v>
      </c>
      <c r="S12" s="3" cm="1">
        <f t="array" ref="S12">_xlfn.STDEV.S(IF('Fractional-Calorimetry-Data'!$B$4:$B$2948=$B12,IF('Fractional-Calorimetry-Data'!$J$4:$J$2853=100,'Fractional-Calorimetry-Data'!AG$4:AG$2948)))</f>
        <v>457.335139836863</v>
      </c>
      <c r="T12" s="3" cm="1">
        <f t="array" ref="T12">_xlfn.STDEV.S(IF('Fractional-Calorimetry-Data'!$B$4:$B$2948=$B12,IF('Fractional-Calorimetry-Data'!$J$4:$J$2853=100,'Fractional-Calorimetry-Data'!AH$4:AH$2948)))</f>
        <v>76.3913813255471</v>
      </c>
      <c r="U12" s="3" cm="1">
        <f t="array" ref="U12">_xlfn.STDEV.S(IF('Fractional-Calorimetry-Data'!$B$4:$B$2948=$B12,IF('Fractional-Calorimetry-Data'!$J$4:$J$2853=100,'Fractional-Calorimetry-Data'!AI$4:AI$2948)))</f>
        <v>59.8691082858153</v>
      </c>
      <c r="V12" s="3" cm="1">
        <f t="array" ref="V12">_xlfn.STDEV.S(IF('Fractional-Calorimetry-Data'!$B$4:$B$2948=$B12,IF('Fractional-Calorimetry-Data'!$J$4:$J$2853=100,'Fractional-Calorimetry-Data'!AJ$4:AJ$2948)))</f>
        <v>9.12270533448655</v>
      </c>
      <c r="W12" s="3" cm="1">
        <f t="array" ref="W12">_xlfn.STDEV.S(IF('Fractional-Calorimetry-Data'!$B$4:$B$2948=$B12,IF('Fractional-Calorimetry-Data'!$J$4:$J$2853=100,'Fractional-Calorimetry-Data'!AK$4:AK$2948)))</f>
        <v>102.001564628841</v>
      </c>
      <c r="X12" s="3" cm="1">
        <f t="array" ref="X12">_xlfn.STDEV.S(IF('Fractional-Calorimetry-Data'!$B$4:$B$2948=$B12,IF('Fractional-Calorimetry-Data'!$J$4:$J$2853=100,'Fractional-Calorimetry-Data'!AL$4:AL$2948)))</f>
        <v>6.27343649742487</v>
      </c>
      <c r="Y12" s="3" cm="1">
        <f t="array" ref="Y12">_xlfn.STDEV.S(IF('Fractional-Calorimetry-Data'!$B$4:$B$2948=$B12,IF('Fractional-Calorimetry-Data'!$J$4:$J$2853=100,'Fractional-Calorimetry-Data'!AM$4:AM$2948)))</f>
        <v>3.37311484712989</v>
      </c>
      <c r="Z12" s="3" cm="1">
        <f t="array" ref="Z12">_xlfn.STDEV.S(IF('Fractional-Calorimetry-Data'!$B$4:$B$2948=$B12,IF('Fractional-Calorimetry-Data'!$J$4:$J$2853=100,'Fractional-Calorimetry-Data'!AN$4:AN$2948)))</f>
        <v>8.40499522778478</v>
      </c>
      <c r="AA12" s="3" cm="1">
        <f t="array" ref="AA12">_xlfn.STDEV.S(IF('Fractional-Calorimetry-Data'!$B$4:$B$2948=$B12,IF('Fractional-Calorimetry-Data'!$J$4:$J$2853=100,'Fractional-Calorimetry-Data'!AO$4:AO$2948)))</f>
        <v>1.56870655495397</v>
      </c>
      <c r="AB12" s="3" cm="1">
        <f t="array" ref="AB12">_xlfn.STDEV.S(IF('Fractional-Calorimetry-Data'!$B$4:$B$2948=$B12,IF('Fractional-Calorimetry-Data'!$J$4:$J$2853=100,'Fractional-Calorimetry-Data'!AP$4:AP$2948)))</f>
        <v>4.52308335687452</v>
      </c>
      <c r="AC12" s="3" cm="1">
        <f t="array" ref="AC12">_xlfn.STDEV.S(IF('Fractional-Calorimetry-Data'!$B$4:$B$2948=$B12,IF('Fractional-Calorimetry-Data'!$J$4:$J$2853=100,'Fractional-Calorimetry-Data'!AQ$4:AQ$2948)))</f>
        <v>6.20036180868462</v>
      </c>
      <c r="AD12" s="3" cm="1">
        <f t="array" ref="AD12">_xlfn.STDEV.S(IF('Fractional-Calorimetry-Data'!$B$4:$B$2948=$B12,IF('Fractional-Calorimetry-Data'!$J$4:$J$2853=100,'Fractional-Calorimetry-Data'!AR$4:AR$2948)))</f>
        <v>2.03728784786671</v>
      </c>
      <c r="AE12" s="3" cm="1">
        <f t="array" ref="AE12">_xlfn.STDEV.S(IF('Fractional-Calorimetry-Data'!$B$4:$B$2948=$B12,IF('Fractional-Calorimetry-Data'!$J$4:$J$2853=100,'Fractional-Calorimetry-Data'!AS$4:AS$2948)))</f>
        <v>3.38619559905589</v>
      </c>
      <c r="AF12" s="3" cm="1">
        <f t="array" ref="AF12">_xlfn.STDEV.S(IF('Fractional-Calorimetry-Data'!$B$4:$B$2948=$B12,IF('Fractional-Calorimetry-Data'!$J$4:$J$2853=100,'Fractional-Calorimetry-Data'!AT$4:AT$2948)))</f>
        <v>6.24045204541654</v>
      </c>
      <c r="AG12" s="3" cm="1">
        <f t="array" ref="AG12">_xlfn.STDEV.S(IF('Fractional-Calorimetry-Data'!$B$4:$B$2948=$B12,IF('Fractional-Calorimetry-Data'!$J$4:$J$2853=100,'Fractional-Calorimetry-Data'!AU$4:AU$2948)))</f>
        <v>9.15574886201529</v>
      </c>
    </row>
    <row r="13" spans="2:33">
      <c r="B13" s="14" t="s">
        <v>145</v>
      </c>
      <c r="C13" s="3" cm="1">
        <f t="array" ref="C13">_xlfn.STDEV.S(IF('Fractional-Calorimetry-Data'!$B$4:$B$2948=B13,IF('Fractional-Calorimetry-Data'!$J$4:$J2864=100,'Fractional-Calorimetry-Data'!$BE$4:$BE$2948)))</f>
        <v>0.0678262041480146</v>
      </c>
      <c r="D13" s="3" cm="1">
        <f t="array" ref="D13">_xlfn.STDEV.S(IF('Fractional-Calorimetry-Data'!$B$4:$B$2948=$B13,IF('Fractional-Calorimetry-Data'!$J$4:$J$2853=100,'Fractional-Calorimetry-Data'!R$4:R$2948)))</f>
        <v>1.90078208356921</v>
      </c>
      <c r="E13" s="3" cm="1">
        <f t="array" ref="E13">_xlfn.STDEV.S(IF('Fractional-Calorimetry-Data'!$B$4:$B$2948=$B13,IF('Fractional-Calorimetry-Data'!$J$4:$J$2853=100,'Fractional-Calorimetry-Data'!S$4:S$2948)))</f>
        <v>0.00818535277187245</v>
      </c>
      <c r="F13" s="3" cm="1">
        <f t="array" ref="F13">_xlfn.STDEV.S(IF('Fractional-Calorimetry-Data'!$B$4:$B$2948=$B13,IF('Fractional-Calorimetry-Data'!$J$4:$J$2853=100,'Fractional-Calorimetry-Data'!T$4:T$2948)))</f>
        <v>2.11332008069316</v>
      </c>
      <c r="G13" s="3" cm="1">
        <f t="array" ref="G13">_xlfn.STDEV.S(IF('Fractional-Calorimetry-Data'!$B$4:$B$2948=$B13,IF('Fractional-Calorimetry-Data'!$J$4:$J$2853=100,'Fractional-Calorimetry-Data'!U$4:U$2948)))</f>
        <v>2.14116474302618</v>
      </c>
      <c r="H13" s="3" cm="1">
        <f t="array" ref="H13">_xlfn.STDEV.S(IF('Fractional-Calorimetry-Data'!$B$4:$B$2948=$B13,IF('Fractional-Calorimetry-Data'!$J$4:$J$2853=100,'Fractional-Calorimetry-Data'!V$4:V$2948)))</f>
        <v>2.71066941164602</v>
      </c>
      <c r="I13" s="3" cm="1">
        <f t="array" ref="I13">_xlfn.STDEV.S(IF('Fractional-Calorimetry-Data'!$B$4:$B$2948=$B13,IF('Fractional-Calorimetry-Data'!$J$4:$J$2853=100,'Fractional-Calorimetry-Data'!W$4:W$2948)))</f>
        <v>2.69234052903311</v>
      </c>
      <c r="J13" s="3" cm="1">
        <f t="array" ref="J13">_xlfn.STDEV.S(IF('Fractional-Calorimetry-Data'!$B$4:$B$2948=$B13,IF('Fractional-Calorimetry-Data'!$J$4:$J$2853=100,'Fractional-Calorimetry-Data'!X$4:X$2948)))</f>
        <v>0.108034412436338</v>
      </c>
      <c r="K13" s="3" cm="1">
        <f t="array" ref="K13">_xlfn.STDEV.S(IF('Fractional-Calorimetry-Data'!$B$4:$B$2948=$B13,IF('Fractional-Calorimetry-Data'!$J$4:$J$2853=100,'Fractional-Calorimetry-Data'!Y$4:Y$2948)))</f>
        <v>6.97295258078626</v>
      </c>
      <c r="L13" s="3" cm="1">
        <f t="array" ref="L13">_xlfn.STDEV.S(IF('Fractional-Calorimetry-Data'!$B$4:$B$2948=$B13,IF('Fractional-Calorimetry-Data'!$J$4:$J$2853=100,'Fractional-Calorimetry-Data'!Z$4:Z$2948)))</f>
        <v>6.80875762151067</v>
      </c>
      <c r="M13" s="3" cm="1">
        <f t="array" ref="M13">_xlfn.STDEV.S(IF('Fractional-Calorimetry-Data'!$B$4:$B$2948=$B13,IF('Fractional-Calorimetry-Data'!$J$4:$J$2853=100,'Fractional-Calorimetry-Data'!AA$4:AA$2948)))</f>
        <v>0.401791387845843</v>
      </c>
      <c r="N13" s="3" cm="1">
        <f t="array" ref="N13">_xlfn.STDEV.S(IF('Fractional-Calorimetry-Data'!$B$4:$B$2948=$B13,IF('Fractional-Calorimetry-Data'!$J$4:$J$2853=100,'Fractional-Calorimetry-Data'!AB$4:AB$2948)))</f>
        <v>0.587424124886904</v>
      </c>
      <c r="O13" s="3" cm="1">
        <f t="array" ref="O13">_xlfn.STDEV.S(IF('Fractional-Calorimetry-Data'!$B$4:$B$2948=$B13,IF('Fractional-Calorimetry-Data'!$J$4:$J$2853=100,'Fractional-Calorimetry-Data'!AC$4:AC$2948)))</f>
        <v>0</v>
      </c>
      <c r="P13" s="3" cm="1">
        <f t="array" ref="P13">_xlfn.STDEV.S(IF('Fractional-Calorimetry-Data'!$B$4:$B$2948=$B13,IF('Fractional-Calorimetry-Data'!$J$4:$J$2853=100,'Fractional-Calorimetry-Data'!AD$4:AD$2948)))</f>
        <v>1.47291115669481</v>
      </c>
      <c r="Q13" s="3" cm="1">
        <f t="array" ref="Q13">_xlfn.STDEV.S(IF('Fractional-Calorimetry-Data'!$B$4:$B$2948=$B13,IF('Fractional-Calorimetry-Data'!$J$4:$J$2853=100,'Fractional-Calorimetry-Data'!AE$4:AE$2948)))</f>
        <v>1.46701330376091</v>
      </c>
      <c r="R13" s="3" cm="1">
        <f t="array" ref="R13">_xlfn.STDEV.S(IF('Fractional-Calorimetry-Data'!$B$4:$B$2948=$B13,IF('Fractional-Calorimetry-Data'!$J$4:$J$2853=100,'Fractional-Calorimetry-Data'!AF$4:AF$2948)))</f>
        <v>1.050549984</v>
      </c>
      <c r="S13" s="3" cm="1">
        <f t="array" ref="S13">_xlfn.STDEV.S(IF('Fractional-Calorimetry-Data'!$B$4:$B$2948=$B13,IF('Fractional-Calorimetry-Data'!$J$4:$J$2853=100,'Fractional-Calorimetry-Data'!AG$4:AG$2948)))</f>
        <v>0.757529580948291</v>
      </c>
      <c r="T13" s="3" cm="1">
        <f t="array" ref="T13">_xlfn.STDEV.S(IF('Fractional-Calorimetry-Data'!$B$4:$B$2948=$B13,IF('Fractional-Calorimetry-Data'!$J$4:$J$2853=100,'Fractional-Calorimetry-Data'!AH$4:AH$2948)))</f>
        <v>121.728568580351</v>
      </c>
      <c r="U13" s="3" cm="1">
        <f t="array" ref="U13">_xlfn.STDEV.S(IF('Fractional-Calorimetry-Data'!$B$4:$B$2948=$B13,IF('Fractional-Calorimetry-Data'!$J$4:$J$2853=100,'Fractional-Calorimetry-Data'!AI$4:AI$2948)))</f>
        <v>6.48268436667122</v>
      </c>
      <c r="V13" s="3" cm="1">
        <f t="array" ref="V13">_xlfn.STDEV.S(IF('Fractional-Calorimetry-Data'!$B$4:$B$2948=$B13,IF('Fractional-Calorimetry-Data'!$J$4:$J$2853=100,'Fractional-Calorimetry-Data'!AJ$4:AJ$2948)))</f>
        <v>0</v>
      </c>
      <c r="W13" s="3" cm="1">
        <f t="array" ref="W13">_xlfn.STDEV.S(IF('Fractional-Calorimetry-Data'!$B$4:$B$2948=$B13,IF('Fractional-Calorimetry-Data'!$J$4:$J$2853=100,'Fractional-Calorimetry-Data'!AK$4:AK$2948)))</f>
        <v>25.7084138462872</v>
      </c>
      <c r="X13" s="3" cm="1">
        <f t="array" ref="X13">_xlfn.STDEV.S(IF('Fractional-Calorimetry-Data'!$B$4:$B$2948=$B13,IF('Fractional-Calorimetry-Data'!$J$4:$J$2853=100,'Fractional-Calorimetry-Data'!AL$4:AL$2948)))</f>
        <v>0.616441400296898</v>
      </c>
      <c r="Y13" s="3" cm="1">
        <f t="array" ref="Y13">_xlfn.STDEV.S(IF('Fractional-Calorimetry-Data'!$B$4:$B$2948=$B13,IF('Fractional-Calorimetry-Data'!$J$4:$J$2853=100,'Fractional-Calorimetry-Data'!AM$4:AM$2948)))</f>
        <v>0.0500000000000002</v>
      </c>
      <c r="Z13" s="3" cm="1">
        <f t="array" ref="Z13">_xlfn.STDEV.S(IF('Fractional-Calorimetry-Data'!$B$4:$B$2948=$B13,IF('Fractional-Calorimetry-Data'!$J$4:$J$2853=100,'Fractional-Calorimetry-Data'!AN$4:AN$2948)))</f>
        <v>0.655108133567785</v>
      </c>
      <c r="AA13" s="3" cm="1">
        <f t="array" ref="AA13">_xlfn.STDEV.S(IF('Fractional-Calorimetry-Data'!$B$4:$B$2948=$B13,IF('Fractional-Calorimetry-Data'!$J$4:$J$2853=100,'Fractional-Calorimetry-Data'!AO$4:AO$2948)))</f>
        <v>0.411298755975102</v>
      </c>
      <c r="AB13" s="3" cm="1">
        <f t="array" ref="AB13">_xlfn.STDEV.S(IF('Fractional-Calorimetry-Data'!$B$4:$B$2948=$B13,IF('Fractional-Calorimetry-Data'!$J$4:$J$2853=100,'Fractional-Calorimetry-Data'!AP$4:AP$2948)))</f>
        <v>0</v>
      </c>
      <c r="AC13" s="3" cm="1">
        <f t="array" ref="AC13">_xlfn.STDEV.S(IF('Fractional-Calorimetry-Data'!$B$4:$B$2948=$B13,IF('Fractional-Calorimetry-Data'!$J$4:$J$2853=100,'Fractional-Calorimetry-Data'!AQ$4:AQ$2948)))</f>
        <v>0</v>
      </c>
      <c r="AD13" s="3" cm="1">
        <f t="array" ref="AD13">_xlfn.STDEV.S(IF('Fractional-Calorimetry-Data'!$B$4:$B$2948=$B13,IF('Fractional-Calorimetry-Data'!$J$4:$J$2853=100,'Fractional-Calorimetry-Data'!AR$4:AR$2948)))</f>
        <v>0</v>
      </c>
      <c r="AE13" s="3" cm="1">
        <f t="array" ref="AE13">_xlfn.STDEV.S(IF('Fractional-Calorimetry-Data'!$B$4:$B$2948=$B13,IF('Fractional-Calorimetry-Data'!$J$4:$J$2853=100,'Fractional-Calorimetry-Data'!AS$4:AS$2948)))</f>
        <v>0.953502316025849</v>
      </c>
      <c r="AF13" s="3" cm="1">
        <f t="array" ref="AF13">_xlfn.STDEV.S(IF('Fractional-Calorimetry-Data'!$B$4:$B$2948=$B13,IF('Fractional-Calorimetry-Data'!$J$4:$J$2853=100,'Fractional-Calorimetry-Data'!AT$4:AT$2948)))</f>
        <v>0.616441400296898</v>
      </c>
      <c r="AG13" s="3" cm="1">
        <f t="array" ref="AG13">_xlfn.STDEV.S(IF('Fractional-Calorimetry-Data'!$B$4:$B$2948=$B13,IF('Fractional-Calorimetry-Data'!$J$4:$J$2853=100,'Fractional-Calorimetry-Data'!AU$4:AU$2948)))</f>
        <v>1.2842529172852</v>
      </c>
    </row>
    <row r="14" spans="2:33">
      <c r="B14" s="14" t="s">
        <v>24</v>
      </c>
      <c r="C14" s="3" cm="1">
        <f t="array" ref="C14">_xlfn.STDEV.S(IF('Fractional-Calorimetry-Data'!$B$4:$B$2948=B14,IF('Fractional-Calorimetry-Data'!$J$4:$J2866=100,'Fractional-Calorimetry-Data'!$BE$4:$BE$2948)))</f>
        <v>0.0938909141261462</v>
      </c>
      <c r="D14" s="3" cm="1">
        <f t="array" ref="D14">_xlfn.STDEV.S(IF('Fractional-Calorimetry-Data'!$B$4:$B$2948=$B14,IF('Fractional-Calorimetry-Data'!$J$4:$J$2853=100,'Fractional-Calorimetry-Data'!R$4:R$2948)))</f>
        <v>2.15452448481071</v>
      </c>
      <c r="E14" s="3" cm="1">
        <f t="array" ref="E14">_xlfn.STDEV.S(IF('Fractional-Calorimetry-Data'!$B$4:$B$2948=$B14,IF('Fractional-Calorimetry-Data'!$J$4:$J$2853=100,'Fractional-Calorimetry-Data'!S$4:S$2948)))</f>
        <v>0.000577350269189624</v>
      </c>
      <c r="F14" s="3" cm="1">
        <f t="array" ref="F14">_xlfn.STDEV.S(IF('Fractional-Calorimetry-Data'!$B$4:$B$2948=$B14,IF('Fractional-Calorimetry-Data'!$J$4:$J$2853=100,'Fractional-Calorimetry-Data'!T$4:T$2948)))</f>
        <v>2.22165523646268</v>
      </c>
      <c r="G14" s="3" cm="1">
        <f t="array" ref="G14">_xlfn.STDEV.S(IF('Fractional-Calorimetry-Data'!$B$4:$B$2948=$B14,IF('Fractional-Calorimetry-Data'!$J$4:$J$2853=100,'Fractional-Calorimetry-Data'!U$4:U$2948)))</f>
        <v>2.96398593349983</v>
      </c>
      <c r="H14" s="3" cm="1">
        <f t="array" ref="H14">_xlfn.STDEV.S(IF('Fractional-Calorimetry-Data'!$B$4:$B$2948=$B14,IF('Fractional-Calorimetry-Data'!$J$4:$J$2853=100,'Fractional-Calorimetry-Data'!V$4:V$2948)))</f>
        <v>3.39428080760544</v>
      </c>
      <c r="I14" s="3" cm="1">
        <f t="array" ref="I14">_xlfn.STDEV.S(IF('Fractional-Calorimetry-Data'!$B$4:$B$2948=$B14,IF('Fractional-Calorimetry-Data'!$J$4:$J$2853=100,'Fractional-Calorimetry-Data'!W$4:W$2948)))</f>
        <v>5.39396137512545</v>
      </c>
      <c r="J14" s="3" cm="1">
        <f t="array" ref="J14">_xlfn.STDEV.S(IF('Fractional-Calorimetry-Data'!$B$4:$B$2948=$B14,IF('Fractional-Calorimetry-Data'!$J$4:$J$2853=100,'Fractional-Calorimetry-Data'!X$4:X$2948)))</f>
        <v>0.0374245035569625</v>
      </c>
      <c r="K14" s="3" cm="1">
        <f t="array" ref="K14">_xlfn.STDEV.S(IF('Fractional-Calorimetry-Data'!$B$4:$B$2948=$B14,IF('Fractional-Calorimetry-Data'!$J$4:$J$2853=100,'Fractional-Calorimetry-Data'!Y$4:Y$2948)))</f>
        <v>9.38131781471693</v>
      </c>
      <c r="L14" s="3" cm="1">
        <f t="array" ref="L14">_xlfn.STDEV.S(IF('Fractional-Calorimetry-Data'!$B$4:$B$2948=$B14,IF('Fractional-Calorimetry-Data'!$J$4:$J$2853=100,'Fractional-Calorimetry-Data'!Z$4:Z$2948)))</f>
        <v>9.39246032056117</v>
      </c>
      <c r="M14" s="3" cm="1">
        <f t="array" ref="M14">_xlfn.STDEV.S(IF('Fractional-Calorimetry-Data'!$B$4:$B$2948=$B14,IF('Fractional-Calorimetry-Data'!$J$4:$J$2853=100,'Fractional-Calorimetry-Data'!AA$4:AA$2948)))</f>
        <v>0.0164087330246017</v>
      </c>
      <c r="N14" s="3" cm="1">
        <f t="array" ref="N14">_xlfn.STDEV.S(IF('Fractional-Calorimetry-Data'!$B$4:$B$2948=$B14,IF('Fractional-Calorimetry-Data'!$J$4:$J$2853=100,'Fractional-Calorimetry-Data'!AB$4:AB$2948)))</f>
        <v>0.832617719174736</v>
      </c>
      <c r="O14" s="3" cm="1">
        <f t="array" ref="O14">_xlfn.STDEV.S(IF('Fractional-Calorimetry-Data'!$B$4:$B$2948=$B14,IF('Fractional-Calorimetry-Data'!$J$4:$J$2853=100,'Fractional-Calorimetry-Data'!AC$4:AC$2948)))</f>
        <v>0</v>
      </c>
      <c r="P14" s="3" cm="1">
        <f t="array" ref="P14">_xlfn.STDEV.S(IF('Fractional-Calorimetry-Data'!$B$4:$B$2948=$B14,IF('Fractional-Calorimetry-Data'!$J$4:$J$2853=100,'Fractional-Calorimetry-Data'!AD$4:AD$2948)))</f>
        <v>1.20171559665066</v>
      </c>
      <c r="Q14" s="3" cm="1">
        <f t="array" ref="Q14">_xlfn.STDEV.S(IF('Fractional-Calorimetry-Data'!$B$4:$B$2948=$B14,IF('Fractional-Calorimetry-Data'!$J$4:$J$2853=100,'Fractional-Calorimetry-Data'!AE$4:AE$2948)))</f>
        <v>1.05975582210329</v>
      </c>
      <c r="R14" s="3" cm="1">
        <f t="array" ref="R14">_xlfn.STDEV.S(IF('Fractional-Calorimetry-Data'!$B$4:$B$2948=$B14,IF('Fractional-Calorimetry-Data'!$J$4:$J$2853=100,'Fractional-Calorimetry-Data'!AF$4:AF$2948)))</f>
        <v>0</v>
      </c>
      <c r="S14" s="3" cm="1">
        <f t="array" ref="S14">_xlfn.STDEV.S(IF('Fractional-Calorimetry-Data'!$B$4:$B$2948=$B14,IF('Fractional-Calorimetry-Data'!$J$4:$J$2853=100,'Fractional-Calorimetry-Data'!AG$4:AG$2948)))</f>
        <v>142.779037916309</v>
      </c>
      <c r="T14" s="3" cm="1">
        <f t="array" ref="T14">_xlfn.STDEV.S(IF('Fractional-Calorimetry-Data'!$B$4:$B$2948=$B14,IF('Fractional-Calorimetry-Data'!$J$4:$J$2853=100,'Fractional-Calorimetry-Data'!AH$4:AH$2948)))</f>
        <v>12.1000635242816</v>
      </c>
      <c r="U14" s="3" cm="1">
        <f t="array" ref="U14">_xlfn.STDEV.S(IF('Fractional-Calorimetry-Data'!$B$4:$B$2948=$B14,IF('Fractional-Calorimetry-Data'!$J$4:$J$2853=100,'Fractional-Calorimetry-Data'!AI$4:AI$2948)))</f>
        <v>15.1003958212027</v>
      </c>
      <c r="V14" s="3" cm="1">
        <f t="array" ref="V14">_xlfn.STDEV.S(IF('Fractional-Calorimetry-Data'!$B$4:$B$2948=$B14,IF('Fractional-Calorimetry-Data'!$J$4:$J$2853=100,'Fractional-Calorimetry-Data'!AJ$4:AJ$2948)))</f>
        <v>0</v>
      </c>
      <c r="W14" s="3" cm="1">
        <f t="array" ref="W14">_xlfn.STDEV.S(IF('Fractional-Calorimetry-Data'!$B$4:$B$2948=$B14,IF('Fractional-Calorimetry-Data'!$J$4:$J$2853=100,'Fractional-Calorimetry-Data'!AK$4:AK$2948)))</f>
        <v>43.2570722821889</v>
      </c>
      <c r="X14" s="3" cm="1">
        <f t="array" ref="X14">_xlfn.STDEV.S(IF('Fractional-Calorimetry-Data'!$B$4:$B$2948=$B14,IF('Fractional-Calorimetry-Data'!$J$4:$J$2853=100,'Fractional-Calorimetry-Data'!AL$4:AL$2948)))</f>
        <v>0.929157324317755</v>
      </c>
      <c r="Y14" s="3" cm="1">
        <f t="array" ref="Y14">_xlfn.STDEV.S(IF('Fractional-Calorimetry-Data'!$B$4:$B$2948=$B14,IF('Fractional-Calorimetry-Data'!$J$4:$J$2853=100,'Fractional-Calorimetry-Data'!AM$4:AM$2948)))</f>
        <v>0.5</v>
      </c>
      <c r="Z14" s="3" cm="1">
        <f t="array" ref="Z14">_xlfn.STDEV.S(IF('Fractional-Calorimetry-Data'!$B$4:$B$2948=$B14,IF('Fractional-Calorimetry-Data'!$J$4:$J$2853=100,'Fractional-Calorimetry-Data'!AN$4:AN$2948)))</f>
        <v>0.655743852430201</v>
      </c>
      <c r="AA14" s="3" cm="1">
        <f t="array" ref="AA14">_xlfn.STDEV.S(IF('Fractional-Calorimetry-Data'!$B$4:$B$2948=$B14,IF('Fractional-Calorimetry-Data'!$J$4:$J$2853=100,'Fractional-Calorimetry-Data'!AO$4:AO$2948)))</f>
        <v>0.757187779440036</v>
      </c>
      <c r="AB14" s="3" cm="1">
        <f t="array" ref="AB14">_xlfn.STDEV.S(IF('Fractional-Calorimetry-Data'!$B$4:$B$2948=$B14,IF('Fractional-Calorimetry-Data'!$J$4:$J$2853=100,'Fractional-Calorimetry-Data'!AP$4:AP$2948)))</f>
        <v>0</v>
      </c>
      <c r="AC14" s="3" cm="1">
        <f t="array" ref="AC14">_xlfn.STDEV.S(IF('Fractional-Calorimetry-Data'!$B$4:$B$2948=$B14,IF('Fractional-Calorimetry-Data'!$J$4:$J$2853=100,'Fractional-Calorimetry-Data'!AQ$4:AQ$2948)))</f>
        <v>0</v>
      </c>
      <c r="AD14" s="3" cm="1">
        <f t="array" ref="AD14">_xlfn.STDEV.S(IF('Fractional-Calorimetry-Data'!$B$4:$B$2948=$B14,IF('Fractional-Calorimetry-Data'!$J$4:$J$2853=100,'Fractional-Calorimetry-Data'!AR$4:AR$2948)))</f>
        <v>0</v>
      </c>
      <c r="AE14" s="3" cm="1">
        <f t="array" ref="AE14">_xlfn.STDEV.S(IF('Fractional-Calorimetry-Data'!$B$4:$B$2948=$B14,IF('Fractional-Calorimetry-Data'!$J$4:$J$2853=100,'Fractional-Calorimetry-Data'!AS$4:AS$2948)))</f>
        <v>2.28108161479008</v>
      </c>
      <c r="AF14" s="3" cm="1">
        <f t="array" ref="AF14">_xlfn.STDEV.S(IF('Fractional-Calorimetry-Data'!$B$4:$B$2948=$B14,IF('Fractional-Calorimetry-Data'!$J$4:$J$2853=100,'Fractional-Calorimetry-Data'!AT$4:AT$2948)))</f>
        <v>0.929157324317755</v>
      </c>
      <c r="AG14" s="3" cm="1">
        <f t="array" ref="AG14">_xlfn.STDEV.S(IF('Fractional-Calorimetry-Data'!$B$4:$B$2948=$B14,IF('Fractional-Calorimetry-Data'!$J$4:$J$2853=100,'Fractional-Calorimetry-Data'!AU$4:AU$2948)))</f>
        <v>1.93574442566199</v>
      </c>
    </row>
    <row r="15" spans="2:33">
      <c r="B15" s="14" t="s">
        <v>26</v>
      </c>
      <c r="C15" s="3" cm="1">
        <f t="array" ref="C15">_xlfn.STDEV.S(IF('Fractional-Calorimetry-Data'!$B$4:$B$2948=B15,IF('Fractional-Calorimetry-Data'!$J$4:$J2867=100,'Fractional-Calorimetry-Data'!$BE$4:$BE$2948)))</f>
        <v>0.073753607669935</v>
      </c>
      <c r="D15" s="3" cm="1">
        <f t="array" ref="D15">_xlfn.STDEV.S(IF('Fractional-Calorimetry-Data'!$B$4:$B$2948=$B15,IF('Fractional-Calorimetry-Data'!$J$4:$J$2853=100,'Fractional-Calorimetry-Data'!R$4:R$2948)))</f>
        <v>2.58792911060907</v>
      </c>
      <c r="E15" s="3" cm="1">
        <f t="array" ref="E15">_xlfn.STDEV.S(IF('Fractional-Calorimetry-Data'!$B$4:$B$2948=$B15,IF('Fractional-Calorimetry-Data'!$J$4:$J$2853=100,'Fractional-Calorimetry-Data'!S$4:S$2948)))</f>
        <v>0.00321455025366432</v>
      </c>
      <c r="F15" s="3" cm="1">
        <f t="array" ref="F15">_xlfn.STDEV.S(IF('Fractional-Calorimetry-Data'!$B$4:$B$2948=$B15,IF('Fractional-Calorimetry-Data'!$J$4:$J$2853=100,'Fractional-Calorimetry-Data'!T$4:T$2948)))</f>
        <v>1.62478702689536</v>
      </c>
      <c r="G15" s="3" cm="1">
        <f t="array" ref="G15">_xlfn.STDEV.S(IF('Fractional-Calorimetry-Data'!$B$4:$B$2948=$B15,IF('Fractional-Calorimetry-Data'!$J$4:$J$2853=100,'Fractional-Calorimetry-Data'!U$4:U$2948)))</f>
        <v>2.32828338836758</v>
      </c>
      <c r="H15" s="3" cm="1">
        <f t="array" ref="H15">_xlfn.STDEV.S(IF('Fractional-Calorimetry-Data'!$B$4:$B$2948=$B15,IF('Fractional-Calorimetry-Data'!$J$4:$J$2853=100,'Fractional-Calorimetry-Data'!V$4:V$2948)))</f>
        <v>4.19137572350889</v>
      </c>
      <c r="I15" s="3" cm="1">
        <f t="array" ref="I15">_xlfn.STDEV.S(IF('Fractional-Calorimetry-Data'!$B$4:$B$2948=$B15,IF('Fractional-Calorimetry-Data'!$J$4:$J$2853=100,'Fractional-Calorimetry-Data'!W$4:W$2948)))</f>
        <v>1.95414825052153</v>
      </c>
      <c r="J15" s="3" cm="1">
        <f t="array" ref="J15">_xlfn.STDEV.S(IF('Fractional-Calorimetry-Data'!$B$4:$B$2948=$B15,IF('Fractional-Calorimetry-Data'!$J$4:$J$2853=100,'Fractional-Calorimetry-Data'!X$4:X$2948)))</f>
        <v>0.031667497674345</v>
      </c>
      <c r="K15" s="3" cm="1">
        <f t="array" ref="K15">_xlfn.STDEV.S(IF('Fractional-Calorimetry-Data'!$B$4:$B$2948=$B15,IF('Fractional-Calorimetry-Data'!$J$4:$J$2853=100,'Fractional-Calorimetry-Data'!Y$4:Y$2948)))</f>
        <v>7.16823857813819</v>
      </c>
      <c r="L15" s="3" cm="1">
        <f t="array" ref="L15">_xlfn.STDEV.S(IF('Fractional-Calorimetry-Data'!$B$4:$B$2948=$B15,IF('Fractional-Calorimetry-Data'!$J$4:$J$2853=100,'Fractional-Calorimetry-Data'!Z$4:Z$2948)))</f>
        <v>7.14563610963373</v>
      </c>
      <c r="M15" s="3" cm="1">
        <f t="array" ref="M15">_xlfn.STDEV.S(IF('Fractional-Calorimetry-Data'!$B$4:$B$2948=$B15,IF('Fractional-Calorimetry-Data'!$J$4:$J$2853=100,'Fractional-Calorimetry-Data'!AA$4:AA$2948)))</f>
        <v>0.0237383788503492</v>
      </c>
      <c r="N15" s="3" cm="1">
        <f t="array" ref="N15">_xlfn.STDEV.S(IF('Fractional-Calorimetry-Data'!$B$4:$B$2948=$B15,IF('Fractional-Calorimetry-Data'!$J$4:$J$2853=100,'Fractional-Calorimetry-Data'!AB$4:AB$2948)))</f>
        <v>0.725379702479456</v>
      </c>
      <c r="O15" s="3" cm="1">
        <f t="array" ref="O15">_xlfn.STDEV.S(IF('Fractional-Calorimetry-Data'!$B$4:$B$2948=$B15,IF('Fractional-Calorimetry-Data'!$J$4:$J$2853=100,'Fractional-Calorimetry-Data'!AC$4:AC$2948)))</f>
        <v>0</v>
      </c>
      <c r="P15" s="3" cm="1">
        <f t="array" ref="P15">_xlfn.STDEV.S(IF('Fractional-Calorimetry-Data'!$B$4:$B$2948=$B15,IF('Fractional-Calorimetry-Data'!$J$4:$J$2853=100,'Fractional-Calorimetry-Data'!AD$4:AD$2948)))</f>
        <v>1.10331778849759</v>
      </c>
      <c r="Q15" s="3" cm="1">
        <f t="array" ref="Q15">_xlfn.STDEV.S(IF('Fractional-Calorimetry-Data'!$B$4:$B$2948=$B15,IF('Fractional-Calorimetry-Data'!$J$4:$J$2853=100,'Fractional-Calorimetry-Data'!AE$4:AE$2948)))</f>
        <v>0.173669342235957</v>
      </c>
      <c r="R15" s="3" cm="1">
        <f t="array" ref="R15">_xlfn.STDEV.S(IF('Fractional-Calorimetry-Data'!$B$4:$B$2948=$B15,IF('Fractional-Calorimetry-Data'!$J$4:$J$2853=100,'Fractional-Calorimetry-Data'!AF$4:AF$2948)))</f>
        <v>0</v>
      </c>
      <c r="S15" s="3" cm="1">
        <f t="array" ref="S15">_xlfn.STDEV.S(IF('Fractional-Calorimetry-Data'!$B$4:$B$2948=$B15,IF('Fractional-Calorimetry-Data'!$J$4:$J$2853=100,'Fractional-Calorimetry-Data'!AG$4:AG$2948)))</f>
        <v>45.6002771048879</v>
      </c>
      <c r="T15" s="3" cm="1">
        <f t="array" ref="T15">_xlfn.STDEV.S(IF('Fractional-Calorimetry-Data'!$B$4:$B$2948=$B15,IF('Fractional-Calorimetry-Data'!$J$4:$J$2853=100,'Fractional-Calorimetry-Data'!AH$4:AH$2948)))</f>
        <v>6.55985771201181</v>
      </c>
      <c r="U15" s="3" cm="1">
        <f t="array" ref="U15">_xlfn.STDEV.S(IF('Fractional-Calorimetry-Data'!$B$4:$B$2948=$B15,IF('Fractional-Calorimetry-Data'!$J$4:$J$2853=100,'Fractional-Calorimetry-Data'!AI$4:AI$2948)))</f>
        <v>10.2522749717457</v>
      </c>
      <c r="V15" s="3" cm="1">
        <f t="array" ref="V15">_xlfn.STDEV.S(IF('Fractional-Calorimetry-Data'!$B$4:$B$2948=$B15,IF('Fractional-Calorimetry-Data'!$J$4:$J$2853=100,'Fractional-Calorimetry-Data'!AJ$4:AJ$2948)))</f>
        <v>0</v>
      </c>
      <c r="W15" s="3" cm="1">
        <f t="array" ref="W15">_xlfn.STDEV.S(IF('Fractional-Calorimetry-Data'!$B$4:$B$2948=$B15,IF('Fractional-Calorimetry-Data'!$J$4:$J$2853=100,'Fractional-Calorimetry-Data'!AK$4:AK$2948)))</f>
        <v>49.2083326005015</v>
      </c>
      <c r="X15" s="3" cm="1">
        <f t="array" ref="X15">_xlfn.STDEV.S(IF('Fractional-Calorimetry-Data'!$B$4:$B$2948=$B15,IF('Fractional-Calorimetry-Data'!$J$4:$J$2853=100,'Fractional-Calorimetry-Data'!AL$4:AL$2948)))</f>
        <v>1.04083299973307</v>
      </c>
      <c r="Y15" s="3" cm="1">
        <f t="array" ref="Y15">_xlfn.STDEV.S(IF('Fractional-Calorimetry-Data'!$B$4:$B$2948=$B15,IF('Fractional-Calorimetry-Data'!$J$4:$J$2853=100,'Fractional-Calorimetry-Data'!AM$4:AM$2948)))</f>
        <v>0.360555127546399</v>
      </c>
      <c r="Z15" s="3" cm="1">
        <f t="array" ref="Z15">_xlfn.STDEV.S(IF('Fractional-Calorimetry-Data'!$B$4:$B$2948=$B15,IF('Fractional-Calorimetry-Data'!$J$4:$J$2853=100,'Fractional-Calorimetry-Data'!AN$4:AN$2948)))</f>
        <v>0.776745346515402</v>
      </c>
      <c r="AA15" s="3" cm="1">
        <f t="array" ref="AA15">_xlfn.STDEV.S(IF('Fractional-Calorimetry-Data'!$B$4:$B$2948=$B15,IF('Fractional-Calorimetry-Data'!$J$4:$J$2853=100,'Fractional-Calorimetry-Data'!AO$4:AO$2948)))</f>
        <v>0.763762615825973</v>
      </c>
      <c r="AB15" s="3" cm="1">
        <f t="array" ref="AB15">_xlfn.STDEV.S(IF('Fractional-Calorimetry-Data'!$B$4:$B$2948=$B15,IF('Fractional-Calorimetry-Data'!$J$4:$J$2853=100,'Fractional-Calorimetry-Data'!AP$4:AP$2948)))</f>
        <v>0</v>
      </c>
      <c r="AC15" s="3" cm="1">
        <f t="array" ref="AC15">_xlfn.STDEV.S(IF('Fractional-Calorimetry-Data'!$B$4:$B$2948=$B15,IF('Fractional-Calorimetry-Data'!$J$4:$J$2853=100,'Fractional-Calorimetry-Data'!AQ$4:AQ$2948)))</f>
        <v>0.0577350269189626</v>
      </c>
      <c r="AD15" s="3" cm="1">
        <f t="array" ref="AD15">_xlfn.STDEV.S(IF('Fractional-Calorimetry-Data'!$B$4:$B$2948=$B15,IF('Fractional-Calorimetry-Data'!$J$4:$J$2853=100,'Fractional-Calorimetry-Data'!AR$4:AR$2948)))</f>
        <v>0.115470053837925</v>
      </c>
      <c r="AE15" s="3" cm="1">
        <f t="array" ref="AE15">_xlfn.STDEV.S(IF('Fractional-Calorimetry-Data'!$B$4:$B$2948=$B15,IF('Fractional-Calorimetry-Data'!$J$4:$J$2853=100,'Fractional-Calorimetry-Data'!AS$4:AS$2948)))</f>
        <v>2.3259406699226</v>
      </c>
      <c r="AF15" s="3" cm="1">
        <f t="array" ref="AF15">_xlfn.STDEV.S(IF('Fractional-Calorimetry-Data'!$B$4:$B$2948=$B15,IF('Fractional-Calorimetry-Data'!$J$4:$J$2853=100,'Fractional-Calorimetry-Data'!AT$4:AT$2948)))</f>
        <v>1.04083299973307</v>
      </c>
      <c r="AG15" s="3" cm="1">
        <f t="array" ref="AG15">_xlfn.STDEV.S(IF('Fractional-Calorimetry-Data'!$B$4:$B$2948=$B15,IF('Fractional-Calorimetry-Data'!$J$4:$J$2853=100,'Fractional-Calorimetry-Data'!AU$4:AU$2948)))</f>
        <v>2.16840208277722</v>
      </c>
    </row>
    <row r="16" spans="2:33">
      <c r="B16" s="14" t="s">
        <v>146</v>
      </c>
      <c r="C16" s="3" cm="1">
        <f t="array" ref="C16">_xlfn.STDEV.S(IF('Fractional-Calorimetry-Data'!$B$4:$B$2948=B16,IF('Fractional-Calorimetry-Data'!$J$4:$J2868=100,'Fractional-Calorimetry-Data'!$BE$4:$BE$2948)))</f>
        <v>0.0750296803859432</v>
      </c>
      <c r="D16" s="3" cm="1">
        <f t="array" ref="D16">_xlfn.STDEV.S(IF('Fractional-Calorimetry-Data'!$B$4:$B$2948=$B16,IF('Fractional-Calorimetry-Data'!$J$4:$J$2853=100,'Fractional-Calorimetry-Data'!R$4:R$2948)))</f>
        <v>2.7939953768386</v>
      </c>
      <c r="E16" s="3" cm="1">
        <f t="array" ref="E16">_xlfn.STDEV.S(IF('Fractional-Calorimetry-Data'!$B$4:$B$2948=$B16,IF('Fractional-Calorimetry-Data'!$J$4:$J$2853=100,'Fractional-Calorimetry-Data'!S$4:S$2948)))</f>
        <v>0.00578161838165674</v>
      </c>
      <c r="F16" s="3" cm="1">
        <f t="array" ref="F16">_xlfn.STDEV.S(IF('Fractional-Calorimetry-Data'!$B$4:$B$2948=$B16,IF('Fractional-Calorimetry-Data'!$J$4:$J$2853=100,'Fractional-Calorimetry-Data'!T$4:T$2948)))</f>
        <v>2.92419464971014</v>
      </c>
      <c r="G16" s="3" cm="1">
        <f t="array" ref="G16">_xlfn.STDEV.S(IF('Fractional-Calorimetry-Data'!$B$4:$B$2948=$B16,IF('Fractional-Calorimetry-Data'!$J$4:$J$2853=100,'Fractional-Calorimetry-Data'!U$4:U$2948)))</f>
        <v>3.40334630230638</v>
      </c>
      <c r="H16" s="3" cm="1">
        <f t="array" ref="H16">_xlfn.STDEV.S(IF('Fractional-Calorimetry-Data'!$B$4:$B$2948=$B16,IF('Fractional-Calorimetry-Data'!$J$4:$J$2853=100,'Fractional-Calorimetry-Data'!V$4:V$2948)))</f>
        <v>7.2143369750647</v>
      </c>
      <c r="I16" s="3" cm="1">
        <f t="array" ref="I16">_xlfn.STDEV.S(IF('Fractional-Calorimetry-Data'!$B$4:$B$2948=$B16,IF('Fractional-Calorimetry-Data'!$J$4:$J$2853=100,'Fractional-Calorimetry-Data'!W$4:W$2948)))</f>
        <v>17.5087833719662</v>
      </c>
      <c r="J16" s="3" cm="1">
        <f t="array" ref="J16">_xlfn.STDEV.S(IF('Fractional-Calorimetry-Data'!$B$4:$B$2948=$B16,IF('Fractional-Calorimetry-Data'!$J$4:$J$2853=100,'Fractional-Calorimetry-Data'!X$4:X$2948)))</f>
        <v>9.64849492542318</v>
      </c>
      <c r="K16" s="3" cm="1">
        <f t="array" ref="K16">_xlfn.STDEV.S(IF('Fractional-Calorimetry-Data'!$B$4:$B$2948=$B16,IF('Fractional-Calorimetry-Data'!$J$4:$J$2853=100,'Fractional-Calorimetry-Data'!Y$4:Y$2948)))</f>
        <v>11.2760481609176</v>
      </c>
      <c r="L16" s="3" cm="1">
        <f t="array" ref="L16">_xlfn.STDEV.S(IF('Fractional-Calorimetry-Data'!$B$4:$B$2948=$B16,IF('Fractional-Calorimetry-Data'!$J$4:$J$2853=100,'Fractional-Calorimetry-Data'!Z$4:Z$2948)))</f>
        <v>24.5057204551312</v>
      </c>
      <c r="M16" s="3" cm="1">
        <f t="array" ref="M16">_xlfn.STDEV.S(IF('Fractional-Calorimetry-Data'!$B$4:$B$2948=$B16,IF('Fractional-Calorimetry-Data'!$J$4:$J$2853=100,'Fractional-Calorimetry-Data'!AA$4:AA$2948)))</f>
        <v>14.806449957734</v>
      </c>
      <c r="N16" s="3" cm="1">
        <f t="array" ref="N16">_xlfn.STDEV.S(IF('Fractional-Calorimetry-Data'!$B$4:$B$2948=$B16,IF('Fractional-Calorimetry-Data'!$J$4:$J$2853=100,'Fractional-Calorimetry-Data'!AB$4:AB$2948)))</f>
        <v>1.81183612131451</v>
      </c>
      <c r="O16" s="3" cm="1">
        <f t="array" ref="O16">_xlfn.STDEV.S(IF('Fractional-Calorimetry-Data'!$B$4:$B$2948=$B16,IF('Fractional-Calorimetry-Data'!$J$4:$J$2853=100,'Fractional-Calorimetry-Data'!AC$4:AC$2948)))</f>
        <v>0.196720640263876</v>
      </c>
      <c r="P16" s="3" cm="1">
        <f t="array" ref="P16">_xlfn.STDEV.S(IF('Fractional-Calorimetry-Data'!$B$4:$B$2948=$B16,IF('Fractional-Calorimetry-Data'!$J$4:$J$2853=100,'Fractional-Calorimetry-Data'!AD$4:AD$2948)))</f>
        <v>0</v>
      </c>
      <c r="Q16" s="3" cm="1">
        <f t="array" ref="Q16">_xlfn.STDEV.S(IF('Fractional-Calorimetry-Data'!$B$4:$B$2948=$B16,IF('Fractional-Calorimetry-Data'!$J$4:$J$2853=100,'Fractional-Calorimetry-Data'!AE$4:AE$2948)))</f>
        <v>0</v>
      </c>
      <c r="R16" s="3" cm="1">
        <f t="array" ref="R16">_xlfn.STDEV.S(IF('Fractional-Calorimetry-Data'!$B$4:$B$2948=$B16,IF('Fractional-Calorimetry-Data'!$J$4:$J$2853=100,'Fractional-Calorimetry-Data'!AF$4:AF$2948)))</f>
        <v>0</v>
      </c>
      <c r="S16" s="3" cm="1">
        <f t="array" ref="S16">_xlfn.STDEV.S(IF('Fractional-Calorimetry-Data'!$B$4:$B$2948=$B16,IF('Fractional-Calorimetry-Data'!$J$4:$J$2853=100,'Fractional-Calorimetry-Data'!AG$4:AG$2948)))</f>
        <v>28.6277796361075</v>
      </c>
      <c r="T16" s="3" cm="1">
        <f t="array" ref="T16">_xlfn.STDEV.S(IF('Fractional-Calorimetry-Data'!$B$4:$B$2948=$B16,IF('Fractional-Calorimetry-Data'!$J$4:$J$2853=100,'Fractional-Calorimetry-Data'!AH$4:AH$2948)))</f>
        <v>5.80100957818742</v>
      </c>
      <c r="U16" s="3" cm="1">
        <f t="array" ref="U16">_xlfn.STDEV.S(IF('Fractional-Calorimetry-Data'!$B$4:$B$2948=$B16,IF('Fractional-Calorimetry-Data'!$J$4:$J$2853=100,'Fractional-Calorimetry-Data'!AI$4:AI$2948)))</f>
        <v>4.70461706348396</v>
      </c>
      <c r="V16" s="3" cm="1">
        <f t="array" ref="V16">_xlfn.STDEV.S(IF('Fractional-Calorimetry-Data'!$B$4:$B$2948=$B16,IF('Fractional-Calorimetry-Data'!$J$4:$J$2853=100,'Fractional-Calorimetry-Data'!AJ$4:AJ$2948)))</f>
        <v>9.65430771070038</v>
      </c>
      <c r="W16" s="3" cm="1">
        <f t="array" ref="W16">_xlfn.STDEV.S(IF('Fractional-Calorimetry-Data'!$B$4:$B$2948=$B16,IF('Fractional-Calorimetry-Data'!$J$4:$J$2853=100,'Fractional-Calorimetry-Data'!AK$4:AK$2948)))</f>
        <v>14.1461440205631</v>
      </c>
      <c r="X16" s="3" cm="1">
        <f t="array" ref="X16">_xlfn.STDEV.S(IF('Fractional-Calorimetry-Data'!$B$4:$B$2948=$B16,IF('Fractional-Calorimetry-Data'!$J$4:$J$2853=100,'Fractional-Calorimetry-Data'!AL$4:AL$2948)))</f>
        <v>4.75450242752418</v>
      </c>
      <c r="Y16" s="3" cm="1">
        <f t="array" ref="Y16">_xlfn.STDEV.S(IF('Fractional-Calorimetry-Data'!$B$4:$B$2948=$B16,IF('Fractional-Calorimetry-Data'!$J$4:$J$2853=100,'Fractional-Calorimetry-Data'!AM$4:AM$2948)))</f>
        <v>3.18602870183068</v>
      </c>
      <c r="Z16" s="3" cm="1">
        <f t="array" ref="Z16">_xlfn.STDEV.S(IF('Fractional-Calorimetry-Data'!$B$4:$B$2948=$B16,IF('Fractional-Calorimetry-Data'!$J$4:$J$2853=100,'Fractional-Calorimetry-Data'!AN$4:AN$2948)))</f>
        <v>4.22407070647891</v>
      </c>
      <c r="AA16" s="3" cm="1">
        <f t="array" ref="AA16">_xlfn.STDEV.S(IF('Fractional-Calorimetry-Data'!$B$4:$B$2948=$B16,IF('Fractional-Calorimetry-Data'!$J$4:$J$2853=100,'Fractional-Calorimetry-Data'!AO$4:AO$2948)))</f>
        <v>0.997252336283158</v>
      </c>
      <c r="AB16" s="3" cm="1">
        <f t="array" ref="AB16">_xlfn.STDEV.S(IF('Fractional-Calorimetry-Data'!$B$4:$B$2948=$B16,IF('Fractional-Calorimetry-Data'!$J$4:$J$2853=100,'Fractional-Calorimetry-Data'!AP$4:AP$2948)))</f>
        <v>2.3494739363904</v>
      </c>
      <c r="AC16" s="3" cm="1">
        <f t="array" ref="AC16">_xlfn.STDEV.S(IF('Fractional-Calorimetry-Data'!$B$4:$B$2948=$B16,IF('Fractional-Calorimetry-Data'!$J$4:$J$2853=100,'Fractional-Calorimetry-Data'!AQ$4:AQ$2948)))</f>
        <v>2.18555357848863</v>
      </c>
      <c r="AD16" s="3" cm="1">
        <f t="array" ref="AD16">_xlfn.STDEV.S(IF('Fractional-Calorimetry-Data'!$B$4:$B$2948=$B16,IF('Fractional-Calorimetry-Data'!$J$4:$J$2853=100,'Fractional-Calorimetry-Data'!AR$4:AR$2948)))</f>
        <v>0.438867228720082</v>
      </c>
      <c r="AE16" s="3" cm="1">
        <f t="array" ref="AE16">_xlfn.STDEV.S(IF('Fractional-Calorimetry-Data'!$B$4:$B$2948=$B16,IF('Fractional-Calorimetry-Data'!$J$4:$J$2853=100,'Fractional-Calorimetry-Data'!AS$4:AS$2948)))</f>
        <v>3.35474400579901</v>
      </c>
      <c r="AF16" s="3" cm="1">
        <f t="array" ref="AF16">_xlfn.STDEV.S(IF('Fractional-Calorimetry-Data'!$B$4:$B$2948=$B16,IF('Fractional-Calorimetry-Data'!$J$4:$J$2853=100,'Fractional-Calorimetry-Data'!AT$4:AT$2948)))</f>
        <v>4.790685338353</v>
      </c>
      <c r="AG16" s="3" cm="1">
        <f t="array" ref="AG16">_xlfn.STDEV.S(IF('Fractional-Calorimetry-Data'!$B$4:$B$2948=$B16,IF('Fractional-Calorimetry-Data'!$J$4:$J$2853=100,'Fractional-Calorimetry-Data'!AU$4:AU$2948)))</f>
        <v>10.5523215631406</v>
      </c>
    </row>
    <row r="17" spans="2:33">
      <c r="B17" s="14" t="s">
        <v>147</v>
      </c>
      <c r="C17" s="3" cm="1">
        <f t="array" ref="C17">_xlfn.STDEV.S(IF('Fractional-Calorimetry-Data'!$B$4:$B$2948=B17,IF('Fractional-Calorimetry-Data'!$J$4:$J2869=100,'Fractional-Calorimetry-Data'!$BE$4:$BE$2948)))</f>
        <v>0.0388214465390983</v>
      </c>
      <c r="D17" s="3" cm="1">
        <f t="array" ref="D17">_xlfn.STDEV.S(IF('Fractional-Calorimetry-Data'!$B$4:$B$2948=$B17,IF('Fractional-Calorimetry-Data'!$J$4:$J$2853=100,'Fractional-Calorimetry-Data'!R$4:R$2948)))</f>
        <v>1.13409782647814</v>
      </c>
      <c r="E17" s="3" cm="1">
        <f t="array" ref="E17">_xlfn.STDEV.S(IF('Fractional-Calorimetry-Data'!$B$4:$B$2948=$B17,IF('Fractional-Calorimetry-Data'!$J$4:$J$2853=100,'Fractional-Calorimetry-Data'!S$4:S$2948)))</f>
        <v>0.00283039062871384</v>
      </c>
      <c r="F17" s="3" cm="1">
        <f t="array" ref="F17">_xlfn.STDEV.S(IF('Fractional-Calorimetry-Data'!$B$4:$B$2948=$B17,IF('Fractional-Calorimetry-Data'!$J$4:$J$2853=100,'Fractional-Calorimetry-Data'!T$4:T$2948)))</f>
        <v>1.29716950497645</v>
      </c>
      <c r="G17" s="3" cm="1">
        <f t="array" ref="G17">_xlfn.STDEV.S(IF('Fractional-Calorimetry-Data'!$B$4:$B$2948=$B17,IF('Fractional-Calorimetry-Data'!$J$4:$J$2853=100,'Fractional-Calorimetry-Data'!U$4:U$2948)))</f>
        <v>1.4087526520108</v>
      </c>
      <c r="H17" s="3" cm="1">
        <f t="array" ref="H17">_xlfn.STDEV.S(IF('Fractional-Calorimetry-Data'!$B$4:$B$2948=$B17,IF('Fractional-Calorimetry-Data'!$J$4:$J$2853=100,'Fractional-Calorimetry-Data'!V$4:V$2948)))</f>
        <v>1.8005374683251</v>
      </c>
      <c r="I17" s="3" cm="1">
        <f t="array" ref="I17">_xlfn.STDEV.S(IF('Fractional-Calorimetry-Data'!$B$4:$B$2948=$B17,IF('Fractional-Calorimetry-Data'!$J$4:$J$2853=100,'Fractional-Calorimetry-Data'!W$4:W$2948)))</f>
        <v>2.64396225892325</v>
      </c>
      <c r="J17" s="3" cm="1">
        <f t="array" ref="J17">_xlfn.STDEV.S(IF('Fractional-Calorimetry-Data'!$B$4:$B$2948=$B17,IF('Fractional-Calorimetry-Data'!$J$4:$J$2853=100,'Fractional-Calorimetry-Data'!X$4:X$2948)))</f>
        <v>0.0495154708992889</v>
      </c>
      <c r="K17" s="3" cm="1">
        <f t="array" ref="K17">_xlfn.STDEV.S(IF('Fractional-Calorimetry-Data'!$B$4:$B$2948=$B17,IF('Fractional-Calorimetry-Data'!$J$4:$J$2853=100,'Fractional-Calorimetry-Data'!Y$4:Y$2948)))</f>
        <v>2.92154689465324</v>
      </c>
      <c r="L17" s="3" cm="1">
        <f t="array" ref="L17">_xlfn.STDEV.S(IF('Fractional-Calorimetry-Data'!$B$4:$B$2948=$B17,IF('Fractional-Calorimetry-Data'!$J$4:$J$2853=100,'Fractional-Calorimetry-Data'!Z$4:Z$2948)))</f>
        <v>2.95023554293857</v>
      </c>
      <c r="M17" s="3" cm="1">
        <f t="array" ref="M17">_xlfn.STDEV.S(IF('Fractional-Calorimetry-Data'!$B$4:$B$2948=$B17,IF('Fractional-Calorimetry-Data'!$J$4:$J$2853=100,'Fractional-Calorimetry-Data'!AA$4:AA$2948)))</f>
        <v>0.0726356097607424</v>
      </c>
      <c r="N17" s="3" cm="1">
        <f t="array" ref="N17">_xlfn.STDEV.S(IF('Fractional-Calorimetry-Data'!$B$4:$B$2948=$B17,IF('Fractional-Calorimetry-Data'!$J$4:$J$2853=100,'Fractional-Calorimetry-Data'!AB$4:AB$2948)))</f>
        <v>0.34767663672351</v>
      </c>
      <c r="O17" s="3" cm="1">
        <f t="array" ref="O17">_xlfn.STDEV.S(IF('Fractional-Calorimetry-Data'!$B$4:$B$2948=$B17,IF('Fractional-Calorimetry-Data'!$J$4:$J$2853=100,'Fractional-Calorimetry-Data'!AC$4:AC$2948)))</f>
        <v>0</v>
      </c>
      <c r="P17" s="3" cm="1">
        <f t="array" ref="P17">_xlfn.STDEV.S(IF('Fractional-Calorimetry-Data'!$B$4:$B$2948=$B17,IF('Fractional-Calorimetry-Data'!$J$4:$J$2853=100,'Fractional-Calorimetry-Data'!AD$4:AD$2948)))</f>
        <v>0</v>
      </c>
      <c r="Q17" s="3" cm="1">
        <f t="array" ref="Q17">_xlfn.STDEV.S(IF('Fractional-Calorimetry-Data'!$B$4:$B$2948=$B17,IF('Fractional-Calorimetry-Data'!$J$4:$J$2853=100,'Fractional-Calorimetry-Data'!AE$4:AE$2948)))</f>
        <v>0</v>
      </c>
      <c r="R17" s="3" cm="1">
        <f t="array" ref="R17">_xlfn.STDEV.S(IF('Fractional-Calorimetry-Data'!$B$4:$B$2948=$B17,IF('Fractional-Calorimetry-Data'!$J$4:$J$2853=100,'Fractional-Calorimetry-Data'!AF$4:AF$2948)))</f>
        <v>0</v>
      </c>
      <c r="S17" s="3" cm="1">
        <f t="array" ref="S17">_xlfn.STDEV.S(IF('Fractional-Calorimetry-Data'!$B$4:$B$2948=$B17,IF('Fractional-Calorimetry-Data'!$J$4:$J$2853=100,'Fractional-Calorimetry-Data'!AG$4:AG$2948)))</f>
        <v>0</v>
      </c>
      <c r="T17" s="3" cm="1">
        <f t="array" ref="T17">_xlfn.STDEV.S(IF('Fractional-Calorimetry-Data'!$B$4:$B$2948=$B17,IF('Fractional-Calorimetry-Data'!$J$4:$J$2853=100,'Fractional-Calorimetry-Data'!AH$4:AH$2948)))</f>
        <v>0</v>
      </c>
      <c r="U17" s="3" cm="1">
        <f t="array" ref="U17">_xlfn.STDEV.S(IF('Fractional-Calorimetry-Data'!$B$4:$B$2948=$B17,IF('Fractional-Calorimetry-Data'!$J$4:$J$2853=100,'Fractional-Calorimetry-Data'!AI$4:AI$2948)))</f>
        <v>0</v>
      </c>
      <c r="V17" s="3" cm="1">
        <f t="array" ref="V17">_xlfn.STDEV.S(IF('Fractional-Calorimetry-Data'!$B$4:$B$2948=$B17,IF('Fractional-Calorimetry-Data'!$J$4:$J$2853=100,'Fractional-Calorimetry-Data'!AJ$4:AJ$2948)))</f>
        <v>6.29987048706382</v>
      </c>
      <c r="W17" s="3" cm="1">
        <f t="array" ref="W17">_xlfn.STDEV.S(IF('Fractional-Calorimetry-Data'!$B$4:$B$2948=$B17,IF('Fractional-Calorimetry-Data'!$J$4:$J$2853=100,'Fractional-Calorimetry-Data'!AK$4:AK$2948)))</f>
        <v>1.78705016478926</v>
      </c>
      <c r="X17" s="3" cm="1">
        <f t="array" ref="X17">_xlfn.STDEV.S(IF('Fractional-Calorimetry-Data'!$B$4:$B$2948=$B17,IF('Fractional-Calorimetry-Data'!$J$4:$J$2853=100,'Fractional-Calorimetry-Data'!AL$4:AL$2948)))</f>
        <v>1.94257560985409</v>
      </c>
      <c r="Y17" s="3" cm="1">
        <f t="array" ref="Y17">_xlfn.STDEV.S(IF('Fractional-Calorimetry-Data'!$B$4:$B$2948=$B17,IF('Fractional-Calorimetry-Data'!$J$4:$J$2853=100,'Fractional-Calorimetry-Data'!AM$4:AM$2948)))</f>
        <v>0.314225679691807</v>
      </c>
      <c r="Z17" s="3" cm="1">
        <f t="array" ref="Z17">_xlfn.STDEV.S(IF('Fractional-Calorimetry-Data'!$B$4:$B$2948=$B17,IF('Fractional-Calorimetry-Data'!$J$4:$J$2853=100,'Fractional-Calorimetry-Data'!AN$4:AN$2948)))</f>
        <v>1.63944435031437</v>
      </c>
      <c r="AA17" s="3" cm="1">
        <f t="array" ref="AA17">_xlfn.STDEV.S(IF('Fractional-Calorimetry-Data'!$B$4:$B$2948=$B17,IF('Fractional-Calorimetry-Data'!$J$4:$J$2853=100,'Fractional-Calorimetry-Data'!AO$4:AO$2948)))</f>
        <v>0.120963722752825</v>
      </c>
      <c r="AB17" s="3" cm="1">
        <f t="array" ref="AB17">_xlfn.STDEV.S(IF('Fractional-Calorimetry-Data'!$B$4:$B$2948=$B17,IF('Fractional-Calorimetry-Data'!$J$4:$J$2853=100,'Fractional-Calorimetry-Data'!AP$4:AP$2948)))</f>
        <v>0</v>
      </c>
      <c r="AC17" s="3" cm="1">
        <f t="array" ref="AC17">_xlfn.STDEV.S(IF('Fractional-Calorimetry-Data'!$B$4:$B$2948=$B17,IF('Fractional-Calorimetry-Data'!$J$4:$J$2853=100,'Fractional-Calorimetry-Data'!AQ$4:AQ$2948)))</f>
        <v>0</v>
      </c>
      <c r="AD17" s="3" cm="1">
        <f t="array" ref="AD17">_xlfn.STDEV.S(IF('Fractional-Calorimetry-Data'!$B$4:$B$2948=$B17,IF('Fractional-Calorimetry-Data'!$J$4:$J$2853=100,'Fractional-Calorimetry-Data'!AR$4:AR$2948)))</f>
        <v>0</v>
      </c>
      <c r="AE17" s="3" cm="1">
        <f t="array" ref="AE17">_xlfn.STDEV.S(IF('Fractional-Calorimetry-Data'!$B$4:$B$2948=$B17,IF('Fractional-Calorimetry-Data'!$J$4:$J$2853=100,'Fractional-Calorimetry-Data'!AS$4:AS$2948)))</f>
        <v>0.558394524010081</v>
      </c>
      <c r="AF17" s="3" cm="1">
        <f t="array" ref="AF17">_xlfn.STDEV.S(IF('Fractional-Calorimetry-Data'!$B$4:$B$2948=$B17,IF('Fractional-Calorimetry-Data'!$J$4:$J$2853=100,'Fractional-Calorimetry-Data'!AT$4:AT$2948)))</f>
        <v>1.93762426124824</v>
      </c>
      <c r="AG17" s="3" cm="1">
        <f t="array" ref="AG17">_xlfn.STDEV.S(IF('Fractional-Calorimetry-Data'!$B$4:$B$2948=$B17,IF('Fractional-Calorimetry-Data'!$J$4:$J$2853=100,'Fractional-Calorimetry-Data'!AU$4:AU$2948)))</f>
        <v>4.35504170070136</v>
      </c>
    </row>
    <row r="18" spans="2:33">
      <c r="B18" s="13" t="s">
        <v>152</v>
      </c>
      <c r="C18" s="3" cm="1">
        <f t="array" ref="C18">_xlfn.STDEV.S(IF('Fractional-Calorimetry-Data'!$B$4:$B$2948=B18,IF('Fractional-Calorimetry-Data'!$J$4:$J2870=100,'Fractional-Calorimetry-Data'!$BE$4:$BE$2948)))</f>
        <v>0.164729139000464</v>
      </c>
      <c r="D18" s="3" cm="1">
        <f t="array" ref="D18">_xlfn.STDEV.S(IF('Fractional-Calorimetry-Data'!$B$4:$B$2948=$B18,IF('Fractional-Calorimetry-Data'!$J$4:$J$2853=100,'Fractional-Calorimetry-Data'!R$4:R$2948)))</f>
        <v>11.2816779613682</v>
      </c>
      <c r="E18" s="3" cm="1">
        <f t="array" ref="E18">_xlfn.STDEV.S(IF('Fractional-Calorimetry-Data'!$B$4:$B$2948=$B18,IF('Fractional-Calorimetry-Data'!$J$4:$J$2853=100,'Fractional-Calorimetry-Data'!S$4:S$2948)))</f>
        <v>0.0135237471838147</v>
      </c>
      <c r="F18" s="3" cm="1">
        <f t="array" ref="F18">_xlfn.STDEV.S(IF('Fractional-Calorimetry-Data'!$B$4:$B$2948=$B18,IF('Fractional-Calorimetry-Data'!$J$4:$J$2853=100,'Fractional-Calorimetry-Data'!T$4:T$2948)))</f>
        <v>9.47290154725705</v>
      </c>
      <c r="G18" s="3" cm="1">
        <f t="array" ref="G18">_xlfn.STDEV.S(IF('Fractional-Calorimetry-Data'!$B$4:$B$2948=$B18,IF('Fractional-Calorimetry-Data'!$J$4:$J$2853=100,'Fractional-Calorimetry-Data'!U$4:U$2948)))</f>
        <v>9.60700338650686</v>
      </c>
      <c r="H18" s="3" cm="1">
        <f t="array" ref="H18">_xlfn.STDEV.S(IF('Fractional-Calorimetry-Data'!$B$4:$B$2948=$B18,IF('Fractional-Calorimetry-Data'!$J$4:$J$2853=100,'Fractional-Calorimetry-Data'!V$4:V$2948)))</f>
        <v>8.140465383926</v>
      </c>
      <c r="I18" s="3" cm="1">
        <f t="array" ref="I18">_xlfn.STDEV.S(IF('Fractional-Calorimetry-Data'!$B$4:$B$2948=$B18,IF('Fractional-Calorimetry-Data'!$J$4:$J$2853=100,'Fractional-Calorimetry-Data'!W$4:W$2948)))</f>
        <v>10.9878734871022</v>
      </c>
      <c r="J18" s="3" cm="1">
        <f t="array" ref="J18">_xlfn.STDEV.S(IF('Fractional-Calorimetry-Data'!$B$4:$B$2948=$B18,IF('Fractional-Calorimetry-Data'!$J$4:$J$2853=100,'Fractional-Calorimetry-Data'!X$4:X$2948)))</f>
        <v>7.17141022095927</v>
      </c>
      <c r="K18" s="3" cm="1">
        <f t="array" ref="K18">_xlfn.STDEV.S(IF('Fractional-Calorimetry-Data'!$B$4:$B$2948=$B18,IF('Fractional-Calorimetry-Data'!$J$4:$J$2853=100,'Fractional-Calorimetry-Data'!Y$4:Y$2948)))</f>
        <v>7.63598417297133</v>
      </c>
      <c r="L18" s="3" cm="1">
        <f t="array" ref="L18">_xlfn.STDEV.S(IF('Fractional-Calorimetry-Data'!$B$4:$B$2948=$B18,IF('Fractional-Calorimetry-Data'!$J$4:$J$2853=100,'Fractional-Calorimetry-Data'!Z$4:Z$2948)))</f>
        <v>13.812575064028</v>
      </c>
      <c r="M18" s="3" cm="1">
        <f t="array" ref="M18">_xlfn.STDEV.S(IF('Fractional-Calorimetry-Data'!$B$4:$B$2948=$B18,IF('Fractional-Calorimetry-Data'!$J$4:$J$2853=100,'Fractional-Calorimetry-Data'!AA$4:AA$2948)))</f>
        <v>9.50731323278483</v>
      </c>
      <c r="N18" s="3" cm="1">
        <f t="array" ref="N18">_xlfn.STDEV.S(IF('Fractional-Calorimetry-Data'!$B$4:$B$2948=$B18,IF('Fractional-Calorimetry-Data'!$J$4:$J$2853=100,'Fractional-Calorimetry-Data'!AB$4:AB$2948)))</f>
        <v>1.06014218334038</v>
      </c>
      <c r="O18" s="3" cm="1">
        <f t="array" ref="O18">_xlfn.STDEV.S(IF('Fractional-Calorimetry-Data'!$B$4:$B$2948=$B18,IF('Fractional-Calorimetry-Data'!$J$4:$J$2853=100,'Fractional-Calorimetry-Data'!AC$4:AC$2948)))</f>
        <v>0</v>
      </c>
      <c r="P18" s="3" cm="1">
        <f t="array" ref="P18">_xlfn.STDEV.S(IF('Fractional-Calorimetry-Data'!$B$4:$B$2948=$B18,IF('Fractional-Calorimetry-Data'!$J$4:$J$2853=100,'Fractional-Calorimetry-Data'!AD$4:AD$2948)))</f>
        <v>2.00468652783927</v>
      </c>
      <c r="Q18" s="3" cm="1">
        <f t="array" ref="Q18">_xlfn.STDEV.S(IF('Fractional-Calorimetry-Data'!$B$4:$B$2948=$B18,IF('Fractional-Calorimetry-Data'!$J$4:$J$2853=100,'Fractional-Calorimetry-Data'!AE$4:AE$2948)))</f>
        <v>2.00468652783927</v>
      </c>
      <c r="R18" s="3" cm="1">
        <f t="array" ref="R18">_xlfn.STDEV.S(IF('Fractional-Calorimetry-Data'!$B$4:$B$2948=$B18,IF('Fractional-Calorimetry-Data'!$J$4:$J$2853=100,'Fractional-Calorimetry-Data'!AF$4:AF$2948)))</f>
        <v>0.960768922830523</v>
      </c>
      <c r="S18" s="3" cm="1">
        <f t="array" ref="S18">_xlfn.STDEV.S(IF('Fractional-Calorimetry-Data'!$B$4:$B$2948=$B18,IF('Fractional-Calorimetry-Data'!$J$4:$J$2853=100,'Fractional-Calorimetry-Data'!AG$4:AG$2948)))</f>
        <v>47.7919357968098</v>
      </c>
      <c r="T18" s="3" cm="1">
        <f t="array" ref="T18">_xlfn.STDEV.S(IF('Fractional-Calorimetry-Data'!$B$4:$B$2948=$B18,IF('Fractional-Calorimetry-Data'!$J$4:$J$2853=100,'Fractional-Calorimetry-Data'!AH$4:AH$2948)))</f>
        <v>35.7831194317835</v>
      </c>
      <c r="U18" s="3" cm="1">
        <f t="array" ref="U18">_xlfn.STDEV.S(IF('Fractional-Calorimetry-Data'!$B$4:$B$2948=$B18,IF('Fractional-Calorimetry-Data'!$J$4:$J$2853=100,'Fractional-Calorimetry-Data'!AI$4:AI$2948)))</f>
        <v>36.5746616320279</v>
      </c>
      <c r="V18" s="3" cm="1">
        <f t="array" ref="V18">_xlfn.STDEV.S(IF('Fractional-Calorimetry-Data'!$B$4:$B$2948=$B18,IF('Fractional-Calorimetry-Data'!$J$4:$J$2853=100,'Fractional-Calorimetry-Data'!AJ$4:AJ$2948)))</f>
        <v>0</v>
      </c>
      <c r="W18" s="3" cm="1">
        <f t="array" ref="W18">_xlfn.STDEV.S(IF('Fractional-Calorimetry-Data'!$B$4:$B$2948=$B18,IF('Fractional-Calorimetry-Data'!$J$4:$J$2853=100,'Fractional-Calorimetry-Data'!AK$4:AK$2948)))</f>
        <v>55.4047500885245</v>
      </c>
      <c r="X18" s="3" cm="1">
        <f t="array" ref="X18">_xlfn.STDEV.S(IF('Fractional-Calorimetry-Data'!$B$4:$B$2948=$B18,IF('Fractional-Calorimetry-Data'!$J$4:$J$2853=100,'Fractional-Calorimetry-Data'!AL$4:AL$2948)))</f>
        <v>5.00463849707551</v>
      </c>
      <c r="Y18" s="3" cm="1">
        <f t="array" ref="Y18">_xlfn.STDEV.S(IF('Fractional-Calorimetry-Data'!$B$4:$B$2948=$B18,IF('Fractional-Calorimetry-Data'!$J$4:$J$2853=100,'Fractional-Calorimetry-Data'!AM$4:AM$2948)))</f>
        <v>0.883271065778239</v>
      </c>
      <c r="Z18" s="3" cm="1">
        <f t="array" ref="Z18">_xlfn.STDEV.S(IF('Fractional-Calorimetry-Data'!$B$4:$B$2948=$B18,IF('Fractional-Calorimetry-Data'!$J$4:$J$2853=100,'Fractional-Calorimetry-Data'!AN$4:AN$2948)))</f>
        <v>2.1877029063404</v>
      </c>
      <c r="AA18" s="3" cm="1">
        <f t="array" ref="AA18">_xlfn.STDEV.S(IF('Fractional-Calorimetry-Data'!$B$4:$B$2948=$B18,IF('Fractional-Calorimetry-Data'!$J$4:$J$2853=100,'Fractional-Calorimetry-Data'!AO$4:AO$2948)))</f>
        <v>1.70113668118193</v>
      </c>
      <c r="AB18" s="3" cm="1">
        <f t="array" ref="AB18">_xlfn.STDEV.S(IF('Fractional-Calorimetry-Data'!$B$4:$B$2948=$B18,IF('Fractional-Calorimetry-Data'!$J$4:$J$2853=100,'Fractional-Calorimetry-Data'!AP$4:AP$2948)))</f>
        <v>0.837069852660827</v>
      </c>
      <c r="AC18" s="3" cm="1">
        <f t="array" ref="AC18">_xlfn.STDEV.S(IF('Fractional-Calorimetry-Data'!$B$4:$B$2948=$B18,IF('Fractional-Calorimetry-Data'!$J$4:$J$2853=100,'Fractional-Calorimetry-Data'!AQ$4:AQ$2948)))</f>
        <v>0.620753331620499</v>
      </c>
      <c r="AD18" s="3" cm="1">
        <f t="array" ref="AD18">_xlfn.STDEV.S(IF('Fractional-Calorimetry-Data'!$B$4:$B$2948=$B18,IF('Fractional-Calorimetry-Data'!$J$4:$J$2853=100,'Fractional-Calorimetry-Data'!AR$4:AR$2948)))</f>
        <v>0.768037188009306</v>
      </c>
      <c r="AE18" s="3" cm="1">
        <f t="array" ref="AE18">_xlfn.STDEV.S(IF('Fractional-Calorimetry-Data'!$B$4:$B$2948=$B18,IF('Fractional-Calorimetry-Data'!$J$4:$J$2853=100,'Fractional-Calorimetry-Data'!AS$4:AS$2948)))</f>
        <v>6.0840395624366</v>
      </c>
      <c r="AF18" s="3" cm="1">
        <f t="array" ref="AF18">_xlfn.STDEV.S(IF('Fractional-Calorimetry-Data'!$B$4:$B$2948=$B18,IF('Fractional-Calorimetry-Data'!$J$4:$J$2853=100,'Fractional-Calorimetry-Data'!AT$4:AT$2948)))</f>
        <v>4.98267801756194</v>
      </c>
      <c r="AG18" s="3" cm="1">
        <f t="array" ref="AG18">_xlfn.STDEV.S(IF('Fractional-Calorimetry-Data'!$B$4:$B$2948=$B18,IF('Fractional-Calorimetry-Data'!$J$4:$J$2853=100,'Fractional-Calorimetry-Data'!AU$4:AU$2948)))</f>
        <v>4.45389043706927</v>
      </c>
    </row>
    <row r="19" spans="2:33">
      <c r="B19" s="14" t="s">
        <v>156</v>
      </c>
      <c r="C19" s="3" cm="1">
        <f t="array" ref="C19">_xlfn.STDEV.S(IF('Fractional-Calorimetry-Data'!$B$4:$B$2948=B19,IF('Fractional-Calorimetry-Data'!$J$4:$J2871=100,'Fractional-Calorimetry-Data'!$BE$4:$BE$2948)))</f>
        <v>0.164794648345753</v>
      </c>
      <c r="D19" s="3" cm="1">
        <f t="array" ref="D19">_xlfn.STDEV.S(IF('Fractional-Calorimetry-Data'!$B$4:$B$2948=$B19,IF('Fractional-Calorimetry-Data'!$J$4:$J$2853=100,'Fractional-Calorimetry-Data'!R$4:R$2948)))</f>
        <v>5.36892224531737</v>
      </c>
      <c r="E19" s="3" cm="1">
        <f t="array" ref="E19">_xlfn.STDEV.S(IF('Fractional-Calorimetry-Data'!$B$4:$B$2948=$B19,IF('Fractional-Calorimetry-Data'!$J$4:$J$2853=100,'Fractional-Calorimetry-Data'!S$4:S$2948)))</f>
        <v>0.00170019606712481</v>
      </c>
      <c r="F19" s="3" cm="1">
        <f t="array" ref="F19">_xlfn.STDEV.S(IF('Fractional-Calorimetry-Data'!$B$4:$B$2948=$B19,IF('Fractional-Calorimetry-Data'!$J$4:$J$2853=100,'Fractional-Calorimetry-Data'!T$4:T$2948)))</f>
        <v>5.12124561377424</v>
      </c>
      <c r="G19" s="3" cm="1">
        <f t="array" ref="G19">_xlfn.STDEV.S(IF('Fractional-Calorimetry-Data'!$B$4:$B$2948=$B19,IF('Fractional-Calorimetry-Data'!$J$4:$J$2853=100,'Fractional-Calorimetry-Data'!U$4:U$2948)))</f>
        <v>5.59919480791412</v>
      </c>
      <c r="H19" s="3" cm="1">
        <f t="array" ref="H19">_xlfn.STDEV.S(IF('Fractional-Calorimetry-Data'!$B$4:$B$2948=$B19,IF('Fractional-Calorimetry-Data'!$J$4:$J$2853=100,'Fractional-Calorimetry-Data'!V$4:V$2948)))</f>
        <v>3.99362019277313</v>
      </c>
      <c r="I19" s="3" cm="1">
        <f t="array" ref="I19">_xlfn.STDEV.S(IF('Fractional-Calorimetry-Data'!$B$4:$B$2948=$B19,IF('Fractional-Calorimetry-Data'!$J$4:$J$2853=100,'Fractional-Calorimetry-Data'!W$4:W$2948)))</f>
        <v>7.69437508795687</v>
      </c>
      <c r="J19" s="3" cm="1">
        <f t="array" ref="J19">_xlfn.STDEV.S(IF('Fractional-Calorimetry-Data'!$B$4:$B$2948=$B19,IF('Fractional-Calorimetry-Data'!$J$4:$J$2853=100,'Fractional-Calorimetry-Data'!X$4:X$2948)))</f>
        <v>0.286681338846104</v>
      </c>
      <c r="K19" s="3" cm="1">
        <f t="array" ref="K19">_xlfn.STDEV.S(IF('Fractional-Calorimetry-Data'!$B$4:$B$2948=$B19,IF('Fractional-Calorimetry-Data'!$J$4:$J$2853=100,'Fractional-Calorimetry-Data'!Y$4:Y$2948)))</f>
        <v>11.4385559726894</v>
      </c>
      <c r="L19" s="3" cm="1">
        <f t="array" ref="L19">_xlfn.STDEV.S(IF('Fractional-Calorimetry-Data'!$B$4:$B$2948=$B19,IF('Fractional-Calorimetry-Data'!$J$4:$J$2853=100,'Fractional-Calorimetry-Data'!Z$4:Z$2948)))</f>
        <v>11.3253178332415</v>
      </c>
      <c r="M19" s="3" cm="1">
        <f t="array" ref="M19">_xlfn.STDEV.S(IF('Fractional-Calorimetry-Data'!$B$4:$B$2948=$B19,IF('Fractional-Calorimetry-Data'!$J$4:$J$2853=100,'Fractional-Calorimetry-Data'!AA$4:AA$2948)))</f>
        <v>0.732280635465967</v>
      </c>
      <c r="N19" s="3" cm="1">
        <f t="array" ref="N19">_xlfn.STDEV.S(IF('Fractional-Calorimetry-Data'!$B$4:$B$2948=$B19,IF('Fractional-Calorimetry-Data'!$J$4:$J$2853=100,'Fractional-Calorimetry-Data'!AB$4:AB$2948)))</f>
        <v>0.539491562791385</v>
      </c>
      <c r="O19" s="3" cm="1">
        <f t="array" ref="O19">_xlfn.STDEV.S(IF('Fractional-Calorimetry-Data'!$B$4:$B$2948=$B19,IF('Fractional-Calorimetry-Data'!$J$4:$J$2853=100,'Fractional-Calorimetry-Data'!AC$4:AC$2948)))</f>
        <v>0</v>
      </c>
      <c r="P19" s="3" cm="1">
        <f t="array" ref="P19">_xlfn.STDEV.S(IF('Fractional-Calorimetry-Data'!$B$4:$B$2948=$B19,IF('Fractional-Calorimetry-Data'!$J$4:$J$2853=100,'Fractional-Calorimetry-Data'!AD$4:AD$2948)))</f>
        <v>0</v>
      </c>
      <c r="Q19" s="3" cm="1">
        <f t="array" ref="Q19">_xlfn.STDEV.S(IF('Fractional-Calorimetry-Data'!$B$4:$B$2948=$B19,IF('Fractional-Calorimetry-Data'!$J$4:$J$2853=100,'Fractional-Calorimetry-Data'!AE$4:AE$2948)))</f>
        <v>0</v>
      </c>
      <c r="R19" s="3" cm="1">
        <f t="array" ref="R19">_xlfn.STDEV.S(IF('Fractional-Calorimetry-Data'!$B$4:$B$2948=$B19,IF('Fractional-Calorimetry-Data'!$J$4:$J$2853=100,'Fractional-Calorimetry-Data'!AF$4:AF$2948)))</f>
        <v>0</v>
      </c>
      <c r="S19" s="3" cm="1">
        <f t="array" ref="S19">_xlfn.STDEV.S(IF('Fractional-Calorimetry-Data'!$B$4:$B$2948=$B19,IF('Fractional-Calorimetry-Data'!$J$4:$J$2853=100,'Fractional-Calorimetry-Data'!AG$4:AG$2948)))</f>
        <v>7.21921685838566</v>
      </c>
      <c r="T19" s="3" cm="1">
        <f t="array" ref="T19">_xlfn.STDEV.S(IF('Fractional-Calorimetry-Data'!$B$4:$B$2948=$B19,IF('Fractional-Calorimetry-Data'!$J$4:$J$2853=100,'Fractional-Calorimetry-Data'!AH$4:AH$2948)))</f>
        <v>19.9281093556622</v>
      </c>
      <c r="U19" s="3" cm="1">
        <f t="array" ref="U19">_xlfn.STDEV.S(IF('Fractional-Calorimetry-Data'!$B$4:$B$2948=$B19,IF('Fractional-Calorimetry-Data'!$J$4:$J$2853=100,'Fractional-Calorimetry-Data'!AI$4:AI$2948)))</f>
        <v>4.72401371255214</v>
      </c>
      <c r="V19" s="3" cm="1">
        <f t="array" ref="V19">_xlfn.STDEV.S(IF('Fractional-Calorimetry-Data'!$B$4:$B$2948=$B19,IF('Fractional-Calorimetry-Data'!$J$4:$J$2853=100,'Fractional-Calorimetry-Data'!AJ$4:AJ$2948)))</f>
        <v>28.9634761080706</v>
      </c>
      <c r="W19" s="3" cm="1">
        <f t="array" ref="W19">_xlfn.STDEV.S(IF('Fractional-Calorimetry-Data'!$B$4:$B$2948=$B19,IF('Fractional-Calorimetry-Data'!$J$4:$J$2853=100,'Fractional-Calorimetry-Data'!AK$4:AK$2948)))</f>
        <v>12.9631068761505</v>
      </c>
      <c r="X19" s="3" cm="1">
        <f t="array" ref="X19">_xlfn.STDEV.S(IF('Fractional-Calorimetry-Data'!$B$4:$B$2948=$B19,IF('Fractional-Calorimetry-Data'!$J$4:$J$2853=100,'Fractional-Calorimetry-Data'!AL$4:AL$2948)))</f>
        <v>8.75143797707934</v>
      </c>
      <c r="Y19" s="3" cm="1">
        <f t="array" ref="Y19">_xlfn.STDEV.S(IF('Fractional-Calorimetry-Data'!$B$4:$B$2948=$B19,IF('Fractional-Calorimetry-Data'!$J$4:$J$2853=100,'Fractional-Calorimetry-Data'!AM$4:AM$2948)))</f>
        <v>6.97006296799231</v>
      </c>
      <c r="Z19" s="3" cm="1">
        <f t="array" ref="Z19">_xlfn.STDEV.S(IF('Fractional-Calorimetry-Data'!$B$4:$B$2948=$B19,IF('Fractional-Calorimetry-Data'!$J$4:$J$2853=100,'Fractional-Calorimetry-Data'!AN$4:AN$2948)))</f>
        <v>2.22151099729691</v>
      </c>
      <c r="AA19" s="3" cm="1">
        <f t="array" ref="AA19">_xlfn.STDEV.S(IF('Fractional-Calorimetry-Data'!$B$4:$B$2948=$B19,IF('Fractional-Calorimetry-Data'!$J$4:$J$2853=100,'Fractional-Calorimetry-Data'!AO$4:AO$2948)))</f>
        <v>0.433549945860402</v>
      </c>
      <c r="AB19" s="3" cm="1">
        <f t="array" ref="AB19">_xlfn.STDEV.S(IF('Fractional-Calorimetry-Data'!$B$4:$B$2948=$B19,IF('Fractional-Calorimetry-Data'!$J$4:$J$2853=100,'Fractional-Calorimetry-Data'!AP$4:AP$2948)))</f>
        <v>0</v>
      </c>
      <c r="AC19" s="3" cm="1">
        <f t="array" ref="AC19">_xlfn.STDEV.S(IF('Fractional-Calorimetry-Data'!$B$4:$B$2948=$B19,IF('Fractional-Calorimetry-Data'!$J$4:$J$2853=100,'Fractional-Calorimetry-Data'!AQ$4:AQ$2948)))</f>
        <v>0</v>
      </c>
      <c r="AD19" s="3" cm="1">
        <f t="array" ref="AD19">_xlfn.STDEV.S(IF('Fractional-Calorimetry-Data'!$B$4:$B$2948=$B19,IF('Fractional-Calorimetry-Data'!$J$4:$J$2853=100,'Fractional-Calorimetry-Data'!AR$4:AR$2948)))</f>
        <v>0</v>
      </c>
      <c r="AE19" s="3" cm="1">
        <f t="array" ref="AE19">_xlfn.STDEV.S(IF('Fractional-Calorimetry-Data'!$B$4:$B$2948=$B19,IF('Fractional-Calorimetry-Data'!$J$4:$J$2853=100,'Fractional-Calorimetry-Data'!AS$4:AS$2948)))</f>
        <v>1.51025023548343</v>
      </c>
      <c r="AF19" s="3" cm="1">
        <f t="array" ref="AF19">_xlfn.STDEV.S(IF('Fractional-Calorimetry-Data'!$B$4:$B$2948=$B19,IF('Fractional-Calorimetry-Data'!$J$4:$J$2853=100,'Fractional-Calorimetry-Data'!AT$4:AT$2948)))</f>
        <v>8.75258215083475</v>
      </c>
      <c r="AG19" s="3" cm="1">
        <f t="array" ref="AG19">_xlfn.STDEV.S(IF('Fractional-Calorimetry-Data'!$B$4:$B$2948=$B19,IF('Fractional-Calorimetry-Data'!$J$4:$J$2853=100,'Fractional-Calorimetry-Data'!AU$4:AU$2948)))</f>
        <v>19.8380543817852</v>
      </c>
    </row>
    <row r="20" spans="2:33">
      <c r="B20" s="14" t="s">
        <v>157</v>
      </c>
      <c r="C20" s="3" cm="1">
        <f t="array" ref="C20">_xlfn.STDEV.S(IF('Fractional-Calorimetry-Data'!$B$4:$B$2948=B20,IF('Fractional-Calorimetry-Data'!$J$4:$J2872=100,'Fractional-Calorimetry-Data'!$BE$4:$BE$2948)))</f>
        <v>0.155691248152164</v>
      </c>
      <c r="D20" s="3" cm="1">
        <f t="array" ref="D20">_xlfn.STDEV.S(IF('Fractional-Calorimetry-Data'!$B$4:$B$2948=$B20,IF('Fractional-Calorimetry-Data'!$J$4:$J$2853=100,'Fractional-Calorimetry-Data'!R$4:R$2948)))</f>
        <v>3.66090796062371</v>
      </c>
      <c r="E20" s="3" cm="1">
        <f t="array" ref="E20">_xlfn.STDEV.S(IF('Fractional-Calorimetry-Data'!$B$4:$B$2948=$B20,IF('Fractional-Calorimetry-Data'!$J$4:$J$2853=100,'Fractional-Calorimetry-Data'!S$4:S$2948)))</f>
        <v>0.00782872204698116</v>
      </c>
      <c r="F20" s="3" cm="1">
        <f t="array" ref="F20">_xlfn.STDEV.S(IF('Fractional-Calorimetry-Data'!$B$4:$B$2948=$B20,IF('Fractional-Calorimetry-Data'!$J$4:$J$2853=100,'Fractional-Calorimetry-Data'!T$4:T$2948)))</f>
        <v>3.27289969867416</v>
      </c>
      <c r="G20" s="3" cm="1">
        <f t="array" ref="G20">_xlfn.STDEV.S(IF('Fractional-Calorimetry-Data'!$B$4:$B$2948=$B20,IF('Fractional-Calorimetry-Data'!$J$4:$J$2853=100,'Fractional-Calorimetry-Data'!U$4:U$2948)))</f>
        <v>6.05327572815614</v>
      </c>
      <c r="H20" s="3" cm="1">
        <f t="array" ref="H20">_xlfn.STDEV.S(IF('Fractional-Calorimetry-Data'!$B$4:$B$2948=$B20,IF('Fractional-Calorimetry-Data'!$J$4:$J$2853=100,'Fractional-Calorimetry-Data'!V$4:V$2948)))</f>
        <v>1.71317088446646</v>
      </c>
      <c r="I20" s="3" cm="1">
        <f t="array" ref="I20">_xlfn.STDEV.S(IF('Fractional-Calorimetry-Data'!$B$4:$B$2948=$B20,IF('Fractional-Calorimetry-Data'!$J$4:$J$2853=100,'Fractional-Calorimetry-Data'!W$4:W$2948)))</f>
        <v>5.65944854395216</v>
      </c>
      <c r="J20" s="3" cm="1">
        <f t="array" ref="J20">_xlfn.STDEV.S(IF('Fractional-Calorimetry-Data'!$B$4:$B$2948=$B20,IF('Fractional-Calorimetry-Data'!$J$4:$J$2853=100,'Fractional-Calorimetry-Data'!X$4:X$2948)))</f>
        <v>1.379306703209</v>
      </c>
      <c r="K20" s="3" cm="1">
        <f t="array" ref="K20">_xlfn.STDEV.S(IF('Fractional-Calorimetry-Data'!$B$4:$B$2948=$B20,IF('Fractional-Calorimetry-Data'!$J$4:$J$2853=100,'Fractional-Calorimetry-Data'!Y$4:Y$2948)))</f>
        <v>2.12822594989019</v>
      </c>
      <c r="L20" s="3" cm="1">
        <f t="array" ref="L20">_xlfn.STDEV.S(IF('Fractional-Calorimetry-Data'!$B$4:$B$2948=$B20,IF('Fractional-Calorimetry-Data'!$J$4:$J$2853=100,'Fractional-Calorimetry-Data'!Z$4:Z$2948)))</f>
        <v>3.83604513736508</v>
      </c>
      <c r="M20" s="3" cm="1">
        <f t="array" ref="M20">_xlfn.STDEV.S(IF('Fractional-Calorimetry-Data'!$B$4:$B$2948=$B20,IF('Fractional-Calorimetry-Data'!$J$4:$J$2853=100,'Fractional-Calorimetry-Data'!AA$4:AA$2948)))</f>
        <v>2.0413569237894</v>
      </c>
      <c r="N20" s="3" cm="1">
        <f t="array" ref="N20">_xlfn.STDEV.S(IF('Fractional-Calorimetry-Data'!$B$4:$B$2948=$B20,IF('Fractional-Calorimetry-Data'!$J$4:$J$2853=100,'Fractional-Calorimetry-Data'!AB$4:AB$2948)))</f>
        <v>3.48970566798822</v>
      </c>
      <c r="O20" s="3" cm="1">
        <f t="array" ref="O20">_xlfn.STDEV.S(IF('Fractional-Calorimetry-Data'!$B$4:$B$2948=$B20,IF('Fractional-Calorimetry-Data'!$J$4:$J$2853=100,'Fractional-Calorimetry-Data'!AC$4:AC$2948)))</f>
        <v>0.0990691587339357</v>
      </c>
      <c r="P20" s="3" cm="1">
        <f t="array" ref="P20">_xlfn.STDEV.S(IF('Fractional-Calorimetry-Data'!$B$4:$B$2948=$B20,IF('Fractional-Calorimetry-Data'!$J$4:$J$2853=100,'Fractional-Calorimetry-Data'!AD$4:AD$2948)))</f>
        <v>2.13365243848285</v>
      </c>
      <c r="Q20" s="3" cm="1">
        <f t="array" ref="Q20">_xlfn.STDEV.S(IF('Fractional-Calorimetry-Data'!$B$4:$B$2948=$B20,IF('Fractional-Calorimetry-Data'!$J$4:$J$2853=100,'Fractional-Calorimetry-Data'!AE$4:AE$2948)))</f>
        <v>0.355282503055295</v>
      </c>
      <c r="R20" s="3" cm="1">
        <f t="array" ref="R20">_xlfn.STDEV.S(IF('Fractional-Calorimetry-Data'!$B$4:$B$2948=$B20,IF('Fractional-Calorimetry-Data'!$J$4:$J$2853=100,'Fractional-Calorimetry-Data'!AF$4:AF$2948)))</f>
        <v>1.01139740616392</v>
      </c>
      <c r="S20" s="3" cm="1">
        <f t="array" ref="S20">_xlfn.STDEV.S(IF('Fractional-Calorimetry-Data'!$B$4:$B$2948=$B20,IF('Fractional-Calorimetry-Data'!$J$4:$J$2853=100,'Fractional-Calorimetry-Data'!AG$4:AG$2948)))</f>
        <v>25.3334080282377</v>
      </c>
      <c r="T20" s="3" cm="1">
        <f t="array" ref="T20">_xlfn.STDEV.S(IF('Fractional-Calorimetry-Data'!$B$4:$B$2948=$B20,IF('Fractional-Calorimetry-Data'!$J$4:$J$2853=100,'Fractional-Calorimetry-Data'!AH$4:AH$2948)))</f>
        <v>3.68220552209187</v>
      </c>
      <c r="U20" s="3" cm="1">
        <f t="array" ref="U20">_xlfn.STDEV.S(IF('Fractional-Calorimetry-Data'!$B$4:$B$2948=$B20,IF('Fractional-Calorimetry-Data'!$J$4:$J$2853=100,'Fractional-Calorimetry-Data'!AI$4:AI$2948)))</f>
        <v>5.02044135063094</v>
      </c>
      <c r="V20" s="3" cm="1">
        <f t="array" ref="V20">_xlfn.STDEV.S(IF('Fractional-Calorimetry-Data'!$B$4:$B$2948=$B20,IF('Fractional-Calorimetry-Data'!$J$4:$J$2853=100,'Fractional-Calorimetry-Data'!AJ$4:AJ$2948)))</f>
        <v>60.765991424173</v>
      </c>
      <c r="W20" s="3" cm="1">
        <f t="array" ref="W20">_xlfn.STDEV.S(IF('Fractional-Calorimetry-Data'!$B$4:$B$2948=$B20,IF('Fractional-Calorimetry-Data'!$J$4:$J$2853=100,'Fractional-Calorimetry-Data'!AK$4:AK$2948)))</f>
        <v>36.7200743205836</v>
      </c>
      <c r="X20" s="3" cm="1">
        <f t="array" ref="X20">_xlfn.STDEV.S(IF('Fractional-Calorimetry-Data'!$B$4:$B$2948=$B20,IF('Fractional-Calorimetry-Data'!$J$4:$J$2853=100,'Fractional-Calorimetry-Data'!AL$4:AL$2948)))</f>
        <v>2.5360199017796</v>
      </c>
      <c r="Y20" s="3" cm="1">
        <f t="array" ref="Y20">_xlfn.STDEV.S(IF('Fractional-Calorimetry-Data'!$B$4:$B$2948=$B20,IF('Fractional-Calorimetry-Data'!$J$4:$J$2853=100,'Fractional-Calorimetry-Data'!AM$4:AM$2948)))</f>
        <v>2.58247022624549</v>
      </c>
      <c r="Z20" s="3" cm="1">
        <f t="array" ref="Z20">_xlfn.STDEV.S(IF('Fractional-Calorimetry-Data'!$B$4:$B$2948=$B20,IF('Fractional-Calorimetry-Data'!$J$4:$J$2853=100,'Fractional-Calorimetry-Data'!AN$4:AN$2948)))</f>
        <v>3.66811946808049</v>
      </c>
      <c r="AA20" s="3" cm="1">
        <f t="array" ref="AA20">_xlfn.STDEV.S(IF('Fractional-Calorimetry-Data'!$B$4:$B$2948=$B20,IF('Fractional-Calorimetry-Data'!$J$4:$J$2853=100,'Fractional-Calorimetry-Data'!AO$4:AO$2948)))</f>
        <v>0.935429952303574</v>
      </c>
      <c r="AB20" s="3" cm="1">
        <f t="array" ref="AB20">_xlfn.STDEV.S(IF('Fractional-Calorimetry-Data'!$B$4:$B$2948=$B20,IF('Fractional-Calorimetry-Data'!$J$4:$J$2853=100,'Fractional-Calorimetry-Data'!AP$4:AP$2948)))</f>
        <v>0.0843274042711568</v>
      </c>
      <c r="AC20" s="3" cm="1">
        <f t="array" ref="AC20">_xlfn.STDEV.S(IF('Fractional-Calorimetry-Data'!$B$4:$B$2948=$B20,IF('Fractional-Calorimetry-Data'!$J$4:$J$2853=100,'Fractional-Calorimetry-Data'!AQ$4:AQ$2948)))</f>
        <v>0.284604989415154</v>
      </c>
      <c r="AD20" s="3" cm="1">
        <f t="array" ref="AD20">_xlfn.STDEV.S(IF('Fractional-Calorimetry-Data'!$B$4:$B$2948=$B20,IF('Fractional-Calorimetry-Data'!$J$4:$J$2853=100,'Fractional-Calorimetry-Data'!AR$4:AR$2948)))</f>
        <v>0.158113883008419</v>
      </c>
      <c r="AE20" s="3" cm="1">
        <f t="array" ref="AE20">_xlfn.STDEV.S(IF('Fractional-Calorimetry-Data'!$B$4:$B$2948=$B20,IF('Fractional-Calorimetry-Data'!$J$4:$J$2853=100,'Fractional-Calorimetry-Data'!AS$4:AS$2948)))</f>
        <v>3.8225669240708</v>
      </c>
      <c r="AF20" s="3" cm="1">
        <f t="array" ref="AF20">_xlfn.STDEV.S(IF('Fractional-Calorimetry-Data'!$B$4:$B$2948=$B20,IF('Fractional-Calorimetry-Data'!$J$4:$J$2853=100,'Fractional-Calorimetry-Data'!AT$4:AT$2948)))</f>
        <v>2.47836489565197</v>
      </c>
      <c r="AG20" s="3" cm="1">
        <f t="array" ref="AG20">_xlfn.STDEV.S(IF('Fractional-Calorimetry-Data'!$B$4:$B$2948=$B20,IF('Fractional-Calorimetry-Data'!$J$4:$J$2853=100,'Fractional-Calorimetry-Data'!AU$4:AU$2948)))</f>
        <v>5.44080822887713</v>
      </c>
    </row>
    <row r="21" spans="2:33">
      <c r="B21" s="14" t="s">
        <v>158</v>
      </c>
      <c r="C21" s="3" cm="1">
        <f t="array" ref="C21">_xlfn.STDEV.S(IF('Fractional-Calorimetry-Data'!$B$4:$B$2948=B21,IF('Fractional-Calorimetry-Data'!$J$4:$J2873=100,'Fractional-Calorimetry-Data'!$BE$4:$BE$2948)))</f>
        <v>0.134156114731639</v>
      </c>
      <c r="D21" s="3" cm="1">
        <f t="array" ref="D21">_xlfn.STDEV.S(IF('Fractional-Calorimetry-Data'!$B$4:$B$2948=$B21,IF('Fractional-Calorimetry-Data'!$J$4:$J$2853=100,'Fractional-Calorimetry-Data'!R$4:R$2948)))</f>
        <v>3.09721334878663</v>
      </c>
      <c r="E21" s="3" cm="1">
        <f t="array" ref="E21">_xlfn.STDEV.S(IF('Fractional-Calorimetry-Data'!$B$4:$B$2948=$B21,IF('Fractional-Calorimetry-Data'!$J$4:$J$2853=100,'Fractional-Calorimetry-Data'!S$4:S$2948)))</f>
        <v>0.00344106220387093</v>
      </c>
      <c r="F21" s="3" cm="1">
        <f t="array" ref="F21">_xlfn.STDEV.S(IF('Fractional-Calorimetry-Data'!$B$4:$B$2948=$B21,IF('Fractional-Calorimetry-Data'!$J$4:$J$2853=100,'Fractional-Calorimetry-Data'!T$4:T$2948)))</f>
        <v>3.62776276694824</v>
      </c>
      <c r="G21" s="3" cm="1">
        <f t="array" ref="G21">_xlfn.STDEV.S(IF('Fractional-Calorimetry-Data'!$B$4:$B$2948=$B21,IF('Fractional-Calorimetry-Data'!$J$4:$J$2853=100,'Fractional-Calorimetry-Data'!U$4:U$2948)))</f>
        <v>3.73812598088232</v>
      </c>
      <c r="H21" s="3" cm="1">
        <f t="array" ref="H21">_xlfn.STDEV.S(IF('Fractional-Calorimetry-Data'!$B$4:$B$2948=$B21,IF('Fractional-Calorimetry-Data'!$J$4:$J$2853=100,'Fractional-Calorimetry-Data'!V$4:V$2948)))</f>
        <v>2.3483391162605</v>
      </c>
      <c r="I21" s="3" cm="1">
        <f t="array" ref="I21">_xlfn.STDEV.S(IF('Fractional-Calorimetry-Data'!$B$4:$B$2948=$B21,IF('Fractional-Calorimetry-Data'!$J$4:$J$2853=100,'Fractional-Calorimetry-Data'!W$4:W$2948)))</f>
        <v>3.05599003373467</v>
      </c>
      <c r="J21" s="3" cm="1">
        <f t="array" ref="J21">_xlfn.STDEV.S(IF('Fractional-Calorimetry-Data'!$B$4:$B$2948=$B21,IF('Fractional-Calorimetry-Data'!$J$4:$J$2853=100,'Fractional-Calorimetry-Data'!X$4:X$2948)))</f>
        <v>0.282448160866807</v>
      </c>
      <c r="K21" s="3" cm="1">
        <f t="array" ref="K21">_xlfn.STDEV.S(IF('Fractional-Calorimetry-Data'!$B$4:$B$2948=$B21,IF('Fractional-Calorimetry-Data'!$J$4:$J$2853=100,'Fractional-Calorimetry-Data'!Y$4:Y$2948)))</f>
        <v>6.94894674766213</v>
      </c>
      <c r="L21" s="3" cm="1">
        <f t="array" ref="L21">_xlfn.STDEV.S(IF('Fractional-Calorimetry-Data'!$B$4:$B$2948=$B21,IF('Fractional-Calorimetry-Data'!$J$4:$J$2853=100,'Fractional-Calorimetry-Data'!Z$4:Z$2948)))</f>
        <v>6.68247507281198</v>
      </c>
      <c r="M21" s="3" cm="1">
        <f t="array" ref="M21">_xlfn.STDEV.S(IF('Fractional-Calorimetry-Data'!$B$4:$B$2948=$B21,IF('Fractional-Calorimetry-Data'!$J$4:$J$2853=100,'Fractional-Calorimetry-Data'!AA$4:AA$2948)))</f>
        <v>0.878050247215613</v>
      </c>
      <c r="N21" s="3" cm="1">
        <f t="array" ref="N21">_xlfn.STDEV.S(IF('Fractional-Calorimetry-Data'!$B$4:$B$2948=$B21,IF('Fractional-Calorimetry-Data'!$J$4:$J$2853=100,'Fractional-Calorimetry-Data'!AB$4:AB$2948)))</f>
        <v>0.292749016094119</v>
      </c>
      <c r="O21" s="3" cm="1">
        <f t="array" ref="O21">_xlfn.STDEV.S(IF('Fractional-Calorimetry-Data'!$B$4:$B$2948=$B21,IF('Fractional-Calorimetry-Data'!$J$4:$J$2853=100,'Fractional-Calorimetry-Data'!AC$4:AC$2948)))</f>
        <v>0</v>
      </c>
      <c r="P21" s="3" cm="1">
        <f t="array" ref="P21">_xlfn.STDEV.S(IF('Fractional-Calorimetry-Data'!$B$4:$B$2948=$B21,IF('Fractional-Calorimetry-Data'!$J$4:$J$2853=100,'Fractional-Calorimetry-Data'!AD$4:AD$2948)))</f>
        <v>0</v>
      </c>
      <c r="Q21" s="3" cm="1">
        <f t="array" ref="Q21">_xlfn.STDEV.S(IF('Fractional-Calorimetry-Data'!$B$4:$B$2948=$B21,IF('Fractional-Calorimetry-Data'!$J$4:$J$2853=100,'Fractional-Calorimetry-Data'!AE$4:AE$2948)))</f>
        <v>0</v>
      </c>
      <c r="R21" s="3" cm="1">
        <f t="array" ref="R21">_xlfn.STDEV.S(IF('Fractional-Calorimetry-Data'!$B$4:$B$2948=$B21,IF('Fractional-Calorimetry-Data'!$J$4:$J$2853=100,'Fractional-Calorimetry-Data'!AF$4:AF$2948)))</f>
        <v>0</v>
      </c>
      <c r="S21" s="3" cm="1">
        <f t="array" ref="S21">_xlfn.STDEV.S(IF('Fractional-Calorimetry-Data'!$B$4:$B$2948=$B21,IF('Fractional-Calorimetry-Data'!$J$4:$J$2853=100,'Fractional-Calorimetry-Data'!AG$4:AG$2948)))</f>
        <v>14.6623192436401</v>
      </c>
      <c r="T21" s="3" cm="1">
        <f t="array" ref="T21">_xlfn.STDEV.S(IF('Fractional-Calorimetry-Data'!$B$4:$B$2948=$B21,IF('Fractional-Calorimetry-Data'!$J$4:$J$2853=100,'Fractional-Calorimetry-Data'!AH$4:AH$2948)))</f>
        <v>21.1394208283292</v>
      </c>
      <c r="U21" s="3" cm="1">
        <f t="array" ref="U21">_xlfn.STDEV.S(IF('Fractional-Calorimetry-Data'!$B$4:$B$2948=$B21,IF('Fractional-Calorimetry-Data'!$J$4:$J$2853=100,'Fractional-Calorimetry-Data'!AI$4:AI$2948)))</f>
        <v>42.781001871272</v>
      </c>
      <c r="V21" s="3" cm="1">
        <f t="array" ref="V21">_xlfn.STDEV.S(IF('Fractional-Calorimetry-Data'!$B$4:$B$2948=$B21,IF('Fractional-Calorimetry-Data'!$J$4:$J$2853=100,'Fractional-Calorimetry-Data'!AJ$4:AJ$2948)))</f>
        <v>23.5160891317617</v>
      </c>
      <c r="W21" s="3" cm="1">
        <f t="array" ref="W21">_xlfn.STDEV.S(IF('Fractional-Calorimetry-Data'!$B$4:$B$2948=$B21,IF('Fractional-Calorimetry-Data'!$J$4:$J$2853=100,'Fractional-Calorimetry-Data'!AK$4:AK$2948)))</f>
        <v>48.4494296223834</v>
      </c>
      <c r="X21" s="3" cm="1">
        <f t="array" ref="X21">_xlfn.STDEV.S(IF('Fractional-Calorimetry-Data'!$B$4:$B$2948=$B21,IF('Fractional-Calorimetry-Data'!$J$4:$J$2853=100,'Fractional-Calorimetry-Data'!AL$4:AL$2948)))</f>
        <v>1.35020845753087</v>
      </c>
      <c r="Y21" s="3" cm="1">
        <f t="array" ref="Y21">_xlfn.STDEV.S(IF('Fractional-Calorimetry-Data'!$B$4:$B$2948=$B21,IF('Fractional-Calorimetry-Data'!$J$4:$J$2853=100,'Fractional-Calorimetry-Data'!AM$4:AM$2948)))</f>
        <v>0.456139100262057</v>
      </c>
      <c r="Z21" s="3" cm="1">
        <f t="array" ref="Z21">_xlfn.STDEV.S(IF('Fractional-Calorimetry-Data'!$B$4:$B$2948=$B21,IF('Fractional-Calorimetry-Data'!$J$4:$J$2853=100,'Fractional-Calorimetry-Data'!AN$4:AN$2948)))</f>
        <v>0.512624707665448</v>
      </c>
      <c r="AA21" s="3" cm="1">
        <f t="array" ref="AA21">_xlfn.STDEV.S(IF('Fractional-Calorimetry-Data'!$B$4:$B$2948=$B21,IF('Fractional-Calorimetry-Data'!$J$4:$J$2853=100,'Fractional-Calorimetry-Data'!AO$4:AO$2948)))</f>
        <v>0.451472338828496</v>
      </c>
      <c r="AB21" s="3" cm="1">
        <f t="array" ref="AB21">_xlfn.STDEV.S(IF('Fractional-Calorimetry-Data'!$B$4:$B$2948=$B21,IF('Fractional-Calorimetry-Data'!$J$4:$J$2853=100,'Fractional-Calorimetry-Data'!AP$4:AP$2948)))</f>
        <v>0.129903810567666</v>
      </c>
      <c r="AC21" s="3" cm="1">
        <f t="array" ref="AC21">_xlfn.STDEV.S(IF('Fractional-Calorimetry-Data'!$B$4:$B$2948=$B21,IF('Fractional-Calorimetry-Data'!$J$4:$J$2853=100,'Fractional-Calorimetry-Data'!AQ$4:AQ$2948)))</f>
        <v>0</v>
      </c>
      <c r="AD21" s="3" cm="1">
        <f t="array" ref="AD21">_xlfn.STDEV.S(IF('Fractional-Calorimetry-Data'!$B$4:$B$2948=$B21,IF('Fractional-Calorimetry-Data'!$J$4:$J$2853=100,'Fractional-Calorimetry-Data'!AR$4:AR$2948)))</f>
        <v>0</v>
      </c>
      <c r="AE21" s="3" cm="1">
        <f t="array" ref="AE21">_xlfn.STDEV.S(IF('Fractional-Calorimetry-Data'!$B$4:$B$2948=$B21,IF('Fractional-Calorimetry-Data'!$J$4:$J$2853=100,'Fractional-Calorimetry-Data'!AS$4:AS$2948)))</f>
        <v>1.11800519053385</v>
      </c>
      <c r="AF21" s="3" cm="1">
        <f t="array" ref="AF21">_xlfn.STDEV.S(IF('Fractional-Calorimetry-Data'!$B$4:$B$2948=$B21,IF('Fractional-Calorimetry-Data'!$J$4:$J$2853=100,'Fractional-Calorimetry-Data'!AT$4:AT$2948)))</f>
        <v>1.34572274149235</v>
      </c>
      <c r="AG21" s="3" cm="1">
        <f t="array" ref="AG21">_xlfn.STDEV.S(IF('Fractional-Calorimetry-Data'!$B$4:$B$2948=$B21,IF('Fractional-Calorimetry-Data'!$J$4:$J$2853=100,'Fractional-Calorimetry-Data'!AU$4:AU$2948)))</f>
        <v>3.24520799306048</v>
      </c>
    </row>
    <row r="22" spans="2:33">
      <c r="B22" s="14" t="s">
        <v>160</v>
      </c>
      <c r="C22" s="3" cm="1">
        <f t="array" ref="C22">_xlfn.STDEV.S(IF('Fractional-Calorimetry-Data'!$B$4:$B$2948=B22,IF('Fractional-Calorimetry-Data'!$J$4:$J2874=100,'Fractional-Calorimetry-Data'!$BE$4:$BE$2948)))</f>
        <v>0.0852149480628064</v>
      </c>
      <c r="D22" s="3" cm="1">
        <f t="array" ref="D22">_xlfn.STDEV.S(IF('Fractional-Calorimetry-Data'!$B$4:$B$2948=$B22,IF('Fractional-Calorimetry-Data'!$J$4:$J$2853=100,'Fractional-Calorimetry-Data'!R$4:R$2948)))</f>
        <v>2.57907961604592</v>
      </c>
      <c r="E22" s="3" cm="1">
        <f t="array" ref="E22">_xlfn.STDEV.S(IF('Fractional-Calorimetry-Data'!$B$4:$B$2948=$B22,IF('Fractional-Calorimetry-Data'!$J$4:$J$2853=100,'Fractional-Calorimetry-Data'!S$4:S$2948)))</f>
        <v>0.00297881408169985</v>
      </c>
      <c r="F22" s="3" cm="1">
        <f t="array" ref="F22">_xlfn.STDEV.S(IF('Fractional-Calorimetry-Data'!$B$4:$B$2948=$B22,IF('Fractional-Calorimetry-Data'!$J$4:$J$2853=100,'Fractional-Calorimetry-Data'!T$4:T$2948)))</f>
        <v>3.37610987787542</v>
      </c>
      <c r="G22" s="3" cm="1">
        <f t="array" ref="G22">_xlfn.STDEV.S(IF('Fractional-Calorimetry-Data'!$B$4:$B$2948=$B22,IF('Fractional-Calorimetry-Data'!$J$4:$J$2853=100,'Fractional-Calorimetry-Data'!U$4:U$2948)))</f>
        <v>3.45672732517813</v>
      </c>
      <c r="H22" s="3" cm="1">
        <f t="array" ref="H22">_xlfn.STDEV.S(IF('Fractional-Calorimetry-Data'!$B$4:$B$2948=$B22,IF('Fractional-Calorimetry-Data'!$J$4:$J$2853=100,'Fractional-Calorimetry-Data'!V$4:V$2948)))</f>
        <v>5.05289130902702</v>
      </c>
      <c r="I22" s="3" cm="1">
        <f t="array" ref="I22">_xlfn.STDEV.S(IF('Fractional-Calorimetry-Data'!$B$4:$B$2948=$B22,IF('Fractional-Calorimetry-Data'!$J$4:$J$2853=100,'Fractional-Calorimetry-Data'!W$4:W$2948)))</f>
        <v>4.79197186694787</v>
      </c>
      <c r="J22" s="3" cm="1">
        <f t="array" ref="J22">_xlfn.STDEV.S(IF('Fractional-Calorimetry-Data'!$B$4:$B$2948=$B22,IF('Fractional-Calorimetry-Data'!$J$4:$J$2853=100,'Fractional-Calorimetry-Data'!X$4:X$2948)))</f>
        <v>0.0861347045683185</v>
      </c>
      <c r="K22" s="3" cm="1">
        <f t="array" ref="K22">_xlfn.STDEV.S(IF('Fractional-Calorimetry-Data'!$B$4:$B$2948=$B22,IF('Fractional-Calorimetry-Data'!$J$4:$J$2853=100,'Fractional-Calorimetry-Data'!Y$4:Y$2948)))</f>
        <v>7.88351939952554</v>
      </c>
      <c r="L22" s="3" cm="1">
        <f t="array" ref="L22">_xlfn.STDEV.S(IF('Fractional-Calorimetry-Data'!$B$4:$B$2948=$B22,IF('Fractional-Calorimetry-Data'!$J$4:$J$2853=100,'Fractional-Calorimetry-Data'!Z$4:Z$2948)))</f>
        <v>7.86578424704845</v>
      </c>
      <c r="M22" s="3" cm="1">
        <f t="array" ref="M22">_xlfn.STDEV.S(IF('Fractional-Calorimetry-Data'!$B$4:$B$2948=$B22,IF('Fractional-Calorimetry-Data'!$J$4:$J$2853=100,'Fractional-Calorimetry-Data'!AA$4:AA$2948)))</f>
        <v>0.081995747764508</v>
      </c>
      <c r="N22" s="3" cm="1">
        <f t="array" ref="N22">_xlfn.STDEV.S(IF('Fractional-Calorimetry-Data'!$B$4:$B$2948=$B22,IF('Fractional-Calorimetry-Data'!$J$4:$J$2853=100,'Fractional-Calorimetry-Data'!AB$4:AB$2948)))</f>
        <v>0.374073795555428</v>
      </c>
      <c r="O22" s="3" cm="1">
        <f t="array" ref="O22">_xlfn.STDEV.S(IF('Fractional-Calorimetry-Data'!$B$4:$B$2948=$B22,IF('Fractional-Calorimetry-Data'!$J$4:$J$2853=100,'Fractional-Calorimetry-Data'!AC$4:AC$2948)))</f>
        <v>0</v>
      </c>
      <c r="P22" s="3" cm="1">
        <f t="array" ref="P22">_xlfn.STDEV.S(IF('Fractional-Calorimetry-Data'!$B$4:$B$2948=$B22,IF('Fractional-Calorimetry-Data'!$J$4:$J$2853=100,'Fractional-Calorimetry-Data'!AD$4:AD$2948)))</f>
        <v>0</v>
      </c>
      <c r="Q22" s="3" cm="1">
        <f t="array" ref="Q22">_xlfn.STDEV.S(IF('Fractional-Calorimetry-Data'!$B$4:$B$2948=$B22,IF('Fractional-Calorimetry-Data'!$J$4:$J$2853=100,'Fractional-Calorimetry-Data'!AE$4:AE$2948)))</f>
        <v>0</v>
      </c>
      <c r="R22" s="3" cm="1">
        <f t="array" ref="R22">_xlfn.STDEV.S(IF('Fractional-Calorimetry-Data'!$B$4:$B$2948=$B22,IF('Fractional-Calorimetry-Data'!$J$4:$J$2853=100,'Fractional-Calorimetry-Data'!AF$4:AF$2948)))</f>
        <v>0</v>
      </c>
      <c r="S22" s="3" cm="1">
        <f t="array" ref="S22">_xlfn.STDEV.S(IF('Fractional-Calorimetry-Data'!$B$4:$B$2948=$B22,IF('Fractional-Calorimetry-Data'!$J$4:$J$2853=100,'Fractional-Calorimetry-Data'!AG$4:AG$2948)))</f>
        <v>8.33512977002952</v>
      </c>
      <c r="T22" s="3" cm="1">
        <f t="array" ref="T22">_xlfn.STDEV.S(IF('Fractional-Calorimetry-Data'!$B$4:$B$2948=$B22,IF('Fractional-Calorimetry-Data'!$J$4:$J$2853=100,'Fractional-Calorimetry-Data'!AH$4:AH$2948)))</f>
        <v>4.27390586817258</v>
      </c>
      <c r="U22" s="3" cm="1">
        <f t="array" ref="U22">_xlfn.STDEV.S(IF('Fractional-Calorimetry-Data'!$B$4:$B$2948=$B22,IF('Fractional-Calorimetry-Data'!$J$4:$J$2853=100,'Fractional-Calorimetry-Data'!AI$4:AI$2948)))</f>
        <v>3.80640097695792</v>
      </c>
      <c r="V22" s="3" cm="1">
        <f t="array" ref="V22">_xlfn.STDEV.S(IF('Fractional-Calorimetry-Data'!$B$4:$B$2948=$B22,IF('Fractional-Calorimetry-Data'!$J$4:$J$2853=100,'Fractional-Calorimetry-Data'!AJ$4:AJ$2948)))</f>
        <v>4.8709129797024</v>
      </c>
      <c r="W22" s="3" cm="1">
        <f t="array" ref="W22">_xlfn.STDEV.S(IF('Fractional-Calorimetry-Data'!$B$4:$B$2948=$B22,IF('Fractional-Calorimetry-Data'!$J$4:$J$2853=100,'Fractional-Calorimetry-Data'!AK$4:AK$2948)))</f>
        <v>5.60575058965252</v>
      </c>
      <c r="X22" s="3" cm="1">
        <f t="array" ref="X22">_xlfn.STDEV.S(IF('Fractional-Calorimetry-Data'!$B$4:$B$2948=$B22,IF('Fractional-Calorimetry-Data'!$J$4:$J$2853=100,'Fractional-Calorimetry-Data'!AL$4:AL$2948)))</f>
        <v>4.82251663207776</v>
      </c>
      <c r="Y22" s="3" cm="1">
        <f t="array" ref="Y22">_xlfn.STDEV.S(IF('Fractional-Calorimetry-Data'!$B$4:$B$2948=$B22,IF('Fractional-Calorimetry-Data'!$J$4:$J$2853=100,'Fractional-Calorimetry-Data'!AM$4:AM$2948)))</f>
        <v>2.60128173535022</v>
      </c>
      <c r="Z22" s="3" cm="1">
        <f t="array" ref="Z22">_xlfn.STDEV.S(IF('Fractional-Calorimetry-Data'!$B$4:$B$2948=$B22,IF('Fractional-Calorimetry-Data'!$J$4:$J$2853=100,'Fractional-Calorimetry-Data'!AN$4:AN$2948)))</f>
        <v>2.39078090450241</v>
      </c>
      <c r="AA22" s="3" cm="1">
        <f t="array" ref="AA22">_xlfn.STDEV.S(IF('Fractional-Calorimetry-Data'!$B$4:$B$2948=$B22,IF('Fractional-Calorimetry-Data'!$J$4:$J$2853=100,'Fractional-Calorimetry-Data'!AO$4:AO$2948)))</f>
        <v>0.377491721763539</v>
      </c>
      <c r="AB22" s="3" cm="1">
        <f t="array" ref="AB22">_xlfn.STDEV.S(IF('Fractional-Calorimetry-Data'!$B$4:$B$2948=$B22,IF('Fractional-Calorimetry-Data'!$J$4:$J$2853=100,'Fractional-Calorimetry-Data'!AP$4:AP$2948)))</f>
        <v>0</v>
      </c>
      <c r="AC22" s="3" cm="1">
        <f t="array" ref="AC22">_xlfn.STDEV.S(IF('Fractional-Calorimetry-Data'!$B$4:$B$2948=$B22,IF('Fractional-Calorimetry-Data'!$J$4:$J$2853=100,'Fractional-Calorimetry-Data'!AQ$4:AQ$2948)))</f>
        <v>0</v>
      </c>
      <c r="AD22" s="3" cm="1">
        <f t="array" ref="AD22">_xlfn.STDEV.S(IF('Fractional-Calorimetry-Data'!$B$4:$B$2948=$B22,IF('Fractional-Calorimetry-Data'!$J$4:$J$2853=100,'Fractional-Calorimetry-Data'!AR$4:AR$2948)))</f>
        <v>0</v>
      </c>
      <c r="AE22" s="3" cm="1">
        <f t="array" ref="AE22">_xlfn.STDEV.S(IF('Fractional-Calorimetry-Data'!$B$4:$B$2948=$B22,IF('Fractional-Calorimetry-Data'!$J$4:$J$2853=100,'Fractional-Calorimetry-Data'!AS$4:AS$2948)))</f>
        <v>0.864382987550464</v>
      </c>
      <c r="AF22" s="3" cm="1">
        <f t="array" ref="AF22">_xlfn.STDEV.S(IF('Fractional-Calorimetry-Data'!$B$4:$B$2948=$B22,IF('Fractional-Calorimetry-Data'!$J$4:$J$2853=100,'Fractional-Calorimetry-Data'!AT$4:AT$2948)))</f>
        <v>4.7615923053638</v>
      </c>
      <c r="AG22" s="3" cm="1">
        <f t="array" ref="AG22">_xlfn.STDEV.S(IF('Fractional-Calorimetry-Data'!$B$4:$B$2948=$B22,IF('Fractional-Calorimetry-Data'!$J$4:$J$2853=100,'Fractional-Calorimetry-Data'!AU$4:AU$2948)))</f>
        <v>10.4025037394419</v>
      </c>
    </row>
    <row r="23" spans="2:33">
      <c r="B23" s="14" t="s">
        <v>162</v>
      </c>
      <c r="C23" s="3" cm="1">
        <f t="array" ref="C23">_xlfn.STDEV.S(IF('Fractional-Calorimetry-Data'!$B$4:$B$2948=B23,IF('Fractional-Calorimetry-Data'!$J$4:$J2875=100,'Fractional-Calorimetry-Data'!$BE$4:$BE$2948)))</f>
        <v>0.122531925971814</v>
      </c>
      <c r="D23" s="3" cm="1">
        <f t="array" ref="D23">_xlfn.STDEV.S(IF('Fractional-Calorimetry-Data'!$B$4:$B$2948=$B23,IF('Fractional-Calorimetry-Data'!$J$4:$J$2853=100,'Fractional-Calorimetry-Data'!R$4:R$2948)))</f>
        <v>5.04553132879742</v>
      </c>
      <c r="E23" s="3" cm="1">
        <f t="array" ref="E23">_xlfn.STDEV.S(IF('Fractional-Calorimetry-Data'!$B$4:$B$2948=$B23,IF('Fractional-Calorimetry-Data'!$J$4:$J$2853=100,'Fractional-Calorimetry-Data'!S$4:S$2948)))</f>
        <v>0.0137168332770911</v>
      </c>
      <c r="F23" s="3" cm="1">
        <f t="array" ref="F23">_xlfn.STDEV.S(IF('Fractional-Calorimetry-Data'!$B$4:$B$2948=$B23,IF('Fractional-Calorimetry-Data'!$J$4:$J$2853=100,'Fractional-Calorimetry-Data'!T$4:T$2948)))</f>
        <v>4.92592177566507</v>
      </c>
      <c r="G23" s="3" cm="1">
        <f t="array" ref="G23">_xlfn.STDEV.S(IF('Fractional-Calorimetry-Data'!$B$4:$B$2948=$B23,IF('Fractional-Calorimetry-Data'!$J$4:$J$2853=100,'Fractional-Calorimetry-Data'!U$4:U$2948)))</f>
        <v>5.60215965543133</v>
      </c>
      <c r="H23" s="3" cm="1">
        <f t="array" ref="H23">_xlfn.STDEV.S(IF('Fractional-Calorimetry-Data'!$B$4:$B$2948=$B23,IF('Fractional-Calorimetry-Data'!$J$4:$J$2853=100,'Fractional-Calorimetry-Data'!V$4:V$2948)))</f>
        <v>3.66920749698035</v>
      </c>
      <c r="I23" s="3" cm="1">
        <f t="array" ref="I23">_xlfn.STDEV.S(IF('Fractional-Calorimetry-Data'!$B$4:$B$2948=$B23,IF('Fractional-Calorimetry-Data'!$J$4:$J$2853=100,'Fractional-Calorimetry-Data'!W$4:W$2948)))</f>
        <v>17.0383750756796</v>
      </c>
      <c r="J23" s="3" cm="1">
        <f t="array" ref="J23">_xlfn.STDEV.S(IF('Fractional-Calorimetry-Data'!$B$4:$B$2948=$B23,IF('Fractional-Calorimetry-Data'!$J$4:$J$2853=100,'Fractional-Calorimetry-Data'!X$4:X$2948)))</f>
        <v>12.3568984417878</v>
      </c>
      <c r="K23" s="3" cm="1">
        <f t="array" ref="K23">_xlfn.STDEV.S(IF('Fractional-Calorimetry-Data'!$B$4:$B$2948=$B23,IF('Fractional-Calorimetry-Data'!$J$4:$J$2853=100,'Fractional-Calorimetry-Data'!Y$4:Y$2948)))</f>
        <v>5.99155818881993</v>
      </c>
      <c r="L23" s="3" cm="1">
        <f t="array" ref="L23">_xlfn.STDEV.S(IF('Fractional-Calorimetry-Data'!$B$4:$B$2948=$B23,IF('Fractional-Calorimetry-Data'!$J$4:$J$2853=100,'Fractional-Calorimetry-Data'!Z$4:Z$2948)))</f>
        <v>21.2731950765681</v>
      </c>
      <c r="M23" s="3" cm="1">
        <f t="array" ref="M23">_xlfn.STDEV.S(IF('Fractional-Calorimetry-Data'!$B$4:$B$2948=$B23,IF('Fractional-Calorimetry-Data'!$J$4:$J$2853=100,'Fractional-Calorimetry-Data'!AA$4:AA$2948)))</f>
        <v>17.5038803333154</v>
      </c>
      <c r="N23" s="3" cm="1">
        <f t="array" ref="N23">_xlfn.STDEV.S(IF('Fractional-Calorimetry-Data'!$B$4:$B$2948=$B23,IF('Fractional-Calorimetry-Data'!$J$4:$J$2853=100,'Fractional-Calorimetry-Data'!AB$4:AB$2948)))</f>
        <v>2.40610298576822</v>
      </c>
      <c r="O23" s="3" cm="1">
        <f t="array" ref="O23">_xlfn.STDEV.S(IF('Fractional-Calorimetry-Data'!$B$4:$B$2948=$B23,IF('Fractional-Calorimetry-Data'!$J$4:$J$2853=100,'Fractional-Calorimetry-Data'!AC$4:AC$2948)))</f>
        <v>0.634627320365171</v>
      </c>
      <c r="P23" s="3" cm="1">
        <f t="array" ref="P23">_xlfn.STDEV.S(IF('Fractional-Calorimetry-Data'!$B$4:$B$2948=$B23,IF('Fractional-Calorimetry-Data'!$J$4:$J$2853=100,'Fractional-Calorimetry-Data'!AD$4:AD$2948)))</f>
        <v>1.19816868741558</v>
      </c>
      <c r="Q23" s="3" cm="1">
        <f t="array" ref="Q23">_xlfn.STDEV.S(IF('Fractional-Calorimetry-Data'!$B$4:$B$2948=$B23,IF('Fractional-Calorimetry-Data'!$J$4:$J$2853=100,'Fractional-Calorimetry-Data'!AE$4:AE$2948)))</f>
        <v>1.8351783391917</v>
      </c>
      <c r="R23" s="3" cm="1">
        <f t="array" ref="R23">_xlfn.STDEV.S(IF('Fractional-Calorimetry-Data'!$B$4:$B$2948=$B23,IF('Fractional-Calorimetry-Data'!$J$4:$J$2853=100,'Fractional-Calorimetry-Data'!AF$4:AF$2948)))</f>
        <v>1.29474504881542</v>
      </c>
      <c r="S23" s="3" cm="1">
        <f t="array" ref="S23">_xlfn.STDEV.S(IF('Fractional-Calorimetry-Data'!$B$4:$B$2948=$B23,IF('Fractional-Calorimetry-Data'!$J$4:$J$2853=100,'Fractional-Calorimetry-Data'!AG$4:AG$2948)))</f>
        <v>56.1204578671071</v>
      </c>
      <c r="T23" s="3" cm="1">
        <f t="array" ref="T23">_xlfn.STDEV.S(IF('Fractional-Calorimetry-Data'!$B$4:$B$2948=$B23,IF('Fractional-Calorimetry-Data'!$J$4:$J$2853=100,'Fractional-Calorimetry-Data'!AH$4:AH$2948)))</f>
        <v>132.811840002958</v>
      </c>
      <c r="U23" s="3" cm="1">
        <f t="array" ref="U23">_xlfn.STDEV.S(IF('Fractional-Calorimetry-Data'!$B$4:$B$2948=$B23,IF('Fractional-Calorimetry-Data'!$J$4:$J$2853=100,'Fractional-Calorimetry-Data'!AI$4:AI$2948)))</f>
        <v>4.38763300319893</v>
      </c>
      <c r="V23" s="3" cm="1">
        <f t="array" ref="V23">_xlfn.STDEV.S(IF('Fractional-Calorimetry-Data'!$B$4:$B$2948=$B23,IF('Fractional-Calorimetry-Data'!$J$4:$J$2853=100,'Fractional-Calorimetry-Data'!AJ$4:AJ$2948)))</f>
        <v>0</v>
      </c>
      <c r="W23" s="3" cm="1">
        <f t="array" ref="W23">_xlfn.STDEV.S(IF('Fractional-Calorimetry-Data'!$B$4:$B$2948=$B23,IF('Fractional-Calorimetry-Data'!$J$4:$J$2853=100,'Fractional-Calorimetry-Data'!AK$4:AK$2948)))</f>
        <v>32.6788649990711</v>
      </c>
      <c r="X23" s="3" cm="1">
        <f t="array" ref="X23">_xlfn.STDEV.S(IF('Fractional-Calorimetry-Data'!$B$4:$B$2948=$B23,IF('Fractional-Calorimetry-Data'!$J$4:$J$2853=100,'Fractional-Calorimetry-Data'!AL$4:AL$2948)))</f>
        <v>3.95235823351841</v>
      </c>
      <c r="Y23" s="3" cm="1">
        <f t="array" ref="Y23">_xlfn.STDEV.S(IF('Fractional-Calorimetry-Data'!$B$4:$B$2948=$B23,IF('Fractional-Calorimetry-Data'!$J$4:$J$2853=100,'Fractional-Calorimetry-Data'!AM$4:AM$2948)))</f>
        <v>3.5525572308955</v>
      </c>
      <c r="Z23" s="3" cm="1">
        <f t="array" ref="Z23">_xlfn.STDEV.S(IF('Fractional-Calorimetry-Data'!$B$4:$B$2948=$B23,IF('Fractional-Calorimetry-Data'!$J$4:$J$2853=100,'Fractional-Calorimetry-Data'!AN$4:AN$2948)))</f>
        <v>5.01800636496088</v>
      </c>
      <c r="AA23" s="3" cm="1">
        <f t="array" ref="AA23">_xlfn.STDEV.S(IF('Fractional-Calorimetry-Data'!$B$4:$B$2948=$B23,IF('Fractional-Calorimetry-Data'!$J$4:$J$2853=100,'Fractional-Calorimetry-Data'!AO$4:AO$2948)))</f>
        <v>0.54964658066467</v>
      </c>
      <c r="AB23" s="3" cm="1">
        <f t="array" ref="AB23">_xlfn.STDEV.S(IF('Fractional-Calorimetry-Data'!$B$4:$B$2948=$B23,IF('Fractional-Calorimetry-Data'!$J$4:$J$2853=100,'Fractional-Calorimetry-Data'!AP$4:AP$2948)))</f>
        <v>0.828278151933091</v>
      </c>
      <c r="AC23" s="3" cm="1">
        <f t="array" ref="AC23">_xlfn.STDEV.S(IF('Fractional-Calorimetry-Data'!$B$4:$B$2948=$B23,IF('Fractional-Calorimetry-Data'!$J$4:$J$2853=100,'Fractional-Calorimetry-Data'!AQ$4:AQ$2948)))</f>
        <v>2.82710728591269</v>
      </c>
      <c r="AD23" s="3" cm="1">
        <f t="array" ref="AD23">_xlfn.STDEV.S(IF('Fractional-Calorimetry-Data'!$B$4:$B$2948=$B23,IF('Fractional-Calorimetry-Data'!$J$4:$J$2853=100,'Fractional-Calorimetry-Data'!AR$4:AR$2948)))</f>
        <v>0.972508082072827</v>
      </c>
      <c r="AE23" s="3" cm="1">
        <f t="array" ref="AE23">_xlfn.STDEV.S(IF('Fractional-Calorimetry-Data'!$B$4:$B$2948=$B23,IF('Fractional-Calorimetry-Data'!$J$4:$J$2853=100,'Fractional-Calorimetry-Data'!AS$4:AS$2948)))</f>
        <v>5.11401604102674</v>
      </c>
      <c r="AF23" s="3" cm="1">
        <f t="array" ref="AF23">_xlfn.STDEV.S(IF('Fractional-Calorimetry-Data'!$B$4:$B$2948=$B23,IF('Fractional-Calorimetry-Data'!$J$4:$J$2853=100,'Fractional-Calorimetry-Data'!AT$4:AT$2948)))</f>
        <v>3.91393342118311</v>
      </c>
      <c r="AG23" s="3" cm="1">
        <f t="array" ref="AG23">_xlfn.STDEV.S(IF('Fractional-Calorimetry-Data'!$B$4:$B$2948=$B23,IF('Fractional-Calorimetry-Data'!$J$4:$J$2853=100,'Fractional-Calorimetry-Data'!AU$4:AU$2948)))</f>
        <v>8.2033531559134</v>
      </c>
    </row>
    <row r="24" spans="2:33">
      <c r="B24" s="13" t="s">
        <v>8</v>
      </c>
      <c r="C24" s="3" cm="1">
        <f t="array" ref="C24">_xlfn.STDEV.S(IF('Fractional-Calorimetry-Data'!$B$4:$B$2948=B24,IF('Fractional-Calorimetry-Data'!$J$4:$J2876=100,'Fractional-Calorimetry-Data'!$BE$4:$BE$2948)))</f>
        <v>0.107937098568589</v>
      </c>
      <c r="D24" s="3" cm="1">
        <f t="array" ref="D24">_xlfn.STDEV.S(IF('Fractional-Calorimetry-Data'!$B$4:$B$2948=$B24,IF('Fractional-Calorimetry-Data'!$J$4:$J$2853=100,'Fractional-Calorimetry-Data'!R$4:R$2948)))</f>
        <v>2.89712545026335</v>
      </c>
      <c r="E24" s="3" cm="1">
        <f t="array" ref="E24">_xlfn.STDEV.S(IF('Fractional-Calorimetry-Data'!$B$4:$B$2948=$B24,IF('Fractional-Calorimetry-Data'!$J$4:$J$2853=100,'Fractional-Calorimetry-Data'!S$4:S$2948)))</f>
        <v>0.00708979206430989</v>
      </c>
      <c r="F24" s="3" cm="1">
        <f t="array" ref="F24">_xlfn.STDEV.S(IF('Fractional-Calorimetry-Data'!$B$4:$B$2948=$B24,IF('Fractional-Calorimetry-Data'!$J$4:$J$2853=100,'Fractional-Calorimetry-Data'!T$4:T$2948)))</f>
        <v>2.71104307600763</v>
      </c>
      <c r="G24" s="3" cm="1">
        <f t="array" ref="G24">_xlfn.STDEV.S(IF('Fractional-Calorimetry-Data'!$B$4:$B$2948=$B24,IF('Fractional-Calorimetry-Data'!$J$4:$J$2853=100,'Fractional-Calorimetry-Data'!U$4:U$2948)))</f>
        <v>2.97841629790163</v>
      </c>
      <c r="H24" s="3" cm="1">
        <f t="array" ref="H24">_xlfn.STDEV.S(IF('Fractional-Calorimetry-Data'!$B$4:$B$2948=$B24,IF('Fractional-Calorimetry-Data'!$J$4:$J$2853=100,'Fractional-Calorimetry-Data'!V$4:V$2948)))</f>
        <v>5.76348018267105</v>
      </c>
      <c r="I24" s="3" cm="1">
        <f t="array" ref="I24">_xlfn.STDEV.S(IF('Fractional-Calorimetry-Data'!$B$4:$B$2948=$B24,IF('Fractional-Calorimetry-Data'!$J$4:$J$2853=100,'Fractional-Calorimetry-Data'!W$4:W$2948)))</f>
        <v>7.07408210607868</v>
      </c>
      <c r="J24" s="3" cm="1">
        <f t="array" ref="J24">_xlfn.STDEV.S(IF('Fractional-Calorimetry-Data'!$B$4:$B$2948=$B24,IF('Fractional-Calorimetry-Data'!$J$4:$J$2853=100,'Fractional-Calorimetry-Data'!X$4:X$2948)))</f>
        <v>0.394120024617762</v>
      </c>
      <c r="K24" s="3" cm="1">
        <f t="array" ref="K24">_xlfn.STDEV.S(IF('Fractional-Calorimetry-Data'!$B$4:$B$2948=$B24,IF('Fractional-Calorimetry-Data'!$J$4:$J$2853=100,'Fractional-Calorimetry-Data'!Y$4:Y$2948)))</f>
        <v>15.3395554479578</v>
      </c>
      <c r="L24" s="3" cm="1">
        <f t="array" ref="L24">_xlfn.STDEV.S(IF('Fractional-Calorimetry-Data'!$B$4:$B$2948=$B24,IF('Fractional-Calorimetry-Data'!$J$4:$J$2853=100,'Fractional-Calorimetry-Data'!Z$4:Z$2948)))</f>
        <v>14.8546260756582</v>
      </c>
      <c r="M24" s="3" cm="1">
        <f t="array" ref="M24">_xlfn.STDEV.S(IF('Fractional-Calorimetry-Data'!$B$4:$B$2948=$B24,IF('Fractional-Calorimetry-Data'!$J$4:$J$2853=100,'Fractional-Calorimetry-Data'!AA$4:AA$2948)))</f>
        <v>0.980604278368504</v>
      </c>
      <c r="N24" s="3" cm="1">
        <f t="array" ref="N24">_xlfn.STDEV.S(IF('Fractional-Calorimetry-Data'!$B$4:$B$2948=$B24,IF('Fractional-Calorimetry-Data'!$J$4:$J$2853=100,'Fractional-Calorimetry-Data'!AB$4:AB$2948)))</f>
        <v>0.725141150998762</v>
      </c>
      <c r="O24" s="3" cm="1">
        <f t="array" ref="O24">_xlfn.STDEV.S(IF('Fractional-Calorimetry-Data'!$B$4:$B$2948=$B24,IF('Fractional-Calorimetry-Data'!$J$4:$J$2853=100,'Fractional-Calorimetry-Data'!AC$4:AC$2948)))</f>
        <v>0</v>
      </c>
      <c r="P24" s="3" cm="1">
        <f t="array" ref="P24">_xlfn.STDEV.S(IF('Fractional-Calorimetry-Data'!$B$4:$B$2948=$B24,IF('Fractional-Calorimetry-Data'!$J$4:$J$2853=100,'Fractional-Calorimetry-Data'!AD$4:AD$2948)))</f>
        <v>0</v>
      </c>
      <c r="Q24" s="3" cm="1">
        <f t="array" ref="Q24">_xlfn.STDEV.S(IF('Fractional-Calorimetry-Data'!$B$4:$B$2948=$B24,IF('Fractional-Calorimetry-Data'!$J$4:$J$2853=100,'Fractional-Calorimetry-Data'!AE$4:AE$2948)))</f>
        <v>0</v>
      </c>
      <c r="R24" s="3" cm="1">
        <f t="array" ref="R24">_xlfn.STDEV.S(IF('Fractional-Calorimetry-Data'!$B$4:$B$2948=$B24,IF('Fractional-Calorimetry-Data'!$J$4:$J$2853=100,'Fractional-Calorimetry-Data'!AF$4:AF$2948)))</f>
        <v>0</v>
      </c>
      <c r="S24" s="3" cm="1">
        <f t="array" ref="S24">_xlfn.STDEV.S(IF('Fractional-Calorimetry-Data'!$B$4:$B$2948=$B24,IF('Fractional-Calorimetry-Data'!$J$4:$J$2853=100,'Fractional-Calorimetry-Data'!AG$4:AG$2948)))</f>
        <v>7.59040278110993</v>
      </c>
      <c r="T24" s="3" cm="1">
        <f t="array" ref="T24">_xlfn.STDEV.S(IF('Fractional-Calorimetry-Data'!$B$4:$B$2948=$B24,IF('Fractional-Calorimetry-Data'!$J$4:$J$2853=100,'Fractional-Calorimetry-Data'!AH$4:AH$2948)))</f>
        <v>36.1007619562924</v>
      </c>
      <c r="U24" s="3" cm="1">
        <f t="array" ref="U24">_xlfn.STDEV.S(IF('Fractional-Calorimetry-Data'!$B$4:$B$2948=$B24,IF('Fractional-Calorimetry-Data'!$J$4:$J$2853=100,'Fractional-Calorimetry-Data'!AI$4:AI$2948)))</f>
        <v>30.457751649251</v>
      </c>
      <c r="V24" s="3" cm="1">
        <f t="array" ref="V24">_xlfn.STDEV.S(IF('Fractional-Calorimetry-Data'!$B$4:$B$2948=$B24,IF('Fractional-Calorimetry-Data'!$J$4:$J$2853=100,'Fractional-Calorimetry-Data'!AJ$4:AJ$2948)))</f>
        <v>0</v>
      </c>
      <c r="W24" s="3" cm="1">
        <f t="array" ref="W24">_xlfn.STDEV.S(IF('Fractional-Calorimetry-Data'!$B$4:$B$2948=$B24,IF('Fractional-Calorimetry-Data'!$J$4:$J$2853=100,'Fractional-Calorimetry-Data'!AK$4:AK$2948)))</f>
        <v>75.7938994188759</v>
      </c>
      <c r="X24" s="3" cm="1">
        <f t="array" ref="X24">_xlfn.STDEV.S(IF('Fractional-Calorimetry-Data'!$B$4:$B$2948=$B24,IF('Fractional-Calorimetry-Data'!$J$4:$J$2853=100,'Fractional-Calorimetry-Data'!AL$4:AL$2948)))</f>
        <v>7.29772700679341</v>
      </c>
      <c r="Y24" s="3" cm="1">
        <f t="array" ref="Y24">_xlfn.STDEV.S(IF('Fractional-Calorimetry-Data'!$B$4:$B$2948=$B24,IF('Fractional-Calorimetry-Data'!$J$4:$J$2853=100,'Fractional-Calorimetry-Data'!AM$4:AM$2948)))</f>
        <v>3.63889585904221</v>
      </c>
      <c r="Z24" s="3" cm="1">
        <f t="array" ref="Z24">_xlfn.STDEV.S(IF('Fractional-Calorimetry-Data'!$B$4:$B$2948=$B24,IF('Fractional-Calorimetry-Data'!$J$4:$J$2853=100,'Fractional-Calorimetry-Data'!AN$4:AN$2948)))</f>
        <v>2.9725015303791</v>
      </c>
      <c r="AA24" s="3" cm="1">
        <f t="array" ref="AA24">_xlfn.STDEV.S(IF('Fractional-Calorimetry-Data'!$B$4:$B$2948=$B24,IF('Fractional-Calorimetry-Data'!$J$4:$J$2853=100,'Fractional-Calorimetry-Data'!AO$4:AO$2948)))</f>
        <v>0.397557961754693</v>
      </c>
      <c r="AB24" s="3" cm="1">
        <f t="array" ref="AB24">_xlfn.STDEV.S(IF('Fractional-Calorimetry-Data'!$B$4:$B$2948=$B24,IF('Fractional-Calorimetry-Data'!$J$4:$J$2853=100,'Fractional-Calorimetry-Data'!AP$4:AP$2948)))</f>
        <v>0.144432011896969</v>
      </c>
      <c r="AC24" s="3" cm="1">
        <f t="array" ref="AC24">_xlfn.STDEV.S(IF('Fractional-Calorimetry-Data'!$B$4:$B$2948=$B24,IF('Fractional-Calorimetry-Data'!$J$4:$J$2853=100,'Fractional-Calorimetry-Data'!AQ$4:AQ$2948)))</f>
        <v>0.140669395349091</v>
      </c>
      <c r="AD24" s="3" cm="1">
        <f t="array" ref="AD24">_xlfn.STDEV.S(IF('Fractional-Calorimetry-Data'!$B$4:$B$2948=$B24,IF('Fractional-Calorimetry-Data'!$J$4:$J$2853=100,'Fractional-Calorimetry-Data'!AR$4:AR$2948)))</f>
        <v>0.0458623855582209</v>
      </c>
      <c r="AE24" s="3" cm="1">
        <f t="array" ref="AE24">_xlfn.STDEV.S(IF('Fractional-Calorimetry-Data'!$B$4:$B$2948=$B24,IF('Fractional-Calorimetry-Data'!$J$4:$J$2853=100,'Fractional-Calorimetry-Data'!AS$4:AS$2948)))</f>
        <v>2.46399089116467</v>
      </c>
      <c r="AF24" s="3" cm="1">
        <f t="array" ref="AF24">_xlfn.STDEV.S(IF('Fractional-Calorimetry-Data'!$B$4:$B$2948=$B24,IF('Fractional-Calorimetry-Data'!$J$4:$J$2853=100,'Fractional-Calorimetry-Data'!AT$4:AT$2948)))</f>
        <v>7.36682574199734</v>
      </c>
      <c r="AG24" s="3" cm="1">
        <f t="array" ref="AG24">_xlfn.STDEV.S(IF('Fractional-Calorimetry-Data'!$B$4:$B$2948=$B24,IF('Fractional-Calorimetry-Data'!$J$4:$J$2853=100,'Fractional-Calorimetry-Data'!AU$4:AU$2948)))</f>
        <v>17.8529181887468</v>
      </c>
    </row>
    <row r="25" spans="2:33">
      <c r="B25" s="13" t="s">
        <v>10</v>
      </c>
      <c r="C25" s="3" cm="1">
        <f t="array" ref="C25">_xlfn.STDEV.S(IF('Fractional-Calorimetry-Data'!$B$4:$B$2948=B25,IF('Fractional-Calorimetry-Data'!$J$4:$J2877=100,'Fractional-Calorimetry-Data'!$BE$4:$BE$2948)))</f>
        <v>0.182557206566493</v>
      </c>
      <c r="D25" s="3" cm="1">
        <f t="array" ref="D25">_xlfn.STDEV.S(IF('Fractional-Calorimetry-Data'!$B$4:$B$2948=$B25,IF('Fractional-Calorimetry-Data'!$J$4:$J$2853=100,'Fractional-Calorimetry-Data'!R$4:R$2948)))</f>
        <v>3.90816574476197</v>
      </c>
      <c r="E25" s="3" cm="1">
        <f t="array" ref="E25">_xlfn.STDEV.S(IF('Fractional-Calorimetry-Data'!$B$4:$B$2948=$B25,IF('Fractional-Calorimetry-Data'!$J$4:$J$2853=100,'Fractional-Calorimetry-Data'!S$4:S$2948)))</f>
        <v>0.00820738150149675</v>
      </c>
      <c r="F25" s="3" cm="1">
        <f t="array" ref="F25">_xlfn.STDEV.S(IF('Fractional-Calorimetry-Data'!$B$4:$B$2948=$B25,IF('Fractional-Calorimetry-Data'!$J$4:$J$2853=100,'Fractional-Calorimetry-Data'!T$4:T$2948)))</f>
        <v>4.85834611144914</v>
      </c>
      <c r="G25" s="3" cm="1">
        <f t="array" ref="G25">_xlfn.STDEV.S(IF('Fractional-Calorimetry-Data'!$B$4:$B$2948=$B25,IF('Fractional-Calorimetry-Data'!$J$4:$J$2853=100,'Fractional-Calorimetry-Data'!U$4:U$2948)))</f>
        <v>5.03748355799581</v>
      </c>
      <c r="H25" s="3" cm="1">
        <f t="array" ref="H25">_xlfn.STDEV.S(IF('Fractional-Calorimetry-Data'!$B$4:$B$2948=$B25,IF('Fractional-Calorimetry-Data'!$J$4:$J$2853=100,'Fractional-Calorimetry-Data'!V$4:V$2948)))</f>
        <v>5.06957697030642</v>
      </c>
      <c r="I25" s="3" cm="1">
        <f t="array" ref="I25">_xlfn.STDEV.S(IF('Fractional-Calorimetry-Data'!$B$4:$B$2948=$B25,IF('Fractional-Calorimetry-Data'!$J$4:$J$2853=100,'Fractional-Calorimetry-Data'!W$4:W$2948)))</f>
        <v>7.38182764449974</v>
      </c>
      <c r="J25" s="3" cm="1">
        <f t="array" ref="J25">_xlfn.STDEV.S(IF('Fractional-Calorimetry-Data'!$B$4:$B$2948=$B25,IF('Fractional-Calorimetry-Data'!$J$4:$J$2853=100,'Fractional-Calorimetry-Data'!X$4:X$2948)))</f>
        <v>0.403436266097617</v>
      </c>
      <c r="K25" s="3" cm="1">
        <f t="array" ref="K25">_xlfn.STDEV.S(IF('Fractional-Calorimetry-Data'!$B$4:$B$2948=$B25,IF('Fractional-Calorimetry-Data'!$J$4:$J$2853=100,'Fractional-Calorimetry-Data'!Y$4:Y$2948)))</f>
        <v>15.9638295194949</v>
      </c>
      <c r="L25" s="3" cm="1">
        <f t="array" ref="L25">_xlfn.STDEV.S(IF('Fractional-Calorimetry-Data'!$B$4:$B$2948=$B25,IF('Fractional-Calorimetry-Data'!$J$4:$J$2853=100,'Fractional-Calorimetry-Data'!Z$4:Z$2948)))</f>
        <v>15.4255540092441</v>
      </c>
      <c r="M25" s="3" cm="1">
        <f t="array" ref="M25">_xlfn.STDEV.S(IF('Fractional-Calorimetry-Data'!$B$4:$B$2948=$B25,IF('Fractional-Calorimetry-Data'!$J$4:$J$2853=100,'Fractional-Calorimetry-Data'!AA$4:AA$2948)))</f>
        <v>1.07773367442763</v>
      </c>
      <c r="N25" s="3" cm="1">
        <f t="array" ref="N25">_xlfn.STDEV.S(IF('Fractional-Calorimetry-Data'!$B$4:$B$2948=$B25,IF('Fractional-Calorimetry-Data'!$J$4:$J$2853=100,'Fractional-Calorimetry-Data'!AB$4:AB$2948)))</f>
        <v>0.324095002595878</v>
      </c>
      <c r="O25" s="3" cm="1">
        <f t="array" ref="O25">_xlfn.STDEV.S(IF('Fractional-Calorimetry-Data'!$B$4:$B$2948=$B25,IF('Fractional-Calorimetry-Data'!$J$4:$J$2853=100,'Fractional-Calorimetry-Data'!AC$4:AC$2948)))</f>
        <v>0</v>
      </c>
      <c r="P25" s="3" cm="1">
        <f t="array" ref="P25">_xlfn.STDEV.S(IF('Fractional-Calorimetry-Data'!$B$4:$B$2948=$B25,IF('Fractional-Calorimetry-Data'!$J$4:$J$2853=100,'Fractional-Calorimetry-Data'!AD$4:AD$2948)))</f>
        <v>0.69533744865353</v>
      </c>
      <c r="Q25" s="3" cm="1">
        <f t="array" ref="Q25">_xlfn.STDEV.S(IF('Fractional-Calorimetry-Data'!$B$4:$B$2948=$B25,IF('Fractional-Calorimetry-Data'!$J$4:$J$2853=100,'Fractional-Calorimetry-Data'!AE$4:AE$2948)))</f>
        <v>0.873723138515731</v>
      </c>
      <c r="R25" s="3" cm="1">
        <f t="array" ref="R25">_xlfn.STDEV.S(IF('Fractional-Calorimetry-Data'!$B$4:$B$2948=$B25,IF('Fractional-Calorimetry-Data'!$J$4:$J$2853=100,'Fractional-Calorimetry-Data'!AF$4:AF$2948)))</f>
        <v>0</v>
      </c>
      <c r="S25" s="3" cm="1">
        <f t="array" ref="S25">_xlfn.STDEV.S(IF('Fractional-Calorimetry-Data'!$B$4:$B$2948=$B25,IF('Fractional-Calorimetry-Data'!$J$4:$J$2853=100,'Fractional-Calorimetry-Data'!AG$4:AG$2948)))</f>
        <v>72.2025639348759</v>
      </c>
      <c r="T25" s="3" cm="1">
        <f t="array" ref="T25">_xlfn.STDEV.S(IF('Fractional-Calorimetry-Data'!$B$4:$B$2948=$B25,IF('Fractional-Calorimetry-Data'!$J$4:$J$2853=100,'Fractional-Calorimetry-Data'!AH$4:AH$2948)))</f>
        <v>35.2744177010332</v>
      </c>
      <c r="U25" s="3" cm="1">
        <f t="array" ref="U25">_xlfn.STDEV.S(IF('Fractional-Calorimetry-Data'!$B$4:$B$2948=$B25,IF('Fractional-Calorimetry-Data'!$J$4:$J$2853=100,'Fractional-Calorimetry-Data'!AI$4:AI$2948)))</f>
        <v>29.4414459030442</v>
      </c>
      <c r="V25" s="3" cm="1">
        <f t="array" ref="V25">_xlfn.STDEV.S(IF('Fractional-Calorimetry-Data'!$B$4:$B$2948=$B25,IF('Fractional-Calorimetry-Data'!$J$4:$J$2853=100,'Fractional-Calorimetry-Data'!AJ$4:AJ$2948)))</f>
        <v>0</v>
      </c>
      <c r="W25" s="3" cm="1">
        <f t="array" ref="W25">_xlfn.STDEV.S(IF('Fractional-Calorimetry-Data'!$B$4:$B$2948=$B25,IF('Fractional-Calorimetry-Data'!$J$4:$J$2853=100,'Fractional-Calorimetry-Data'!AK$4:AK$2948)))</f>
        <v>81.2387680420484</v>
      </c>
      <c r="X25" s="3" cm="1">
        <f t="array" ref="X25">_xlfn.STDEV.S(IF('Fractional-Calorimetry-Data'!$B$4:$B$2948=$B25,IF('Fractional-Calorimetry-Data'!$J$4:$J$2853=100,'Fractional-Calorimetry-Data'!AL$4:AL$2948)))</f>
        <v>6.62047395857058</v>
      </c>
      <c r="Y25" s="3" cm="1">
        <f t="array" ref="Y25">_xlfn.STDEV.S(IF('Fractional-Calorimetry-Data'!$B$4:$B$2948=$B25,IF('Fractional-Calorimetry-Data'!$J$4:$J$2853=100,'Fractional-Calorimetry-Data'!AM$4:AM$2948)))</f>
        <v>4.8650585538614</v>
      </c>
      <c r="Z25" s="3" cm="1">
        <f t="array" ref="Z25">_xlfn.STDEV.S(IF('Fractional-Calorimetry-Data'!$B$4:$B$2948=$B25,IF('Fractional-Calorimetry-Data'!$J$4:$J$2853=100,'Fractional-Calorimetry-Data'!AN$4:AN$2948)))</f>
        <v>1.72969379732368</v>
      </c>
      <c r="AA25" s="3" cm="1">
        <f t="array" ref="AA25">_xlfn.STDEV.S(IF('Fractional-Calorimetry-Data'!$B$4:$B$2948=$B25,IF('Fractional-Calorimetry-Data'!$J$4:$J$2853=100,'Fractional-Calorimetry-Data'!AO$4:AO$2948)))</f>
        <v>0.681784536060412</v>
      </c>
      <c r="AB25" s="3" cm="1">
        <f t="array" ref="AB25">_xlfn.STDEV.S(IF('Fractional-Calorimetry-Data'!$B$4:$B$2948=$B25,IF('Fractional-Calorimetry-Data'!$J$4:$J$2853=100,'Fractional-Calorimetry-Data'!AP$4:AP$2948)))</f>
        <v>0.166720775383407</v>
      </c>
      <c r="AC25" s="3" cm="1">
        <f t="array" ref="AC25">_xlfn.STDEV.S(IF('Fractional-Calorimetry-Data'!$B$4:$B$2948=$B25,IF('Fractional-Calorimetry-Data'!$J$4:$J$2853=100,'Fractional-Calorimetry-Data'!AQ$4:AQ$2948)))</f>
        <v>0.114800763402417</v>
      </c>
      <c r="AD25" s="3" cm="1">
        <f t="array" ref="AD25">_xlfn.STDEV.S(IF('Fractional-Calorimetry-Data'!$B$4:$B$2948=$B25,IF('Fractional-Calorimetry-Data'!$J$4:$J$2853=100,'Fractional-Calorimetry-Data'!AR$4:AR$2948)))</f>
        <v>0.0395460174986053</v>
      </c>
      <c r="AE25" s="3" cm="1">
        <f t="array" ref="AE25">_xlfn.STDEV.S(IF('Fractional-Calorimetry-Data'!$B$4:$B$2948=$B25,IF('Fractional-Calorimetry-Data'!$J$4:$J$2853=100,'Fractional-Calorimetry-Data'!AS$4:AS$2948)))</f>
        <v>1.81129292633743</v>
      </c>
      <c r="AF25" s="3" cm="1">
        <f t="array" ref="AF25">_xlfn.STDEV.S(IF('Fractional-Calorimetry-Data'!$B$4:$B$2948=$B25,IF('Fractional-Calorimetry-Data'!$J$4:$J$2853=100,'Fractional-Calorimetry-Data'!AT$4:AT$2948)))</f>
        <v>6.67858007340964</v>
      </c>
      <c r="AG25" s="3" cm="1">
        <f t="array" ref="AG25">_xlfn.STDEV.S(IF('Fractional-Calorimetry-Data'!$B$4:$B$2948=$B25,IF('Fractional-Calorimetry-Data'!$J$4:$J$2853=100,'Fractional-Calorimetry-Data'!AU$4:AU$2948)))</f>
        <v>16.432363875931</v>
      </c>
    </row>
    <row r="26" spans="2:33">
      <c r="B26" s="13" t="s">
        <v>12</v>
      </c>
      <c r="C26" s="3" cm="1">
        <f t="array" ref="C26">_xlfn.STDEV.S(IF('Fractional-Calorimetry-Data'!$B$4:$B$2948=B26,IF('Fractional-Calorimetry-Data'!$J$4:$J2878=100,'Fractional-Calorimetry-Data'!$BE$4:$BE$2948)))</f>
        <v>0.104745648635667</v>
      </c>
      <c r="D26" s="3" cm="1">
        <f t="array" ref="D26">_xlfn.STDEV.S(IF('Fractional-Calorimetry-Data'!$B$4:$B$2948=$B26,IF('Fractional-Calorimetry-Data'!$J$4:$J$2853=100,'Fractional-Calorimetry-Data'!R$4:R$2948)))</f>
        <v>2.70162004695782</v>
      </c>
      <c r="E26" s="3" cm="1">
        <f t="array" ref="E26">_xlfn.STDEV.S(IF('Fractional-Calorimetry-Data'!$B$4:$B$2948=$B26,IF('Fractional-Calorimetry-Data'!$J$4:$J$2853=100,'Fractional-Calorimetry-Data'!S$4:S$2948)))</f>
        <v>0.00843046423826869</v>
      </c>
      <c r="F26" s="3" cm="1">
        <f t="array" ref="F26">_xlfn.STDEV.S(IF('Fractional-Calorimetry-Data'!$B$4:$B$2948=$B26,IF('Fractional-Calorimetry-Data'!$J$4:$J$2853=100,'Fractional-Calorimetry-Data'!T$4:T$2948)))</f>
        <v>3.10975505110722</v>
      </c>
      <c r="G26" s="3" cm="1">
        <f t="array" ref="G26">_xlfn.STDEV.S(IF('Fractional-Calorimetry-Data'!$B$4:$B$2948=$B26,IF('Fractional-Calorimetry-Data'!$J$4:$J$2853=100,'Fractional-Calorimetry-Data'!U$4:U$2948)))</f>
        <v>2.89035142845259</v>
      </c>
      <c r="H26" s="3" cm="1">
        <f t="array" ref="H26">_xlfn.STDEV.S(IF('Fractional-Calorimetry-Data'!$B$4:$B$2948=$B26,IF('Fractional-Calorimetry-Data'!$J$4:$J$2853=100,'Fractional-Calorimetry-Data'!V$4:V$2948)))</f>
        <v>3.08428704916875</v>
      </c>
      <c r="I26" s="3" cm="1">
        <f t="array" ref="I26">_xlfn.STDEV.S(IF('Fractional-Calorimetry-Data'!$B$4:$B$2948=$B26,IF('Fractional-Calorimetry-Data'!$J$4:$J$2853=100,'Fractional-Calorimetry-Data'!W$4:W$2948)))</f>
        <v>4.40356725889405</v>
      </c>
      <c r="J26" s="3" cm="1">
        <f t="array" ref="J26">_xlfn.STDEV.S(IF('Fractional-Calorimetry-Data'!$B$4:$B$2948=$B26,IF('Fractional-Calorimetry-Data'!$J$4:$J$2853=100,'Fractional-Calorimetry-Data'!X$4:X$2948)))</f>
        <v>0.358094477782544</v>
      </c>
      <c r="K26" s="3" cm="1">
        <f t="array" ref="K26">_xlfn.STDEV.S(IF('Fractional-Calorimetry-Data'!$B$4:$B$2948=$B26,IF('Fractional-Calorimetry-Data'!$J$4:$J$2853=100,'Fractional-Calorimetry-Data'!Y$4:Y$2948)))</f>
        <v>8.87119330730102</v>
      </c>
      <c r="L26" s="3" cm="1">
        <f t="array" ref="L26">_xlfn.STDEV.S(IF('Fractional-Calorimetry-Data'!$B$4:$B$2948=$B26,IF('Fractional-Calorimetry-Data'!$J$4:$J$2853=100,'Fractional-Calorimetry-Data'!Z$4:Z$2948)))</f>
        <v>8.52331612390449</v>
      </c>
      <c r="M26" s="3" cm="1">
        <f t="array" ref="M26">_xlfn.STDEV.S(IF('Fractional-Calorimetry-Data'!$B$4:$B$2948=$B26,IF('Fractional-Calorimetry-Data'!$J$4:$J$2853=100,'Fractional-Calorimetry-Data'!AA$4:AA$2948)))</f>
        <v>0.929607350831944</v>
      </c>
      <c r="N26" s="3" cm="1">
        <f t="array" ref="N26">_xlfn.STDEV.S(IF('Fractional-Calorimetry-Data'!$B$4:$B$2948=$B26,IF('Fractional-Calorimetry-Data'!$J$4:$J$2853=100,'Fractional-Calorimetry-Data'!AB$4:AB$2948)))</f>
        <v>0.392411212448134</v>
      </c>
      <c r="O26" s="3" cm="1">
        <f t="array" ref="O26">_xlfn.STDEV.S(IF('Fractional-Calorimetry-Data'!$B$4:$B$2948=$B26,IF('Fractional-Calorimetry-Data'!$J$4:$J$2853=100,'Fractional-Calorimetry-Data'!AC$4:AC$2948)))</f>
        <v>0</v>
      </c>
      <c r="P26" s="3" cm="1">
        <f t="array" ref="P26">_xlfn.STDEV.S(IF('Fractional-Calorimetry-Data'!$B$4:$B$2948=$B26,IF('Fractional-Calorimetry-Data'!$J$4:$J$2853=100,'Fractional-Calorimetry-Data'!AD$4:AD$2948)))</f>
        <v>0</v>
      </c>
      <c r="Q26" s="3" cm="1">
        <f t="array" ref="Q26">_xlfn.STDEV.S(IF('Fractional-Calorimetry-Data'!$B$4:$B$2948=$B26,IF('Fractional-Calorimetry-Data'!$J$4:$J$2853=100,'Fractional-Calorimetry-Data'!AE$4:AE$2948)))</f>
        <v>0</v>
      </c>
      <c r="R26" s="3" cm="1">
        <f t="array" ref="R26">_xlfn.STDEV.S(IF('Fractional-Calorimetry-Data'!$B$4:$B$2948=$B26,IF('Fractional-Calorimetry-Data'!$J$4:$J$2853=100,'Fractional-Calorimetry-Data'!AF$4:AF$2948)))</f>
        <v>0</v>
      </c>
      <c r="S26" s="3" cm="1">
        <f t="array" ref="S26">_xlfn.STDEV.S(IF('Fractional-Calorimetry-Data'!$B$4:$B$2948=$B26,IF('Fractional-Calorimetry-Data'!$J$4:$J$2853=100,'Fractional-Calorimetry-Data'!AG$4:AG$2948)))</f>
        <v>7.99319872500061</v>
      </c>
      <c r="T26" s="3" cm="1">
        <f t="array" ref="T26">_xlfn.STDEV.S(IF('Fractional-Calorimetry-Data'!$B$4:$B$2948=$B26,IF('Fractional-Calorimetry-Data'!$J$4:$J$2853=100,'Fractional-Calorimetry-Data'!AH$4:AH$2948)))</f>
        <v>25.0918998030348</v>
      </c>
      <c r="U26" s="3" cm="1">
        <f t="array" ref="U26">_xlfn.STDEV.S(IF('Fractional-Calorimetry-Data'!$B$4:$B$2948=$B26,IF('Fractional-Calorimetry-Data'!$J$4:$J$2853=100,'Fractional-Calorimetry-Data'!AI$4:AI$2948)))</f>
        <v>23.4196802034197</v>
      </c>
      <c r="V26" s="3" cm="1">
        <f t="array" ref="V26">_xlfn.STDEV.S(IF('Fractional-Calorimetry-Data'!$B$4:$B$2948=$B26,IF('Fractional-Calorimetry-Data'!$J$4:$J$2853=100,'Fractional-Calorimetry-Data'!AJ$4:AJ$2948)))</f>
        <v>0</v>
      </c>
      <c r="W26" s="3" cm="1">
        <f t="array" ref="W26">_xlfn.STDEV.S(IF('Fractional-Calorimetry-Data'!$B$4:$B$2948=$B26,IF('Fractional-Calorimetry-Data'!$J$4:$J$2853=100,'Fractional-Calorimetry-Data'!AK$4:AK$2948)))</f>
        <v>66.1475607370815</v>
      </c>
      <c r="X26" s="3" cm="1">
        <f t="array" ref="X26">_xlfn.STDEV.S(IF('Fractional-Calorimetry-Data'!$B$4:$B$2948=$B26,IF('Fractional-Calorimetry-Data'!$J$4:$J$2853=100,'Fractional-Calorimetry-Data'!AL$4:AL$2948)))</f>
        <v>2.21929554175111</v>
      </c>
      <c r="Y26" s="3" cm="1">
        <f t="array" ref="Y26">_xlfn.STDEV.S(IF('Fractional-Calorimetry-Data'!$B$4:$B$2948=$B26,IF('Fractional-Calorimetry-Data'!$J$4:$J$2853=100,'Fractional-Calorimetry-Data'!AM$4:AM$2948)))</f>
        <v>4.23062489216213</v>
      </c>
      <c r="Z26" s="3" cm="1">
        <f t="array" ref="Z26">_xlfn.STDEV.S(IF('Fractional-Calorimetry-Data'!$B$4:$B$2948=$B26,IF('Fractional-Calorimetry-Data'!$J$4:$J$2853=100,'Fractional-Calorimetry-Data'!AN$4:AN$2948)))</f>
        <v>1.49030002574222</v>
      </c>
      <c r="AA26" s="3" cm="1">
        <f t="array" ref="AA26">_xlfn.STDEV.S(IF('Fractional-Calorimetry-Data'!$B$4:$B$2948=$B26,IF('Fractional-Calorimetry-Data'!$J$4:$J$2853=100,'Fractional-Calorimetry-Data'!AO$4:AO$2948)))</f>
        <v>0.649064258900317</v>
      </c>
      <c r="AB26" s="3" cm="1">
        <f t="array" ref="AB26">_xlfn.STDEV.S(IF('Fractional-Calorimetry-Data'!$B$4:$B$2948=$B26,IF('Fractional-Calorimetry-Data'!$J$4:$J$2853=100,'Fractional-Calorimetry-Data'!AP$4:AP$2948)))</f>
        <v>0.314009051114483</v>
      </c>
      <c r="AC26" s="3" cm="1">
        <f t="array" ref="AC26">_xlfn.STDEV.S(IF('Fractional-Calorimetry-Data'!$B$4:$B$2948=$B26,IF('Fractional-Calorimetry-Data'!$J$4:$J$2853=100,'Fractional-Calorimetry-Data'!AQ$4:AQ$2948)))</f>
        <v>0.737280198370396</v>
      </c>
      <c r="AD26" s="3" cm="1">
        <f t="array" ref="AD26">_xlfn.STDEV.S(IF('Fractional-Calorimetry-Data'!$B$4:$B$2948=$B26,IF('Fractional-Calorimetry-Data'!$J$4:$J$2853=100,'Fractional-Calorimetry-Data'!AR$4:AR$2948)))</f>
        <v>0.0464689143406643</v>
      </c>
      <c r="AE26" s="3" cm="1">
        <f t="array" ref="AE26">_xlfn.STDEV.S(IF('Fractional-Calorimetry-Data'!$B$4:$B$2948=$B26,IF('Fractional-Calorimetry-Data'!$J$4:$J$2853=100,'Fractional-Calorimetry-Data'!AS$4:AS$2948)))</f>
        <v>3.97311565005693</v>
      </c>
      <c r="AF26" s="3" cm="1">
        <f t="array" ref="AF26">_xlfn.STDEV.S(IF('Fractional-Calorimetry-Data'!$B$4:$B$2948=$B26,IF('Fractional-Calorimetry-Data'!$J$4:$J$2853=100,'Fractional-Calorimetry-Data'!AT$4:AT$2948)))</f>
        <v>2.22446377959434</v>
      </c>
      <c r="AG26" s="3" cm="1">
        <f t="array" ref="AG26">_xlfn.STDEV.S(IF('Fractional-Calorimetry-Data'!$B$4:$B$2948=$B26,IF('Fractional-Calorimetry-Data'!$J$4:$J$2853=100,'Fractional-Calorimetry-Data'!AU$4:AU$2948)))</f>
        <v>5.65205510271316</v>
      </c>
    </row>
    <row r="27" spans="2:33">
      <c r="B27" s="13" t="s">
        <v>14</v>
      </c>
      <c r="C27" s="3" cm="1">
        <f t="array" ref="C27">_xlfn.STDEV.S(IF('Fractional-Calorimetry-Data'!$B$4:$B$2948=B27,IF('Fractional-Calorimetry-Data'!$J$4:$J2879=100,'Fractional-Calorimetry-Data'!$BE$4:$BE$2948)))</f>
        <v>0.191184492207449</v>
      </c>
      <c r="D27" s="3" cm="1">
        <f t="array" ref="D27">_xlfn.STDEV.S(IF('Fractional-Calorimetry-Data'!$B$4:$B$2948=$B27,IF('Fractional-Calorimetry-Data'!$J$4:$J$2853=100,'Fractional-Calorimetry-Data'!R$4:R$2948)))</f>
        <v>3.73440070738489</v>
      </c>
      <c r="E27" s="3" cm="1">
        <f t="array" ref="E27">_xlfn.STDEV.S(IF('Fractional-Calorimetry-Data'!$B$4:$B$2948=$B27,IF('Fractional-Calorimetry-Data'!$J$4:$J$2853=100,'Fractional-Calorimetry-Data'!S$4:S$2948)))</f>
        <v>0.00562138772902207</v>
      </c>
      <c r="F27" s="3" cm="1">
        <f t="array" ref="F27">_xlfn.STDEV.S(IF('Fractional-Calorimetry-Data'!$B$4:$B$2948=$B27,IF('Fractional-Calorimetry-Data'!$J$4:$J$2853=100,'Fractional-Calorimetry-Data'!T$4:T$2948)))</f>
        <v>5.23671107452675</v>
      </c>
      <c r="G27" s="3" cm="1">
        <f t="array" ref="G27">_xlfn.STDEV.S(IF('Fractional-Calorimetry-Data'!$B$4:$B$2948=$B27,IF('Fractional-Calorimetry-Data'!$J$4:$J$2853=100,'Fractional-Calorimetry-Data'!U$4:U$2948)))</f>
        <v>5.27554487797237</v>
      </c>
      <c r="H27" s="3" cm="1">
        <f t="array" ref="H27">_xlfn.STDEV.S(IF('Fractional-Calorimetry-Data'!$B$4:$B$2948=$B27,IF('Fractional-Calorimetry-Data'!$J$4:$J$2853=100,'Fractional-Calorimetry-Data'!V$4:V$2948)))</f>
        <v>4.4679487187263</v>
      </c>
      <c r="I27" s="3" cm="1">
        <f t="array" ref="I27">_xlfn.STDEV.S(IF('Fractional-Calorimetry-Data'!$B$4:$B$2948=$B27,IF('Fractional-Calorimetry-Data'!$J$4:$J$2853=100,'Fractional-Calorimetry-Data'!W$4:W$2948)))</f>
        <v>5.97384283692178</v>
      </c>
      <c r="J27" s="3" cm="1">
        <f t="array" ref="J27">_xlfn.STDEV.S(IF('Fractional-Calorimetry-Data'!$B$4:$B$2948=$B27,IF('Fractional-Calorimetry-Data'!$J$4:$J$2853=100,'Fractional-Calorimetry-Data'!X$4:X$2948)))</f>
        <v>0.502236878107891</v>
      </c>
      <c r="K27" s="3" cm="1">
        <f t="array" ref="K27">_xlfn.STDEV.S(IF('Fractional-Calorimetry-Data'!$B$4:$B$2948=$B27,IF('Fractional-Calorimetry-Data'!$J$4:$J$2853=100,'Fractional-Calorimetry-Data'!Y$4:Y$2948)))</f>
        <v>14.2877786552146</v>
      </c>
      <c r="L27" s="3" cm="1">
        <f t="array" ref="L27">_xlfn.STDEV.S(IF('Fractional-Calorimetry-Data'!$B$4:$B$2948=$B27,IF('Fractional-Calorimetry-Data'!$J$4:$J$2853=100,'Fractional-Calorimetry-Data'!Z$4:Z$2948)))</f>
        <v>13.9864050971296</v>
      </c>
      <c r="M27" s="3" cm="1">
        <f t="array" ref="M27">_xlfn.STDEV.S(IF('Fractional-Calorimetry-Data'!$B$4:$B$2948=$B27,IF('Fractional-Calorimetry-Data'!$J$4:$J$2853=100,'Fractional-Calorimetry-Data'!AA$4:AA$2948)))</f>
        <v>1.58783397508295</v>
      </c>
      <c r="N27" s="3" cm="1">
        <f t="array" ref="N27">_xlfn.STDEV.S(IF('Fractional-Calorimetry-Data'!$B$4:$B$2948=$B27,IF('Fractional-Calorimetry-Data'!$J$4:$J$2853=100,'Fractional-Calorimetry-Data'!AB$4:AB$2948)))</f>
        <v>0.335747756152239</v>
      </c>
      <c r="O27" s="3" cm="1">
        <f t="array" ref="O27">_xlfn.STDEV.S(IF('Fractional-Calorimetry-Data'!$B$4:$B$2948=$B27,IF('Fractional-Calorimetry-Data'!$J$4:$J$2853=100,'Fractional-Calorimetry-Data'!AC$4:AC$2948)))</f>
        <v>0</v>
      </c>
      <c r="P27" s="3" cm="1">
        <f t="array" ref="P27">_xlfn.STDEV.S(IF('Fractional-Calorimetry-Data'!$B$4:$B$2948=$B27,IF('Fractional-Calorimetry-Data'!$J$4:$J$2853=100,'Fractional-Calorimetry-Data'!AD$4:AD$2948)))</f>
        <v>1.79469734050062</v>
      </c>
      <c r="Q27" s="3" cm="1">
        <f t="array" ref="Q27">_xlfn.STDEV.S(IF('Fractional-Calorimetry-Data'!$B$4:$B$2948=$B27,IF('Fractional-Calorimetry-Data'!$J$4:$J$2853=100,'Fractional-Calorimetry-Data'!AE$4:AE$2948)))</f>
        <v>1.18480004965676</v>
      </c>
      <c r="R27" s="3" cm="1">
        <f t="array" ref="R27">_xlfn.STDEV.S(IF('Fractional-Calorimetry-Data'!$B$4:$B$2948=$B27,IF('Fractional-Calorimetry-Data'!$J$4:$J$2853=100,'Fractional-Calorimetry-Data'!AF$4:AF$2948)))</f>
        <v>0</v>
      </c>
      <c r="S27" s="3" cm="1">
        <f t="array" ref="S27">_xlfn.STDEV.S(IF('Fractional-Calorimetry-Data'!$B$4:$B$2948=$B27,IF('Fractional-Calorimetry-Data'!$J$4:$J$2853=100,'Fractional-Calorimetry-Data'!AG$4:AG$2948)))</f>
        <v>3.49598659117918</v>
      </c>
      <c r="T27" s="3" cm="1">
        <f t="array" ref="T27">_xlfn.STDEV.S(IF('Fractional-Calorimetry-Data'!$B$4:$B$2948=$B27,IF('Fractional-Calorimetry-Data'!$J$4:$J$2853=100,'Fractional-Calorimetry-Data'!AH$4:AH$2948)))</f>
        <v>39.4610820395825</v>
      </c>
      <c r="U27" s="3" cm="1">
        <f t="array" ref="U27">_xlfn.STDEV.S(IF('Fractional-Calorimetry-Data'!$B$4:$B$2948=$B27,IF('Fractional-Calorimetry-Data'!$J$4:$J$2853=100,'Fractional-Calorimetry-Data'!AI$4:AI$2948)))</f>
        <v>26.2701298819428</v>
      </c>
      <c r="V27" s="3" cm="1">
        <f t="array" ref="V27">_xlfn.STDEV.S(IF('Fractional-Calorimetry-Data'!$B$4:$B$2948=$B27,IF('Fractional-Calorimetry-Data'!$J$4:$J$2853=100,'Fractional-Calorimetry-Data'!AJ$4:AJ$2948)))</f>
        <v>0</v>
      </c>
      <c r="W27" s="3" cm="1">
        <f t="array" ref="W27">_xlfn.STDEV.S(IF('Fractional-Calorimetry-Data'!$B$4:$B$2948=$B27,IF('Fractional-Calorimetry-Data'!$J$4:$J$2853=100,'Fractional-Calorimetry-Data'!AK$4:AK$2948)))</f>
        <v>95.2410481005001</v>
      </c>
      <c r="X27" s="3" cm="1">
        <f t="array" ref="X27">_xlfn.STDEV.S(IF('Fractional-Calorimetry-Data'!$B$4:$B$2948=$B27,IF('Fractional-Calorimetry-Data'!$J$4:$J$2853=100,'Fractional-Calorimetry-Data'!AL$4:AL$2948)))</f>
        <v>5.58151472869746</v>
      </c>
      <c r="Y27" s="3" cm="1">
        <f t="array" ref="Y27">_xlfn.STDEV.S(IF('Fractional-Calorimetry-Data'!$B$4:$B$2948=$B27,IF('Fractional-Calorimetry-Data'!$J$4:$J$2853=100,'Fractional-Calorimetry-Data'!AM$4:AM$2948)))</f>
        <v>4.82440635380838</v>
      </c>
      <c r="Z27" s="3" cm="1">
        <f t="array" ref="Z27">_xlfn.STDEV.S(IF('Fractional-Calorimetry-Data'!$B$4:$B$2948=$B27,IF('Fractional-Calorimetry-Data'!$J$4:$J$2853=100,'Fractional-Calorimetry-Data'!AN$4:AN$2948)))</f>
        <v>1.98827982604729</v>
      </c>
      <c r="AA27" s="3" cm="1">
        <f t="array" ref="AA27">_xlfn.STDEV.S(IF('Fractional-Calorimetry-Data'!$B$4:$B$2948=$B27,IF('Fractional-Calorimetry-Data'!$J$4:$J$2853=100,'Fractional-Calorimetry-Data'!AO$4:AO$2948)))</f>
        <v>0.678963150693762</v>
      </c>
      <c r="AB27" s="3" cm="1">
        <f t="array" ref="AB27">_xlfn.STDEV.S(IF('Fractional-Calorimetry-Data'!$B$4:$B$2948=$B27,IF('Fractional-Calorimetry-Data'!$J$4:$J$2853=100,'Fractional-Calorimetry-Data'!AP$4:AP$2948)))</f>
        <v>0.0408248290463863</v>
      </c>
      <c r="AC27" s="3" cm="1">
        <f t="array" ref="AC27">_xlfn.STDEV.S(IF('Fractional-Calorimetry-Data'!$B$4:$B$2948=$B27,IF('Fractional-Calorimetry-Data'!$J$4:$J$2853=100,'Fractional-Calorimetry-Data'!AQ$4:AQ$2948)))</f>
        <v>0.00408248290463863</v>
      </c>
      <c r="AD27" s="3" cm="1">
        <f t="array" ref="AD27">_xlfn.STDEV.S(IF('Fractional-Calorimetry-Data'!$B$4:$B$2948=$B27,IF('Fractional-Calorimetry-Data'!$J$4:$J$2853=100,'Fractional-Calorimetry-Data'!AR$4:AR$2948)))</f>
        <v>0</v>
      </c>
      <c r="AE27" s="3" cm="1">
        <f t="array" ref="AE27">_xlfn.STDEV.S(IF('Fractional-Calorimetry-Data'!$B$4:$B$2948=$B27,IF('Fractional-Calorimetry-Data'!$J$4:$J$2853=100,'Fractional-Calorimetry-Data'!AS$4:AS$2948)))</f>
        <v>1.90443786876862</v>
      </c>
      <c r="AF27" s="3" cm="1">
        <f t="array" ref="AF27">_xlfn.STDEV.S(IF('Fractional-Calorimetry-Data'!$B$4:$B$2948=$B27,IF('Fractional-Calorimetry-Data'!$J$4:$J$2853=100,'Fractional-Calorimetry-Data'!AT$4:AT$2948)))</f>
        <v>5.53766742723566</v>
      </c>
      <c r="AG27" s="3" cm="1">
        <f t="array" ref="AG27">_xlfn.STDEV.S(IF('Fractional-Calorimetry-Data'!$B$4:$B$2948=$B27,IF('Fractional-Calorimetry-Data'!$J$4:$J$2853=100,'Fractional-Calorimetry-Data'!AU$4:AU$2948)))</f>
        <v>14.2596904490717</v>
      </c>
    </row>
    <row r="28" spans="2:33">
      <c r="B28" s="13" t="s">
        <v>16</v>
      </c>
      <c r="C28" s="3" cm="1">
        <f t="array" ref="C28">_xlfn.STDEV.S(IF('Fractional-Calorimetry-Data'!$B$4:$B$2948=B28,IF('Fractional-Calorimetry-Data'!$J$4:$J2880=100,'Fractional-Calorimetry-Data'!$BE$4:$BE$2948)))</f>
        <v>0.16507945765742</v>
      </c>
      <c r="D28" s="3" cm="1">
        <f t="array" ref="D28">_xlfn.STDEV.S(IF('Fractional-Calorimetry-Data'!$B$4:$B$2948=$B28,IF('Fractional-Calorimetry-Data'!$J$4:$J$2853=100,'Fractional-Calorimetry-Data'!R$4:R$2948)))</f>
        <v>4.83778315624217</v>
      </c>
      <c r="E28" s="3" cm="1">
        <f t="array" ref="E28">_xlfn.STDEV.S(IF('Fractional-Calorimetry-Data'!$B$4:$B$2948=$B28,IF('Fractional-Calorimetry-Data'!$J$4:$J$2853=100,'Fractional-Calorimetry-Data'!S$4:S$2948)))</f>
        <v>0.00966953980290685</v>
      </c>
      <c r="F28" s="3" cm="1">
        <f t="array" ref="F28">_xlfn.STDEV.S(IF('Fractional-Calorimetry-Data'!$B$4:$B$2948=$B28,IF('Fractional-Calorimetry-Data'!$J$4:$J$2853=100,'Fractional-Calorimetry-Data'!T$4:T$2948)))</f>
        <v>4.42766923764501</v>
      </c>
      <c r="G28" s="3" cm="1">
        <f t="array" ref="G28">_xlfn.STDEV.S(IF('Fractional-Calorimetry-Data'!$B$4:$B$2948=$B28,IF('Fractional-Calorimetry-Data'!$J$4:$J$2853=100,'Fractional-Calorimetry-Data'!U$4:U$2948)))</f>
        <v>4.55520255459884</v>
      </c>
      <c r="H28" s="3" cm="1">
        <f t="array" ref="H28">_xlfn.STDEV.S(IF('Fractional-Calorimetry-Data'!$B$4:$B$2948=$B28,IF('Fractional-Calorimetry-Data'!$J$4:$J$2853=100,'Fractional-Calorimetry-Data'!V$4:V$2948)))</f>
        <v>5.31282409774196</v>
      </c>
      <c r="I28" s="3" cm="1">
        <f t="array" ref="I28">_xlfn.STDEV.S(IF('Fractional-Calorimetry-Data'!$B$4:$B$2948=$B28,IF('Fractional-Calorimetry-Data'!$J$4:$J$2853=100,'Fractional-Calorimetry-Data'!W$4:W$2948)))</f>
        <v>5.24655912661159</v>
      </c>
      <c r="J28" s="3" cm="1">
        <f t="array" ref="J28">_xlfn.STDEV.S(IF('Fractional-Calorimetry-Data'!$B$4:$B$2948=$B28,IF('Fractional-Calorimetry-Data'!$J$4:$J$2853=100,'Fractional-Calorimetry-Data'!X$4:X$2948)))</f>
        <v>0.206588982274128</v>
      </c>
      <c r="K28" s="3" cm="1">
        <f t="array" ref="K28">_xlfn.STDEV.S(IF('Fractional-Calorimetry-Data'!$B$4:$B$2948=$B28,IF('Fractional-Calorimetry-Data'!$J$4:$J$2853=100,'Fractional-Calorimetry-Data'!Y$4:Y$2948)))</f>
        <v>15.8158907519334</v>
      </c>
      <c r="L28" s="3" cm="1">
        <f t="array" ref="L28">_xlfn.STDEV.S(IF('Fractional-Calorimetry-Data'!$B$4:$B$2948=$B28,IF('Fractional-Calorimetry-Data'!$J$4:$J$2853=100,'Fractional-Calorimetry-Data'!Z$4:Z$2948)))</f>
        <v>15.4296364415365</v>
      </c>
      <c r="M28" s="3" cm="1">
        <f t="array" ref="M28">_xlfn.STDEV.S(IF('Fractional-Calorimetry-Data'!$B$4:$B$2948=$B28,IF('Fractional-Calorimetry-Data'!$J$4:$J$2853=100,'Fractional-Calorimetry-Data'!AA$4:AA$2948)))</f>
        <v>0.749186127530359</v>
      </c>
      <c r="N28" s="3" cm="1">
        <f t="array" ref="N28">_xlfn.STDEV.S(IF('Fractional-Calorimetry-Data'!$B$4:$B$2948=$B28,IF('Fractional-Calorimetry-Data'!$J$4:$J$2853=100,'Fractional-Calorimetry-Data'!AB$4:AB$2948)))</f>
        <v>0.572897814476993</v>
      </c>
      <c r="O28" s="3" cm="1">
        <f t="array" ref="O28">_xlfn.STDEV.S(IF('Fractional-Calorimetry-Data'!$B$4:$B$2948=$B28,IF('Fractional-Calorimetry-Data'!$J$4:$J$2853=100,'Fractional-Calorimetry-Data'!AC$4:AC$2948)))</f>
        <v>0</v>
      </c>
      <c r="P28" s="3" cm="1">
        <f t="array" ref="P28">_xlfn.STDEV.S(IF('Fractional-Calorimetry-Data'!$B$4:$B$2948=$B28,IF('Fractional-Calorimetry-Data'!$J$4:$J$2853=100,'Fractional-Calorimetry-Data'!AD$4:AD$2948)))</f>
        <v>0</v>
      </c>
      <c r="Q28" s="3" cm="1">
        <f t="array" ref="Q28">_xlfn.STDEV.S(IF('Fractional-Calorimetry-Data'!$B$4:$B$2948=$B28,IF('Fractional-Calorimetry-Data'!$J$4:$J$2853=100,'Fractional-Calorimetry-Data'!AE$4:AE$2948)))</f>
        <v>0</v>
      </c>
      <c r="R28" s="3" cm="1">
        <f t="array" ref="R28">_xlfn.STDEV.S(IF('Fractional-Calorimetry-Data'!$B$4:$B$2948=$B28,IF('Fractional-Calorimetry-Data'!$J$4:$J$2853=100,'Fractional-Calorimetry-Data'!AF$4:AF$2948)))</f>
        <v>0</v>
      </c>
      <c r="S28" s="3" cm="1">
        <f t="array" ref="S28">_xlfn.STDEV.S(IF('Fractional-Calorimetry-Data'!$B$4:$B$2948=$B28,IF('Fractional-Calorimetry-Data'!$J$4:$J$2853=100,'Fractional-Calorimetry-Data'!AG$4:AG$2948)))</f>
        <v>1.96424879237358</v>
      </c>
      <c r="T28" s="3" cm="1">
        <f t="array" ref="T28">_xlfn.STDEV.S(IF('Fractional-Calorimetry-Data'!$B$4:$B$2948=$B28,IF('Fractional-Calorimetry-Data'!$J$4:$J$2853=100,'Fractional-Calorimetry-Data'!AH$4:AH$2948)))</f>
        <v>39.1184842299775</v>
      </c>
      <c r="U28" s="3" cm="1">
        <f t="array" ref="U28">_xlfn.STDEV.S(IF('Fractional-Calorimetry-Data'!$B$4:$B$2948=$B28,IF('Fractional-Calorimetry-Data'!$J$4:$J$2853=100,'Fractional-Calorimetry-Data'!AI$4:AI$2948)))</f>
        <v>37.4309142340599</v>
      </c>
      <c r="V28" s="3" cm="1">
        <f t="array" ref="V28">_xlfn.STDEV.S(IF('Fractional-Calorimetry-Data'!$B$4:$B$2948=$B28,IF('Fractional-Calorimetry-Data'!$J$4:$J$2853=100,'Fractional-Calorimetry-Data'!AJ$4:AJ$2948)))</f>
        <v>0</v>
      </c>
      <c r="W28" s="3" cm="1">
        <f t="array" ref="W28">_xlfn.STDEV.S(IF('Fractional-Calorimetry-Data'!$B$4:$B$2948=$B28,IF('Fractional-Calorimetry-Data'!$J$4:$J$2853=100,'Fractional-Calorimetry-Data'!AK$4:AK$2948)))</f>
        <v>99.5174207662268</v>
      </c>
      <c r="X28" s="3" cm="1">
        <f t="array" ref="X28">_xlfn.STDEV.S(IF('Fractional-Calorimetry-Data'!$B$4:$B$2948=$B28,IF('Fractional-Calorimetry-Data'!$J$4:$J$2853=100,'Fractional-Calorimetry-Data'!AL$4:AL$2948)))</f>
        <v>7.97388097338917</v>
      </c>
      <c r="Y28" s="3" cm="1">
        <f t="array" ref="Y28">_xlfn.STDEV.S(IF('Fractional-Calorimetry-Data'!$B$4:$B$2948=$B28,IF('Fractional-Calorimetry-Data'!$J$4:$J$2853=100,'Fractional-Calorimetry-Data'!AM$4:AM$2948)))</f>
        <v>6.62012923673784</v>
      </c>
      <c r="Z28" s="3" cm="1">
        <f t="array" ref="Z28">_xlfn.STDEV.S(IF('Fractional-Calorimetry-Data'!$B$4:$B$2948=$B28,IF('Fractional-Calorimetry-Data'!$J$4:$J$2853=100,'Fractional-Calorimetry-Data'!AN$4:AN$2948)))</f>
        <v>1.87690643820564</v>
      </c>
      <c r="AA28" s="3" cm="1">
        <f t="array" ref="AA28">_xlfn.STDEV.S(IF('Fractional-Calorimetry-Data'!$B$4:$B$2948=$B28,IF('Fractional-Calorimetry-Data'!$J$4:$J$2853=100,'Fractional-Calorimetry-Data'!AO$4:AO$2948)))</f>
        <v>1.4790199457749</v>
      </c>
      <c r="AB28" s="3" cm="1">
        <f t="array" ref="AB28">_xlfn.STDEV.S(IF('Fractional-Calorimetry-Data'!$B$4:$B$2948=$B28,IF('Fractional-Calorimetry-Data'!$J$4:$J$2853=100,'Fractional-Calorimetry-Data'!AP$4:AP$2948)))</f>
        <v>0.0881917103688197</v>
      </c>
      <c r="AC28" s="3" cm="1">
        <f t="array" ref="AC28">_xlfn.STDEV.S(IF('Fractional-Calorimetry-Data'!$B$4:$B$2948=$B28,IF('Fractional-Calorimetry-Data'!$J$4:$J$2853=100,'Fractional-Calorimetry-Data'!AQ$4:AQ$2948)))</f>
        <v>0</v>
      </c>
      <c r="AD28" s="3" cm="1">
        <f t="array" ref="AD28">_xlfn.STDEV.S(IF('Fractional-Calorimetry-Data'!$B$4:$B$2948=$B28,IF('Fractional-Calorimetry-Data'!$J$4:$J$2853=100,'Fractional-Calorimetry-Data'!AR$4:AR$2948)))</f>
        <v>0</v>
      </c>
      <c r="AE28" s="3" cm="1">
        <f t="array" ref="AE28">_xlfn.STDEV.S(IF('Fractional-Calorimetry-Data'!$B$4:$B$2948=$B28,IF('Fractional-Calorimetry-Data'!$J$4:$J$2853=100,'Fractional-Calorimetry-Data'!AS$4:AS$2948)))</f>
        <v>2.00895594304881</v>
      </c>
      <c r="AF28" s="3" cm="1">
        <f t="array" ref="AF28">_xlfn.STDEV.S(IF('Fractional-Calorimetry-Data'!$B$4:$B$2948=$B28,IF('Fractional-Calorimetry-Data'!$J$4:$J$2853=100,'Fractional-Calorimetry-Data'!AT$4:AT$2948)))</f>
        <v>7.93780798758562</v>
      </c>
      <c r="AG28" s="3" cm="1">
        <f t="array" ref="AG28">_xlfn.STDEV.S(IF('Fractional-Calorimetry-Data'!$B$4:$B$2948=$B28,IF('Fractional-Calorimetry-Data'!$J$4:$J$2853=100,'Fractional-Calorimetry-Data'!AU$4:AU$2948)))</f>
        <v>19.2856957382083</v>
      </c>
    </row>
    <row r="29" spans="2:33">
      <c r="B29" s="13" t="s">
        <v>18</v>
      </c>
      <c r="C29" s="3" cm="1">
        <f t="array" ref="C29">_xlfn.STDEV.S(IF('Fractional-Calorimetry-Data'!$B$4:$B$2948=B29,IF('Fractional-Calorimetry-Data'!$J$4:$J2881=100,'Fractional-Calorimetry-Data'!$BE$4:$BE$2948)))</f>
        <v>0.0939875254110726</v>
      </c>
      <c r="D29" s="3" cm="1">
        <f t="array" ref="D29">_xlfn.STDEV.S(IF('Fractional-Calorimetry-Data'!$B$4:$B$2948=$B29,IF('Fractional-Calorimetry-Data'!$J$4:$J$2853=100,'Fractional-Calorimetry-Data'!R$4:R$2948)))</f>
        <v>3.87173275894647</v>
      </c>
      <c r="E29" s="3" cm="1">
        <f t="array" ref="E29">_xlfn.STDEV.S(IF('Fractional-Calorimetry-Data'!$B$4:$B$2948=$B29,IF('Fractional-Calorimetry-Data'!$J$4:$J$2853=100,'Fractional-Calorimetry-Data'!S$4:S$2948)))</f>
        <v>0.00798122797569396</v>
      </c>
      <c r="F29" s="3" cm="1">
        <f t="array" ref="F29">_xlfn.STDEV.S(IF('Fractional-Calorimetry-Data'!$B$4:$B$2948=$B29,IF('Fractional-Calorimetry-Data'!$J$4:$J$2853=100,'Fractional-Calorimetry-Data'!T$4:T$2948)))</f>
        <v>2.84422650556875</v>
      </c>
      <c r="G29" s="3" cm="1">
        <f t="array" ref="G29">_xlfn.STDEV.S(IF('Fractional-Calorimetry-Data'!$B$4:$B$2948=$B29,IF('Fractional-Calorimetry-Data'!$J$4:$J$2853=100,'Fractional-Calorimetry-Data'!U$4:U$2948)))</f>
        <v>2.59349177619314</v>
      </c>
      <c r="H29" s="3" cm="1">
        <f t="array" ref="H29">_xlfn.STDEV.S(IF('Fractional-Calorimetry-Data'!$B$4:$B$2948=$B29,IF('Fractional-Calorimetry-Data'!$J$4:$J$2853=100,'Fractional-Calorimetry-Data'!V$4:V$2948)))</f>
        <v>7.22364365421764</v>
      </c>
      <c r="I29" s="3" cm="1">
        <f t="array" ref="I29">_xlfn.STDEV.S(IF('Fractional-Calorimetry-Data'!$B$4:$B$2948=$B29,IF('Fractional-Calorimetry-Data'!$J$4:$J$2853=100,'Fractional-Calorimetry-Data'!W$4:W$2948)))</f>
        <v>4.59495322231318</v>
      </c>
      <c r="J29" s="3" cm="1">
        <f t="array" ref="J29">_xlfn.STDEV.S(IF('Fractional-Calorimetry-Data'!$B$4:$B$2948=$B29,IF('Fractional-Calorimetry-Data'!$J$4:$J$2853=100,'Fractional-Calorimetry-Data'!X$4:X$2948)))</f>
        <v>0.415132135177348</v>
      </c>
      <c r="K29" s="3" cm="1">
        <f t="array" ref="K29">_xlfn.STDEV.S(IF('Fractional-Calorimetry-Data'!$B$4:$B$2948=$B29,IF('Fractional-Calorimetry-Data'!$J$4:$J$2853=100,'Fractional-Calorimetry-Data'!Y$4:Y$2948)))</f>
        <v>21.556966529333</v>
      </c>
      <c r="L29" s="3" cm="1">
        <f t="array" ref="L29">_xlfn.STDEV.S(IF('Fractional-Calorimetry-Data'!$B$4:$B$2948=$B29,IF('Fractional-Calorimetry-Data'!$J$4:$J$2853=100,'Fractional-Calorimetry-Data'!Z$4:Z$2948)))</f>
        <v>20.6291334640867</v>
      </c>
      <c r="M29" s="3" cm="1">
        <f t="array" ref="M29">_xlfn.STDEV.S(IF('Fractional-Calorimetry-Data'!$B$4:$B$2948=$B29,IF('Fractional-Calorimetry-Data'!$J$4:$J$2853=100,'Fractional-Calorimetry-Data'!AA$4:AA$2948)))</f>
        <v>1.60308241762474</v>
      </c>
      <c r="N29" s="3" cm="1">
        <f t="array" ref="N29">_xlfn.STDEV.S(IF('Fractional-Calorimetry-Data'!$B$4:$B$2948=$B29,IF('Fractional-Calorimetry-Data'!$J$4:$J$2853=100,'Fractional-Calorimetry-Data'!AB$4:AB$2948)))</f>
        <v>0.336336862718916</v>
      </c>
      <c r="O29" s="3" cm="1">
        <f t="array" ref="O29">_xlfn.STDEV.S(IF('Fractional-Calorimetry-Data'!$B$4:$B$2948=$B29,IF('Fractional-Calorimetry-Data'!$J$4:$J$2853=100,'Fractional-Calorimetry-Data'!AC$4:AC$2948)))</f>
        <v>0</v>
      </c>
      <c r="P29" s="3" cm="1">
        <f t="array" ref="P29">_xlfn.STDEV.S(IF('Fractional-Calorimetry-Data'!$B$4:$B$2948=$B29,IF('Fractional-Calorimetry-Data'!$J$4:$J$2853=100,'Fractional-Calorimetry-Data'!AD$4:AD$2948)))</f>
        <v>0</v>
      </c>
      <c r="Q29" s="3" cm="1">
        <f t="array" ref="Q29">_xlfn.STDEV.S(IF('Fractional-Calorimetry-Data'!$B$4:$B$2948=$B29,IF('Fractional-Calorimetry-Data'!$J$4:$J$2853=100,'Fractional-Calorimetry-Data'!AE$4:AE$2948)))</f>
        <v>0</v>
      </c>
      <c r="R29" s="3" cm="1">
        <f t="array" ref="R29">_xlfn.STDEV.S(IF('Fractional-Calorimetry-Data'!$B$4:$B$2948=$B29,IF('Fractional-Calorimetry-Data'!$J$4:$J$2853=100,'Fractional-Calorimetry-Data'!AF$4:AF$2948)))</f>
        <v>0</v>
      </c>
      <c r="S29" s="3" cm="1">
        <f t="array" ref="S29">_xlfn.STDEV.S(IF('Fractional-Calorimetry-Data'!$B$4:$B$2948=$B29,IF('Fractional-Calorimetry-Data'!$J$4:$J$2853=100,'Fractional-Calorimetry-Data'!AG$4:AG$2948)))</f>
        <v>1.96241162710035</v>
      </c>
      <c r="T29" s="3" cm="1">
        <f t="array" ref="T29">_xlfn.STDEV.S(IF('Fractional-Calorimetry-Data'!$B$4:$B$2948=$B29,IF('Fractional-Calorimetry-Data'!$J$4:$J$2853=100,'Fractional-Calorimetry-Data'!AH$4:AH$2948)))</f>
        <v>37.802828033484</v>
      </c>
      <c r="U29" s="3" cm="1">
        <f t="array" ref="U29">_xlfn.STDEV.S(IF('Fractional-Calorimetry-Data'!$B$4:$B$2948=$B29,IF('Fractional-Calorimetry-Data'!$J$4:$J$2853=100,'Fractional-Calorimetry-Data'!AI$4:AI$2948)))</f>
        <v>13.1811227554669</v>
      </c>
      <c r="V29" s="3" cm="1">
        <f t="array" ref="V29">_xlfn.STDEV.S(IF('Fractional-Calorimetry-Data'!$B$4:$B$2948=$B29,IF('Fractional-Calorimetry-Data'!$J$4:$J$2853=100,'Fractional-Calorimetry-Data'!AJ$4:AJ$2948)))</f>
        <v>0</v>
      </c>
      <c r="W29" s="3" cm="1">
        <f t="array" ref="W29">_xlfn.STDEV.S(IF('Fractional-Calorimetry-Data'!$B$4:$B$2948=$B29,IF('Fractional-Calorimetry-Data'!$J$4:$J$2853=100,'Fractional-Calorimetry-Data'!AK$4:AK$2948)))</f>
        <v>55.0921545524859</v>
      </c>
      <c r="X29" s="3" cm="1">
        <f t="array" ref="X29">_xlfn.STDEV.S(IF('Fractional-Calorimetry-Data'!$B$4:$B$2948=$B29,IF('Fractional-Calorimetry-Data'!$J$4:$J$2853=100,'Fractional-Calorimetry-Data'!AL$4:AL$2948)))</f>
        <v>8.08807764552245</v>
      </c>
      <c r="Y29" s="3" cm="1">
        <f t="array" ref="Y29">_xlfn.STDEV.S(IF('Fractional-Calorimetry-Data'!$B$4:$B$2948=$B29,IF('Fractional-Calorimetry-Data'!$J$4:$J$2853=100,'Fractional-Calorimetry-Data'!AM$4:AM$2948)))</f>
        <v>6.21988745878894</v>
      </c>
      <c r="Z29" s="3" cm="1">
        <f t="array" ref="Z29">_xlfn.STDEV.S(IF('Fractional-Calorimetry-Data'!$B$4:$B$2948=$B29,IF('Fractional-Calorimetry-Data'!$J$4:$J$2853=100,'Fractional-Calorimetry-Data'!AN$4:AN$2948)))</f>
        <v>1.47885090526395</v>
      </c>
      <c r="AA29" s="3" cm="1">
        <f t="array" ref="AA29">_xlfn.STDEV.S(IF('Fractional-Calorimetry-Data'!$B$4:$B$2948=$B29,IF('Fractional-Calorimetry-Data'!$J$4:$J$2853=100,'Fractional-Calorimetry-Data'!AO$4:AO$2948)))</f>
        <v>1.29421791055448</v>
      </c>
      <c r="AB29" s="3" cm="1">
        <f t="array" ref="AB29">_xlfn.STDEV.S(IF('Fractional-Calorimetry-Data'!$B$4:$B$2948=$B29,IF('Fractional-Calorimetry-Data'!$J$4:$J$2853=100,'Fractional-Calorimetry-Data'!AP$4:AP$2948)))</f>
        <v>0.0547722557505166</v>
      </c>
      <c r="AC29" s="3" cm="1">
        <f t="array" ref="AC29">_xlfn.STDEV.S(IF('Fractional-Calorimetry-Data'!$B$4:$B$2948=$B29,IF('Fractional-Calorimetry-Data'!$J$4:$J$2853=100,'Fractional-Calorimetry-Data'!AQ$4:AQ$2948)))</f>
        <v>0.230217288664427</v>
      </c>
      <c r="AD29" s="3" cm="1">
        <f t="array" ref="AD29">_xlfn.STDEV.S(IF('Fractional-Calorimetry-Data'!$B$4:$B$2948=$B29,IF('Fractional-Calorimetry-Data'!$J$4:$J$2853=100,'Fractional-Calorimetry-Data'!AR$4:AR$2948)))</f>
        <v>0.661059755241536</v>
      </c>
      <c r="AE29" s="3" cm="1">
        <f t="array" ref="AE29">_xlfn.STDEV.S(IF('Fractional-Calorimetry-Data'!$B$4:$B$2948=$B29,IF('Fractional-Calorimetry-Data'!$J$4:$J$2853=100,'Fractional-Calorimetry-Data'!AS$4:AS$2948)))</f>
        <v>0.865687121886424</v>
      </c>
      <c r="AF29" s="3" cm="1">
        <f t="array" ref="AF29">_xlfn.STDEV.S(IF('Fractional-Calorimetry-Data'!$B$4:$B$2948=$B29,IF('Fractional-Calorimetry-Data'!$J$4:$J$2853=100,'Fractional-Calorimetry-Data'!AT$4:AT$2948)))</f>
        <v>8.09905187000308</v>
      </c>
      <c r="AG29" s="3" cm="1">
        <f t="array" ref="AG29">_xlfn.STDEV.S(IF('Fractional-Calorimetry-Data'!$B$4:$B$2948=$B29,IF('Fractional-Calorimetry-Data'!$J$4:$J$2853=100,'Fractional-Calorimetry-Data'!AU$4:AU$2948)))</f>
        <v>19.9306291954426</v>
      </c>
    </row>
    <row r="30" spans="2:33">
      <c r="B30" s="13" t="s">
        <v>20</v>
      </c>
      <c r="C30" s="3" cm="1">
        <f t="array" ref="C30">_xlfn.STDEV.S(IF('Fractional-Calorimetry-Data'!$B$4:$B$2948=B30,IF('Fractional-Calorimetry-Data'!$J$4:$J2882=100,'Fractional-Calorimetry-Data'!$BE$4:$BE$2948)))</f>
        <v>0.148374488031001</v>
      </c>
      <c r="D30" s="3" cm="1">
        <f t="array" ref="D30">_xlfn.STDEV.S(IF('Fractional-Calorimetry-Data'!$B$4:$B$2948=$B30,IF('Fractional-Calorimetry-Data'!$J$4:$J$2853=100,'Fractional-Calorimetry-Data'!R$4:R$2948)))</f>
        <v>4.72300916744704</v>
      </c>
      <c r="E30" s="3" cm="1">
        <f t="array" ref="E30">_xlfn.STDEV.S(IF('Fractional-Calorimetry-Data'!$B$4:$B$2948=$B30,IF('Fractional-Calorimetry-Data'!$J$4:$J$2853=100,'Fractional-Calorimetry-Data'!S$4:S$2948)))</f>
        <v>0.00995127015901878</v>
      </c>
      <c r="F30" s="3" cm="1">
        <f t="array" ref="F30">_xlfn.STDEV.S(IF('Fractional-Calorimetry-Data'!$B$4:$B$2948=$B30,IF('Fractional-Calorimetry-Data'!$J$4:$J$2853=100,'Fractional-Calorimetry-Data'!T$4:T$2948)))</f>
        <v>4.23938174873863</v>
      </c>
      <c r="G30" s="3" cm="1">
        <f t="array" ref="G30">_xlfn.STDEV.S(IF('Fractional-Calorimetry-Data'!$B$4:$B$2948=$B30,IF('Fractional-Calorimetry-Data'!$J$4:$J$2853=100,'Fractional-Calorimetry-Data'!U$4:U$2948)))</f>
        <v>4.09424562272742</v>
      </c>
      <c r="H30" s="3" cm="1">
        <f t="array" ref="H30">_xlfn.STDEV.S(IF('Fractional-Calorimetry-Data'!$B$4:$B$2948=$B30,IF('Fractional-Calorimetry-Data'!$J$4:$J$2853=100,'Fractional-Calorimetry-Data'!V$4:V$2948)))</f>
        <v>7.38831012613819</v>
      </c>
      <c r="I30" s="3" cm="1">
        <f t="array" ref="I30">_xlfn.STDEV.S(IF('Fractional-Calorimetry-Data'!$B$4:$B$2948=$B30,IF('Fractional-Calorimetry-Data'!$J$4:$J$2853=100,'Fractional-Calorimetry-Data'!W$4:W$2948)))</f>
        <v>5.3420057457339</v>
      </c>
      <c r="J30" s="3" cm="1">
        <f t="array" ref="J30">_xlfn.STDEV.S(IF('Fractional-Calorimetry-Data'!$B$4:$B$2948=$B30,IF('Fractional-Calorimetry-Data'!$J$4:$J$2853=100,'Fractional-Calorimetry-Data'!X$4:X$2948)))</f>
        <v>0.177500879852202</v>
      </c>
      <c r="K30" s="3" cm="1">
        <f t="array" ref="K30">_xlfn.STDEV.S(IF('Fractional-Calorimetry-Data'!$B$4:$B$2948=$B30,IF('Fractional-Calorimetry-Data'!$J$4:$J$2853=100,'Fractional-Calorimetry-Data'!Y$4:Y$2948)))</f>
        <v>22.4747403915052</v>
      </c>
      <c r="L30" s="3" cm="1">
        <f t="array" ref="L30">_xlfn.STDEV.S(IF('Fractional-Calorimetry-Data'!$B$4:$B$2948=$B30,IF('Fractional-Calorimetry-Data'!$J$4:$J$2853=100,'Fractional-Calorimetry-Data'!Z$4:Z$2948)))</f>
        <v>21.9791841990666</v>
      </c>
      <c r="M30" s="3" cm="1">
        <f t="array" ref="M30">_xlfn.STDEV.S(IF('Fractional-Calorimetry-Data'!$B$4:$B$2948=$B30,IF('Fractional-Calorimetry-Data'!$J$4:$J$2853=100,'Fractional-Calorimetry-Data'!AA$4:AA$2948)))</f>
        <v>0.747336155701703</v>
      </c>
      <c r="N30" s="3" cm="1">
        <f t="array" ref="N30">_xlfn.STDEV.S(IF('Fractional-Calorimetry-Data'!$B$4:$B$2948=$B30,IF('Fractional-Calorimetry-Data'!$J$4:$J$2853=100,'Fractional-Calorimetry-Data'!AB$4:AB$2948)))</f>
        <v>0.470814817658802</v>
      </c>
      <c r="O30" s="3" cm="1">
        <f t="array" ref="O30">_xlfn.STDEV.S(IF('Fractional-Calorimetry-Data'!$B$4:$B$2948=$B30,IF('Fractional-Calorimetry-Data'!$J$4:$J$2853=100,'Fractional-Calorimetry-Data'!AC$4:AC$2948)))</f>
        <v>0</v>
      </c>
      <c r="P30" s="3" cm="1">
        <f t="array" ref="P30">_xlfn.STDEV.S(IF('Fractional-Calorimetry-Data'!$B$4:$B$2948=$B30,IF('Fractional-Calorimetry-Data'!$J$4:$J$2853=100,'Fractional-Calorimetry-Data'!AD$4:AD$2948)))</f>
        <v>1.23720964450026</v>
      </c>
      <c r="Q30" s="3" cm="1">
        <f t="array" ref="Q30">_xlfn.STDEV.S(IF('Fractional-Calorimetry-Data'!$B$4:$B$2948=$B30,IF('Fractional-Calorimetry-Data'!$J$4:$J$2853=100,'Fractional-Calorimetry-Data'!AE$4:AE$2948)))</f>
        <v>0.799516054317303</v>
      </c>
      <c r="R30" s="3" cm="1">
        <f t="array" ref="R30">_xlfn.STDEV.S(IF('Fractional-Calorimetry-Data'!$B$4:$B$2948=$B30,IF('Fractional-Calorimetry-Data'!$J$4:$J$2853=100,'Fractional-Calorimetry-Data'!AF$4:AF$2948)))</f>
        <v>0</v>
      </c>
      <c r="S30" s="3" cm="1">
        <f t="array" ref="S30">_xlfn.STDEV.S(IF('Fractional-Calorimetry-Data'!$B$4:$B$2948=$B30,IF('Fractional-Calorimetry-Data'!$J$4:$J$2853=100,'Fractional-Calorimetry-Data'!AG$4:AG$2948)))</f>
        <v>0.97381022271184</v>
      </c>
      <c r="T30" s="3" cm="1">
        <f t="array" ref="T30">_xlfn.STDEV.S(IF('Fractional-Calorimetry-Data'!$B$4:$B$2948=$B30,IF('Fractional-Calorimetry-Data'!$J$4:$J$2853=100,'Fractional-Calorimetry-Data'!AH$4:AH$2948)))</f>
        <v>13.1409654480052</v>
      </c>
      <c r="U30" s="3" cm="1">
        <f t="array" ref="U30">_xlfn.STDEV.S(IF('Fractional-Calorimetry-Data'!$B$4:$B$2948=$B30,IF('Fractional-Calorimetry-Data'!$J$4:$J$2853=100,'Fractional-Calorimetry-Data'!AI$4:AI$2948)))</f>
        <v>11.8382492253885</v>
      </c>
      <c r="V30" s="3" cm="1">
        <f t="array" ref="V30">_xlfn.STDEV.S(IF('Fractional-Calorimetry-Data'!$B$4:$B$2948=$B30,IF('Fractional-Calorimetry-Data'!$J$4:$J$2853=100,'Fractional-Calorimetry-Data'!AJ$4:AJ$2948)))</f>
        <v>0</v>
      </c>
      <c r="W30" s="3" cm="1">
        <f t="array" ref="W30">_xlfn.STDEV.S(IF('Fractional-Calorimetry-Data'!$B$4:$B$2948=$B30,IF('Fractional-Calorimetry-Data'!$J$4:$J$2853=100,'Fractional-Calorimetry-Data'!AK$4:AK$2948)))</f>
        <v>20.7052349259516</v>
      </c>
      <c r="X30" s="3" cm="1">
        <f t="array" ref="X30">_xlfn.STDEV.S(IF('Fractional-Calorimetry-Data'!$B$4:$B$2948=$B30,IF('Fractional-Calorimetry-Data'!$J$4:$J$2853=100,'Fractional-Calorimetry-Data'!AL$4:AL$2948)))</f>
        <v>7.97558775263616</v>
      </c>
      <c r="Y30" s="3" cm="1">
        <f t="array" ref="Y30">_xlfn.STDEV.S(IF('Fractional-Calorimetry-Data'!$B$4:$B$2948=$B30,IF('Fractional-Calorimetry-Data'!$J$4:$J$2853=100,'Fractional-Calorimetry-Data'!AM$4:AM$2948)))</f>
        <v>5.03788425609181</v>
      </c>
      <c r="Z30" s="3" cm="1">
        <f t="array" ref="Z30">_xlfn.STDEV.S(IF('Fractional-Calorimetry-Data'!$B$4:$B$2948=$B30,IF('Fractional-Calorimetry-Data'!$J$4:$J$2853=100,'Fractional-Calorimetry-Data'!AN$4:AN$2948)))</f>
        <v>1.97167441531303</v>
      </c>
      <c r="AA30" s="3" cm="1">
        <f t="array" ref="AA30">_xlfn.STDEV.S(IF('Fractional-Calorimetry-Data'!$B$4:$B$2948=$B30,IF('Fractional-Calorimetry-Data'!$J$4:$J$2853=100,'Fractional-Calorimetry-Data'!AO$4:AO$2948)))</f>
        <v>1.93520024803636</v>
      </c>
      <c r="AB30" s="3" cm="1">
        <f t="array" ref="AB30">_xlfn.STDEV.S(IF('Fractional-Calorimetry-Data'!$B$4:$B$2948=$B30,IF('Fractional-Calorimetry-Data'!$J$4:$J$2853=100,'Fractional-Calorimetry-Data'!AP$4:AP$2948)))</f>
        <v>0.139443337755679</v>
      </c>
      <c r="AC30" s="3" cm="1">
        <f t="array" ref="AC30">_xlfn.STDEV.S(IF('Fractional-Calorimetry-Data'!$B$4:$B$2948=$B30,IF('Fractional-Calorimetry-Data'!$J$4:$J$2853=100,'Fractional-Calorimetry-Data'!AQ$4:AQ$2948)))</f>
        <v>0.164147630029935</v>
      </c>
      <c r="AD30" s="3" cm="1">
        <f t="array" ref="AD30">_xlfn.STDEV.S(IF('Fractional-Calorimetry-Data'!$B$4:$B$2948=$B30,IF('Fractional-Calorimetry-Data'!$J$4:$J$2853=100,'Fractional-Calorimetry-Data'!AR$4:AR$2948)))</f>
        <v>0</v>
      </c>
      <c r="AE30" s="3" cm="1">
        <f t="array" ref="AE30">_xlfn.STDEV.S(IF('Fractional-Calorimetry-Data'!$B$4:$B$2948=$B30,IF('Fractional-Calorimetry-Data'!$J$4:$J$2853=100,'Fractional-Calorimetry-Data'!AS$4:AS$2948)))</f>
        <v>2.04300015241746</v>
      </c>
      <c r="AF30" s="3" cm="1">
        <f t="array" ref="AF30">_xlfn.STDEV.S(IF('Fractional-Calorimetry-Data'!$B$4:$B$2948=$B30,IF('Fractional-Calorimetry-Data'!$J$4:$J$2853=100,'Fractional-Calorimetry-Data'!AT$4:AT$2948)))</f>
        <v>8.02297599332346</v>
      </c>
      <c r="AG30" s="3" cm="1">
        <f t="array" ref="AG30">_xlfn.STDEV.S(IF('Fractional-Calorimetry-Data'!$B$4:$B$2948=$B30,IF('Fractional-Calorimetry-Data'!$J$4:$J$2853=100,'Fractional-Calorimetry-Data'!AU$4:AU$2948)))</f>
        <v>20.9222702866713</v>
      </c>
    </row>
    <row r="31" spans="2:33">
      <c r="B31" s="15" t="s">
        <v>1333</v>
      </c>
      <c r="C31" s="16">
        <f t="shared" ref="C31:AG31" si="0">MIN(C4:C30)</f>
        <v>0.0388214465390983</v>
      </c>
      <c r="D31" s="16">
        <f t="shared" si="0"/>
        <v>1.13409782647814</v>
      </c>
      <c r="E31" s="16">
        <f t="shared" si="0"/>
        <v>0.000577350269189624</v>
      </c>
      <c r="F31" s="16">
        <f t="shared" si="0"/>
        <v>1.29716950497645</v>
      </c>
      <c r="G31" s="16">
        <f t="shared" si="0"/>
        <v>1.4087526520108</v>
      </c>
      <c r="H31" s="16">
        <f t="shared" si="0"/>
        <v>1.71317088446646</v>
      </c>
      <c r="I31" s="16">
        <f t="shared" si="0"/>
        <v>1.95414825052153</v>
      </c>
      <c r="J31" s="16">
        <f t="shared" si="0"/>
        <v>0.031667497674345</v>
      </c>
      <c r="K31" s="16">
        <f t="shared" si="0"/>
        <v>2.12822594989019</v>
      </c>
      <c r="L31" s="16">
        <f t="shared" si="0"/>
        <v>2.95023554293857</v>
      </c>
      <c r="M31" s="16">
        <f t="shared" si="0"/>
        <v>0.0164087330246017</v>
      </c>
      <c r="N31" s="16">
        <f t="shared" si="0"/>
        <v>0.292749016094119</v>
      </c>
      <c r="O31" s="16">
        <f t="shared" si="0"/>
        <v>0</v>
      </c>
      <c r="P31" s="16">
        <f t="shared" si="0"/>
        <v>0</v>
      </c>
      <c r="Q31" s="16">
        <f t="shared" si="0"/>
        <v>0</v>
      </c>
      <c r="R31" s="16">
        <f t="shared" si="0"/>
        <v>0</v>
      </c>
      <c r="S31" s="16">
        <f t="shared" si="0"/>
        <v>0</v>
      </c>
      <c r="T31" s="16">
        <f t="shared" si="0"/>
        <v>0</v>
      </c>
      <c r="U31" s="16">
        <f t="shared" si="0"/>
        <v>0</v>
      </c>
      <c r="V31" s="16" t="e">
        <f t="shared" si="0"/>
        <v>#DIV/0!</v>
      </c>
      <c r="W31" s="16">
        <f t="shared" si="0"/>
        <v>1.78705016478926</v>
      </c>
      <c r="X31" s="16">
        <f t="shared" si="0"/>
        <v>0.616441400296898</v>
      </c>
      <c r="Y31" s="16">
        <f t="shared" si="0"/>
        <v>0.0500000000000002</v>
      </c>
      <c r="Z31" s="16">
        <f t="shared" si="0"/>
        <v>0.512624707665448</v>
      </c>
      <c r="AA31" s="16">
        <f t="shared" si="0"/>
        <v>0.120963722752825</v>
      </c>
      <c r="AB31" s="16">
        <f t="shared" si="0"/>
        <v>0</v>
      </c>
      <c r="AC31" s="16">
        <f t="shared" si="0"/>
        <v>0</v>
      </c>
      <c r="AD31" s="16">
        <f t="shared" si="0"/>
        <v>0</v>
      </c>
      <c r="AE31" s="16">
        <f t="shared" si="0"/>
        <v>0.558394524010081</v>
      </c>
      <c r="AF31" s="16">
        <f t="shared" si="0"/>
        <v>0.616441400296898</v>
      </c>
      <c r="AG31" s="16">
        <f t="shared" si="0"/>
        <v>1.2842529172852</v>
      </c>
    </row>
    <row r="32" spans="2:33">
      <c r="B32" s="15" t="s">
        <v>1334</v>
      </c>
      <c r="C32" s="16">
        <f t="shared" ref="C32:AG32" si="1">MAX(C4:C30)</f>
        <v>0.263731109512418</v>
      </c>
      <c r="D32" s="16">
        <f t="shared" si="1"/>
        <v>12.5548249850116</v>
      </c>
      <c r="E32" s="16">
        <f t="shared" si="1"/>
        <v>0.0215810745278769</v>
      </c>
      <c r="F32" s="16">
        <f t="shared" si="1"/>
        <v>11.8767714718131</v>
      </c>
      <c r="G32" s="16">
        <f t="shared" si="1"/>
        <v>12.6327718789131</v>
      </c>
      <c r="H32" s="16">
        <f t="shared" si="1"/>
        <v>8.30120407996546</v>
      </c>
      <c r="I32" s="16">
        <f t="shared" si="1"/>
        <v>30.70304064642</v>
      </c>
      <c r="J32" s="16">
        <f t="shared" si="1"/>
        <v>28.3401077510312</v>
      </c>
      <c r="K32" s="16">
        <f t="shared" si="1"/>
        <v>22.4747403915052</v>
      </c>
      <c r="L32" s="16">
        <f t="shared" si="1"/>
        <v>27.8917956958543</v>
      </c>
      <c r="M32" s="16">
        <f t="shared" si="1"/>
        <v>30.1177104498443</v>
      </c>
      <c r="N32" s="16">
        <f t="shared" si="1"/>
        <v>5.0948226865194</v>
      </c>
      <c r="O32" s="16">
        <f t="shared" si="1"/>
        <v>1.52919468784846</v>
      </c>
      <c r="P32" s="16">
        <f t="shared" si="1"/>
        <v>4.83295774901212</v>
      </c>
      <c r="Q32" s="16">
        <f t="shared" si="1"/>
        <v>3.15073048351969</v>
      </c>
      <c r="R32" s="16">
        <f t="shared" si="1"/>
        <v>4.67055981156505</v>
      </c>
      <c r="S32" s="16">
        <f t="shared" si="1"/>
        <v>457.335139836863</v>
      </c>
      <c r="T32" s="16">
        <f t="shared" si="1"/>
        <v>132.811840002958</v>
      </c>
      <c r="U32" s="16">
        <f t="shared" si="1"/>
        <v>59.8691082858153</v>
      </c>
      <c r="V32" s="16" t="e">
        <f t="shared" si="1"/>
        <v>#DIV/0!</v>
      </c>
      <c r="W32" s="16">
        <f t="shared" si="1"/>
        <v>102.001564628841</v>
      </c>
      <c r="X32" s="16">
        <f t="shared" si="1"/>
        <v>8.75143797707934</v>
      </c>
      <c r="Y32" s="16">
        <f t="shared" si="1"/>
        <v>6.97006296799231</v>
      </c>
      <c r="Z32" s="16">
        <f t="shared" si="1"/>
        <v>8.40499522778478</v>
      </c>
      <c r="AA32" s="16">
        <f t="shared" si="1"/>
        <v>1.93520024803636</v>
      </c>
      <c r="AB32" s="16">
        <f t="shared" si="1"/>
        <v>4.52308335687452</v>
      </c>
      <c r="AC32" s="16">
        <f t="shared" si="1"/>
        <v>6.20036180868462</v>
      </c>
      <c r="AD32" s="16">
        <f t="shared" si="1"/>
        <v>2.03728784786671</v>
      </c>
      <c r="AE32" s="16">
        <f t="shared" si="1"/>
        <v>6.0840395624366</v>
      </c>
      <c r="AF32" s="16">
        <f t="shared" si="1"/>
        <v>8.75258215083475</v>
      </c>
      <c r="AG32" s="16">
        <f t="shared" si="1"/>
        <v>20.9222702866713</v>
      </c>
    </row>
    <row r="34" customFormat="1" ht="35.1" customHeight="1" spans="2:34">
      <c r="B34" s="4" t="s">
        <v>1335</v>
      </c>
      <c r="C34" s="4"/>
      <c r="D34" s="4"/>
      <c r="E34" s="4"/>
      <c r="F34" s="4"/>
      <c r="G34" s="4"/>
      <c r="H34" s="4"/>
      <c r="I34" s="4"/>
      <c r="J34" s="4"/>
      <c r="K34" s="4"/>
      <c r="L34" s="4"/>
      <c r="M34" s="4"/>
      <c r="N34" s="4"/>
      <c r="O34" s="4"/>
      <c r="P34" s="4"/>
      <c r="Q34" s="4"/>
      <c r="R34" s="4"/>
      <c r="S34" s="5"/>
      <c r="T34" s="5"/>
      <c r="U34" s="5"/>
      <c r="V34" s="5"/>
      <c r="W34" s="5"/>
      <c r="X34" s="5"/>
      <c r="Y34" s="5"/>
      <c r="Z34" s="5"/>
      <c r="AA34" s="5"/>
      <c r="AB34" s="5"/>
      <c r="AC34" s="5"/>
      <c r="AD34" s="5"/>
      <c r="AE34" s="5"/>
      <c r="AF34" s="5"/>
      <c r="AG34" s="5"/>
    </row>
    <row r="35" customFormat="1" ht="29.1" customHeight="1" spans="2:34">
      <c r="B35" s="6" t="s">
        <v>46</v>
      </c>
      <c r="C35" s="17" t="s">
        <v>1336</v>
      </c>
      <c r="D35" s="17" t="s">
        <v>1337</v>
      </c>
      <c r="E35" s="17" t="s">
        <v>1338</v>
      </c>
      <c r="F35" s="17" t="s">
        <v>1339</v>
      </c>
      <c r="G35" s="17" t="s">
        <v>1340</v>
      </c>
      <c r="H35" s="17" t="e">
        <f t="shared" ref="H35:AD35" si="2">G35+1</f>
        <v>#VALUE!</v>
      </c>
      <c r="I35" s="17" t="e">
        <f t="shared" si="2"/>
        <v>#VALUE!</v>
      </c>
      <c r="J35" s="17" t="e">
        <f t="shared" si="2"/>
        <v>#VALUE!</v>
      </c>
      <c r="K35" s="17" t="s">
        <v>1349</v>
      </c>
      <c r="L35" s="17" t="s">
        <v>1350</v>
      </c>
      <c r="M35" s="17" t="s">
        <v>1351</v>
      </c>
      <c r="N35" s="17" t="s">
        <v>1352</v>
      </c>
      <c r="O35" s="17" t="s">
        <v>1353</v>
      </c>
      <c r="P35" s="17" t="s">
        <v>1354</v>
      </c>
      <c r="Q35" s="17" t="e">
        <f>#REF!+1</f>
        <v>#REF!</v>
      </c>
      <c r="R35" s="17" t="e">
        <f t="shared" si="2"/>
        <v>#REF!</v>
      </c>
      <c r="S35" s="17" t="e">
        <f t="shared" si="2"/>
        <v>#REF!</v>
      </c>
      <c r="T35" s="17" t="e">
        <f t="shared" si="2"/>
        <v>#REF!</v>
      </c>
      <c r="U35" s="17" t="e">
        <f t="shared" si="2"/>
        <v>#REF!</v>
      </c>
      <c r="V35" s="17" t="e">
        <f t="shared" si="2"/>
        <v>#REF!</v>
      </c>
      <c r="W35" s="17" t="e">
        <f t="shared" si="2"/>
        <v>#REF!</v>
      </c>
      <c r="X35" s="17" t="e">
        <f t="shared" si="2"/>
        <v>#REF!</v>
      </c>
      <c r="Y35" s="17" t="e">
        <f t="shared" si="2"/>
        <v>#REF!</v>
      </c>
      <c r="Z35" s="17" t="e">
        <f t="shared" si="2"/>
        <v>#REF!</v>
      </c>
      <c r="AA35" s="17" t="e">
        <f t="shared" si="2"/>
        <v>#REF!</v>
      </c>
      <c r="AB35" s="17" t="e">
        <f t="shared" si="2"/>
        <v>#REF!</v>
      </c>
      <c r="AC35" s="17" t="e">
        <f t="shared" si="2"/>
        <v>#REF!</v>
      </c>
      <c r="AD35" s="17" t="e">
        <f t="shared" si="2"/>
        <v>#REF!</v>
      </c>
      <c r="AE35" s="17" t="s">
        <v>1355</v>
      </c>
      <c r="AF35" s="12" t="s">
        <v>171</v>
      </c>
      <c r="AG35" s="12" t="s">
        <v>172</v>
      </c>
      <c r="AH35" s="18"/>
    </row>
    <row r="36" spans="2:34">
      <c r="B36" s="13" t="s">
        <v>133</v>
      </c>
      <c r="C36" s="3" cm="1">
        <f t="array" ref="C36">TREND($B$66:$B$116,C$66:C$116,C4)</f>
        <v>3.22847159759431</v>
      </c>
      <c r="D36" s="3" cm="1">
        <f t="array" ref="D36">TREND($B$66:$B$116,D$66:D$116,D4)</f>
        <v>1.82165256118284</v>
      </c>
      <c r="E36" s="3" cm="1">
        <f t="array" ref="E36">TREND($B$66:$B$116,E$66:E$116,E4)</f>
        <v>4.99511081347445</v>
      </c>
      <c r="F36" s="3" cm="1">
        <f t="array" ref="F36">TREND($B$66:$B$116,F$66:F$116,F4)</f>
        <v>1.55587349515296</v>
      </c>
      <c r="G36" s="3" cm="1">
        <f t="array" ref="G36">TREND($B$66:$B$116,G$66:G$116,G4)</f>
        <v>1.69967742411312</v>
      </c>
      <c r="H36" s="3" cm="1">
        <f t="array" ref="H36">TREND($B$66:$B$116,H$66:H$116,H4)</f>
        <v>3.46973824333893</v>
      </c>
      <c r="I36" s="3" cm="1">
        <f t="array" ref="I36">TREND($B$66:$B$116,I$66:I$116,I4)</f>
        <v>13.7491534834567</v>
      </c>
      <c r="J36" s="3" cm="1">
        <f t="array" ref="J36">TREND($B$66:$B$116,J$66:J$116,J4)</f>
        <v>17.0027281483557</v>
      </c>
      <c r="K36" s="3" cm="1">
        <f t="array" ref="K36">TREND($B$66:$B$116,K$66:K$116,K4)</f>
        <v>3.28490804048952</v>
      </c>
      <c r="L36" s="3" cm="1">
        <f t="array" ref="L36">TREND($B$66:$B$116,L$66:L$116,L4)</f>
        <v>8.95356392662514</v>
      </c>
      <c r="M36" s="3" cm="1">
        <f t="array" ref="M36">TREND($B$66:$B$116,M$66:M$116,M4)</f>
        <v>9.09765181096733</v>
      </c>
      <c r="N36" s="3" cm="1">
        <f t="array" ref="N36">TREND($B$66:$B$116,N$66:N$116,N4)</f>
        <v>1.51013205167442</v>
      </c>
      <c r="O36" s="3" cm="1">
        <f t="array" ref="O36">TREND($B$66:$B$116,O$66:O$116,O4)</f>
        <v>4.27820817970095</v>
      </c>
      <c r="P36" s="3" cm="1">
        <f t="array" ref="P36">TREND($B$66:$B$116,P$66:P$116,P4)</f>
        <v>5.22547311441558</v>
      </c>
      <c r="Q36" s="3" cm="1">
        <f t="array" ref="Q36">TREND($B$66:$B$116,Q$66:Q$116,Q4)</f>
        <v>2.72934242641563</v>
      </c>
      <c r="R36" s="3" cm="1">
        <f t="array" ref="R36">TREND($B$66:$B$116,R$66:R$116,R4)</f>
        <v>3.86769970008413</v>
      </c>
      <c r="S36" s="3" cm="1">
        <f t="array" ref="S36">TREND($B$66:$B$116,S$66:S$116,S4)</f>
        <v>4.65621072012721</v>
      </c>
      <c r="T36" s="3" cm="1">
        <f t="array" ref="T36">TREND($B$66:$B$116,T$66:T$116,T4)</f>
        <v>1.18967847058246</v>
      </c>
      <c r="U36" s="3" cm="1">
        <f t="array" ref="U36">TREND($B$66:$B$116,U$66:U$116,U4)</f>
        <v>4.15074408945519</v>
      </c>
      <c r="V36" s="3" t="e" cm="1">
        <f t="array" ref="V36">TREND($B$66:$B$116,V$66:V$116,V4)</f>
        <v>#VALUE!</v>
      </c>
      <c r="W36" s="3" cm="1">
        <f t="array" ref="W36">TREND($B$66:$B$116,W$66:W$116,W4)</f>
        <v>3.78498557983283</v>
      </c>
      <c r="X36" s="3" cm="1">
        <f t="array" ref="X36">TREND($B$66:$B$116,X$66:X$116,X4)</f>
        <v>4.5896003724335</v>
      </c>
      <c r="Y36" s="3" cm="1">
        <f t="array" ref="Y36">TREND($B$66:$B$116,Y$66:Y$116,Y4)</f>
        <v>4.06935003050515</v>
      </c>
      <c r="Z36" s="3" cm="1">
        <f t="array" ref="Z36">TREND($B$66:$B$116,Z$66:Z$116,Z4)</f>
        <v>3.37335564566299</v>
      </c>
      <c r="AA36" s="3" cm="1">
        <f t="array" ref="AA36">TREND($B$66:$B$116,AA$66:AA$116,AA4)</f>
        <v>8.01086005530956</v>
      </c>
      <c r="AB36" s="3" cm="1">
        <f t="array" ref="AB36">TREND($B$66:$B$116,AB$66:AB$116,AB4)</f>
        <v>3.87313599001772</v>
      </c>
      <c r="AC36" s="3" cm="1">
        <f t="array" ref="AC36">TREND($B$66:$B$116,AC$66:AC$116,AC4)</f>
        <v>5.69119744408812</v>
      </c>
      <c r="AD36" s="3" cm="1">
        <f t="array" ref="AD36">TREND($B$66:$B$116,AD$66:AD$116,AD4)</f>
        <v>5.86228731386446</v>
      </c>
      <c r="AE36" s="3" cm="1">
        <f t="array" ref="AE36">TREND($B$66:$B$116,AE$66:AE$116,AE4)</f>
        <v>4.07162570102444</v>
      </c>
      <c r="AF36" s="3" cm="1">
        <f t="array" ref="AF36">TREND($B$66:$B$116,AF$66:AF$116,AF4)</f>
        <v>4.79565703422711</v>
      </c>
      <c r="AG36" s="3" cm="1">
        <f t="array" ref="AG36">TREND($B$66:$B$116,AG$66:AG$116,AG4)</f>
        <v>4.09541990958646</v>
      </c>
    </row>
    <row r="37" spans="2:34">
      <c r="B37" s="13" t="s">
        <v>136</v>
      </c>
      <c r="C37" s="3" cm="1">
        <f t="array" ref="C37">TREND($B$66:$B$116,C$66:C$116,C5)</f>
        <v>4.44162077552557</v>
      </c>
      <c r="D37" s="3" cm="1">
        <f t="array" ref="D37">TREND($B$66:$B$116,D$66:D$116,D5)</f>
        <v>5.95918410896608</v>
      </c>
      <c r="E37" s="3" cm="1">
        <f t="array" ref="E37">TREND($B$66:$B$116,E$66:E$116,E5)</f>
        <v>4.91712550461288</v>
      </c>
      <c r="F37" s="3" cm="1">
        <f t="array" ref="F37">TREND($B$66:$B$116,F$66:F$116,F5)</f>
        <v>5.62797978891483</v>
      </c>
      <c r="G37" s="3" cm="1">
        <f t="array" ref="G37">TREND($B$66:$B$116,G$66:G$116,G5)</f>
        <v>6.08936356628358</v>
      </c>
      <c r="H37" s="3" cm="1">
        <f t="array" ref="H37">TREND($B$66:$B$116,H$66:H$116,H5)</f>
        <v>2.94045384632247</v>
      </c>
      <c r="I37" s="3" cm="1">
        <f t="array" ref="I37">TREND($B$66:$B$116,I$66:I$116,I5)</f>
        <v>12.6609787686831</v>
      </c>
      <c r="J37" s="3" cm="1">
        <f t="array" ref="J37">TREND($B$66:$B$116,J$66:J$116,J5)</f>
        <v>15.8278416444599</v>
      </c>
      <c r="K37" s="3" cm="1">
        <f t="array" ref="K37">TREND($B$66:$B$116,K$66:K$116,K5)</f>
        <v>1.92318770921672</v>
      </c>
      <c r="L37" s="3" cm="1">
        <f t="array" ref="L37">TREND($B$66:$B$116,L$66:L$116,L5)</f>
        <v>4.93937551417552</v>
      </c>
      <c r="M37" s="3" cm="1">
        <f t="array" ref="M37">TREND($B$66:$B$116,M$66:M$116,M5)</f>
        <v>5.59524734081779</v>
      </c>
      <c r="N37" s="3" cm="1">
        <f t="array" ref="N37">TREND($B$66:$B$116,N$66:N$116,N5)</f>
        <v>3.29023832168876</v>
      </c>
      <c r="O37" s="3" cm="1">
        <f t="array" ref="O37">TREND($B$66:$B$116,O$66:O$116,O5)</f>
        <v>6.63684799529746</v>
      </c>
      <c r="P37" s="3" cm="1">
        <f t="array" ref="P37">TREND($B$66:$B$116,P$66:P$116,P5)</f>
        <v>5.66459603471925</v>
      </c>
      <c r="Q37" s="3" cm="1">
        <f t="array" ref="Q37">TREND($B$66:$B$116,Q$66:Q$116,Q5)</f>
        <v>4.07595489731804</v>
      </c>
      <c r="R37" s="3" cm="1">
        <f t="array" ref="R37">TREND($B$66:$B$116,R$66:R$116,R5)</f>
        <v>5.01365638792065</v>
      </c>
      <c r="S37" s="3" cm="1">
        <f t="array" ref="S37">TREND($B$66:$B$116,S$66:S$116,S5)</f>
        <v>2.26643596989265</v>
      </c>
      <c r="T37" s="3" cm="1">
        <f t="array" ref="T37">TREND($B$66:$B$116,T$66:T$116,T5)</f>
        <v>5.95597983222361</v>
      </c>
      <c r="U37" s="3" cm="1">
        <f t="array" ref="U37">TREND($B$66:$B$116,U$66:U$116,U5)</f>
        <v>3.71533275167908</v>
      </c>
      <c r="V37" s="3" t="e" cm="1">
        <f t="array" ref="V37">TREND($B$66:$B$116,V$66:V$116,V5)</f>
        <v>#VALUE!</v>
      </c>
      <c r="W37" s="3" cm="1">
        <f t="array" ref="W37">TREND($B$66:$B$116,W$66:W$116,W5)</f>
        <v>5.02017608127473</v>
      </c>
      <c r="X37" s="3" cm="1">
        <f t="array" ref="X37">TREND($B$66:$B$116,X$66:X$116,X5)</f>
        <v>4.58905052980589</v>
      </c>
      <c r="Y37" s="3" cm="1">
        <f t="array" ref="Y37">TREND($B$66:$B$116,Y$66:Y$116,Y5)</f>
        <v>2.1611661986995</v>
      </c>
      <c r="Z37" s="3" cm="1">
        <f t="array" ref="Z37">TREND($B$66:$B$116,Z$66:Z$116,Z5)</f>
        <v>2.78941652608158</v>
      </c>
      <c r="AA37" s="3" cm="1">
        <f t="array" ref="AA37">TREND($B$66:$B$116,AA$66:AA$116,AA5)</f>
        <v>4.43523091408907</v>
      </c>
      <c r="AB37" s="3" cm="1">
        <f t="array" ref="AB37">TREND($B$66:$B$116,AB$66:AB$116,AB5)</f>
        <v>3.8211709716087</v>
      </c>
      <c r="AC37" s="3" cm="1">
        <f t="array" ref="AC37">TREND($B$66:$B$116,AC$66:AC$116,AC5)</f>
        <v>5.18844732464248</v>
      </c>
      <c r="AD37" s="3" cm="1">
        <f t="array" ref="AD37">TREND($B$66:$B$116,AD$66:AD$116,AD5)</f>
        <v>4.88500009059448</v>
      </c>
      <c r="AE37" s="3" cm="1">
        <f t="array" ref="AE37">TREND($B$66:$B$116,AE$66:AE$116,AE5)</f>
        <v>6.1483162208863</v>
      </c>
      <c r="AF37" s="3" cm="1">
        <f t="array" ref="AF37">TREND($B$66:$B$116,AF$66:AF$116,AF5)</f>
        <v>4.73447837882282</v>
      </c>
      <c r="AG37" s="3" cm="1">
        <f t="array" ref="AG37">TREND($B$66:$B$116,AG$66:AG$116,AG5)</f>
        <v>2.46764491977659</v>
      </c>
    </row>
    <row r="38" spans="2:34">
      <c r="B38" s="14" t="s">
        <v>139</v>
      </c>
      <c r="C38" s="3" cm="1">
        <f t="array" ref="C38">TREND($B$66:$B$116,C$66:C$116,C6)</f>
        <v>5.95831605746779</v>
      </c>
      <c r="D38" s="3" cm="1">
        <f t="array" ref="D38">TREND($B$66:$B$116,D$66:D$116,D6)</f>
        <v>5.15501960191289</v>
      </c>
      <c r="E38" s="3" cm="1">
        <f t="array" ref="E38">TREND($B$66:$B$116,E$66:E$116,E6)</f>
        <v>5.47518937359857</v>
      </c>
      <c r="F38" s="3" cm="1">
        <f t="array" ref="F38">TREND($B$66:$B$116,F$66:F$116,F6)</f>
        <v>5.27107303534842</v>
      </c>
      <c r="G38" s="3" cm="1">
        <f t="array" ref="G38">TREND($B$66:$B$116,G$66:G$116,G6)</f>
        <v>6.40949776438623</v>
      </c>
      <c r="H38" s="3" cm="1">
        <f t="array" ref="H38">TREND($B$66:$B$116,H$66:H$116,H6)</f>
        <v>6.688033195499</v>
      </c>
      <c r="I38" s="3" cm="1">
        <f t="array" ref="I38">TREND($B$66:$B$116,I$66:I$116,I6)</f>
        <v>16.4750543131677</v>
      </c>
      <c r="J38" s="3" cm="1">
        <f t="array" ref="J38">TREND($B$66:$B$116,J$66:J$116,J6)</f>
        <v>9.40248722238145</v>
      </c>
      <c r="K38" s="3" cm="1">
        <f t="array" ref="K38">TREND($B$66:$B$116,K$66:K$116,K6)</f>
        <v>4.90372093707405</v>
      </c>
      <c r="L38" s="3" cm="1">
        <f t="array" ref="L38">TREND($B$66:$B$116,L$66:L$116,L6)</f>
        <v>8.61469926898706</v>
      </c>
      <c r="M38" s="3" cm="1">
        <f t="array" ref="M38">TREND($B$66:$B$116,M$66:M$116,M6)</f>
        <v>5.26254876243739</v>
      </c>
      <c r="N38" s="3" cm="1">
        <f t="array" ref="N38">TREND($B$66:$B$116,N$66:N$116,N6)</f>
        <v>7.57015231658846</v>
      </c>
      <c r="O38" s="3" cm="1">
        <f t="array" ref="O38">TREND($B$66:$B$116,O$66:O$116,O6)</f>
        <v>1.63318514099631</v>
      </c>
      <c r="P38" s="3" cm="1">
        <f t="array" ref="P38">TREND($B$66:$B$116,P$66:P$116,P6)</f>
        <v>8.91769329666375</v>
      </c>
      <c r="Q38" s="3" cm="1">
        <f t="array" ref="Q38">TREND($B$66:$B$116,Q$66:Q$116,Q6)</f>
        <v>3.54301962082517</v>
      </c>
      <c r="R38" s="3" cm="1">
        <f t="array" ref="R38">TREND($B$66:$B$116,R$66:R$116,R6)</f>
        <v>9.75114268050956</v>
      </c>
      <c r="S38" s="3" cm="1">
        <f t="array" ref="S38">TREND($B$66:$B$116,S$66:S$116,S6)</f>
        <v>0.558005474542021</v>
      </c>
      <c r="T38" s="3" cm="1">
        <f t="array" ref="T38">TREND($B$66:$B$116,T$66:T$116,T6)</f>
        <v>0.640080648657648</v>
      </c>
      <c r="U38" s="3" cm="1">
        <f t="array" ref="U38">TREND($B$66:$B$116,U$66:U$116,U6)</f>
        <v>1.49791618926334</v>
      </c>
      <c r="V38" s="3" t="e" cm="1">
        <f t="array" ref="V38">TREND($B$66:$B$116,V$66:V$116,V6)</f>
        <v>#VALUE!</v>
      </c>
      <c r="W38" s="3" cm="1">
        <f t="array" ref="W38">TREND($B$66:$B$116,W$66:W$116,W6)</f>
        <v>2.31246835181876</v>
      </c>
      <c r="X38" s="3" cm="1">
        <f t="array" ref="X38">TREND($B$66:$B$116,X$66:X$116,X6)</f>
        <v>7.05650608706705</v>
      </c>
      <c r="Y38" s="3" cm="1">
        <f t="array" ref="Y38">TREND($B$66:$B$116,Y$66:Y$116,Y6)</f>
        <v>6.46964717014453</v>
      </c>
      <c r="Z38" s="3" cm="1">
        <f t="array" ref="Z38">TREND($B$66:$B$116,Z$66:Z$116,Z6)</f>
        <v>3.61657414869753</v>
      </c>
      <c r="AA38" s="3" cm="1">
        <f t="array" ref="AA38">TREND($B$66:$B$116,AA$66:AA$116,AA6)</f>
        <v>4.45963814291335</v>
      </c>
      <c r="AB38" s="3" cm="1">
        <f t="array" ref="AB38">TREND($B$66:$B$116,AB$66:AB$116,AB6)</f>
        <v>2.60031907268295</v>
      </c>
      <c r="AC38" s="3" cm="1">
        <f t="array" ref="AC38">TREND($B$66:$B$116,AC$66:AC$116,AC6)</f>
        <v>3.36454531476432</v>
      </c>
      <c r="AD38" s="3" cm="1">
        <f t="array" ref="AD38">TREND($B$66:$B$116,AD$66:AD$116,AD6)</f>
        <v>1.57936664477395</v>
      </c>
      <c r="AE38" s="3" cm="1">
        <f t="array" ref="AE38">TREND($B$66:$B$116,AE$66:AE$116,AE6)</f>
        <v>3.30590614393421</v>
      </c>
      <c r="AF38" s="3" cm="1">
        <f t="array" ref="AF38">TREND($B$66:$B$116,AF$66:AF$116,AF6)</f>
        <v>6.94189121057172</v>
      </c>
      <c r="AG38" s="3" cm="1">
        <f t="array" ref="AG38">TREND($B$66:$B$116,AG$66:AG$116,AG6)</f>
        <v>6.1223644921191</v>
      </c>
    </row>
    <row r="39" spans="2:34">
      <c r="B39" s="14" t="s">
        <v>32</v>
      </c>
      <c r="C39" s="3" cm="1">
        <f t="array" ref="C39">TREND($B$66:$B$116,C$66:C$116,C7)</f>
        <v>4.6974400137376</v>
      </c>
      <c r="D39" s="3" cm="1">
        <f t="array" ref="D39">TREND($B$66:$B$116,D$66:D$116,D7)</f>
        <v>2.02603316747415</v>
      </c>
      <c r="E39" s="3" cm="1">
        <f t="array" ref="E39">TREND($B$66:$B$116,E$66:E$116,E7)</f>
        <v>4.85213829094179</v>
      </c>
      <c r="F39" s="3" cm="1">
        <f t="array" ref="F39">TREND($B$66:$B$116,F$66:F$116,F7)</f>
        <v>2.26473072878113</v>
      </c>
      <c r="G39" s="3" cm="1">
        <f t="array" ref="G39">TREND($B$66:$B$116,G$66:G$116,G7)</f>
        <v>4.3012694395254</v>
      </c>
      <c r="H39" s="3" cm="1">
        <f t="array" ref="H39">TREND($B$66:$B$116,H$66:H$116,H7)</f>
        <v>1.17889287354261</v>
      </c>
      <c r="I39" s="3" cm="1">
        <f t="array" ref="I39">TREND($B$66:$B$116,I$66:I$116,I7)</f>
        <v>9.10799350343455</v>
      </c>
      <c r="J39" s="3" cm="1">
        <f t="array" ref="J39">TREND($B$66:$B$116,J$66:J$116,J7)</f>
        <v>4.60890971635514</v>
      </c>
      <c r="K39" s="3" cm="1">
        <f t="array" ref="K39">TREND($B$66:$B$116,K$66:K$116,K7)</f>
        <v>1.53881126080363</v>
      </c>
      <c r="L39" s="3" cm="1">
        <f t="array" ref="L39">TREND($B$66:$B$116,L$66:L$116,L7)</f>
        <v>2.7936988502614</v>
      </c>
      <c r="M39" s="3" cm="1">
        <f t="array" ref="M39">TREND($B$66:$B$116,M$66:M$116,M7)</f>
        <v>2.1914372604825</v>
      </c>
      <c r="N39" s="3" cm="1">
        <f t="array" ref="N39">TREND($B$66:$B$116,N$66:N$116,N7)</f>
        <v>6.55346346220725</v>
      </c>
      <c r="O39" s="3" cm="1">
        <f t="array" ref="O39">TREND($B$66:$B$116,O$66:O$116,O7)</f>
        <v>1.56689165823087</v>
      </c>
      <c r="P39" s="3" cm="1">
        <f t="array" ref="P39">TREND($B$66:$B$116,P$66:P$116,P7)</f>
        <v>4.05447157465276</v>
      </c>
      <c r="Q39" s="3" cm="1">
        <f t="array" ref="Q39">TREND($B$66:$B$116,Q$66:Q$116,Q7)</f>
        <v>1.8269833465797</v>
      </c>
      <c r="R39" s="3" cm="1">
        <f t="array" ref="R39">TREND($B$66:$B$116,R$66:R$116,R7)</f>
        <v>1.89090306384498</v>
      </c>
      <c r="S39" s="3" cm="1">
        <f t="array" ref="S39">TREND($B$66:$B$116,S$66:S$116,S7)</f>
        <v>1.83580620207509</v>
      </c>
      <c r="T39" s="3" cm="1">
        <f t="array" ref="T39">TREND($B$66:$B$116,T$66:T$116,T7)</f>
        <v>1.07249276178287</v>
      </c>
      <c r="U39" s="3" cm="1">
        <f t="array" ref="U39">TREND($B$66:$B$116,U$66:U$116,U7)</f>
        <v>2.08427786481109</v>
      </c>
      <c r="V39" s="3" t="e" cm="1">
        <f t="array" ref="V39">TREND($B$66:$B$116,V$66:V$116,V7)</f>
        <v>#VALUE!</v>
      </c>
      <c r="W39" s="3" cm="1">
        <f t="array" ref="W39">TREND($B$66:$B$116,W$66:W$116,W7)</f>
        <v>3.58195481165802</v>
      </c>
      <c r="X39" s="3" cm="1">
        <f t="array" ref="X39">TREND($B$66:$B$116,X$66:X$116,X7)</f>
        <v>3.03379498280476</v>
      </c>
      <c r="Y39" s="3" cm="1">
        <f t="array" ref="Y39">TREND($B$66:$B$116,Y$66:Y$116,Y7)</f>
        <v>0.767516866577048</v>
      </c>
      <c r="Z39" s="3" cm="1">
        <f t="array" ref="Z39">TREND($B$66:$B$116,Z$66:Z$116,Z7)</f>
        <v>2.60389083223952</v>
      </c>
      <c r="AA39" s="3" cm="1">
        <f t="array" ref="AA39">TREND($B$66:$B$116,AA$66:AA$116,AA7)</f>
        <v>5.9169168160269</v>
      </c>
      <c r="AB39" s="3" cm="1">
        <f t="array" ref="AB39">TREND($B$66:$B$116,AB$66:AB$116,AB7)</f>
        <v>0.348642966100972</v>
      </c>
      <c r="AC39" s="3" cm="1">
        <f t="array" ref="AC39">TREND($B$66:$B$116,AC$66:AC$116,AC7)</f>
        <v>1.48863609159508</v>
      </c>
      <c r="AD39" s="3" cm="1">
        <f t="array" ref="AD39">TREND($B$66:$B$116,AD$66:AD$116,AD7)</f>
        <v>0.716502657753244</v>
      </c>
      <c r="AE39" s="3" cm="1">
        <f t="array" ref="AE39">TREND($B$66:$B$116,AE$66:AE$116,AE7)</f>
        <v>1.36710590276164</v>
      </c>
      <c r="AF39" s="3" cm="1">
        <f t="array" ref="AF39">TREND($B$66:$B$116,AF$66:AF$116,AF7)</f>
        <v>3.13596559333431</v>
      </c>
      <c r="AG39" s="3" cm="1">
        <f t="array" ref="AG39">TREND($B$66:$B$116,AG$66:AG$116,AG7)</f>
        <v>2.66295233282791</v>
      </c>
    </row>
    <row r="40" spans="2:34">
      <c r="B40" s="14" t="s">
        <v>34</v>
      </c>
      <c r="C40" s="3" cm="1">
        <f t="array" ref="C40">TREND($B$66:$B$116,C$66:C$116,C8)</f>
        <v>7.64655858141125</v>
      </c>
      <c r="D40" s="3" cm="1">
        <f t="array" ref="D40">TREND($B$66:$B$116,D$66:D$116,D8)</f>
        <v>6.13334236522578</v>
      </c>
      <c r="E40" s="3" cm="1">
        <f t="array" ref="E40">TREND($B$66:$B$116,E$66:E$116,E8)</f>
        <v>4.94455843774655</v>
      </c>
      <c r="F40" s="3" cm="1">
        <f t="array" ref="F40">TREND($B$66:$B$116,F$66:F$116,F8)</f>
        <v>5.85133960616968</v>
      </c>
      <c r="G40" s="3" cm="1">
        <f t="array" ref="G40">TREND($B$66:$B$116,G$66:G$116,G8)</f>
        <v>9.23229761526018</v>
      </c>
      <c r="H40" s="3" cm="1">
        <f t="array" ref="H40">TREND($B$66:$B$116,H$66:H$116,H8)</f>
        <v>3.23532465055174</v>
      </c>
      <c r="I40" s="3" cm="1">
        <f t="array" ref="I40">TREND($B$66:$B$116,I$66:I$116,I8)</f>
        <v>14.8583316191152</v>
      </c>
      <c r="J40" s="3" cm="1">
        <f t="array" ref="J40">TREND($B$66:$B$116,J$66:J$116,J8)</f>
        <v>2.78997959363803</v>
      </c>
      <c r="K40" s="3" cm="1">
        <f t="array" ref="K40">TREND($B$66:$B$116,K$66:K$116,K8)</f>
        <v>3.25336892318262</v>
      </c>
      <c r="L40" s="3" cm="1">
        <f t="array" ref="L40">TREND($B$66:$B$116,L$66:L$116,L8)</f>
        <v>3.55646127052112</v>
      </c>
      <c r="M40" s="3" cm="1">
        <f t="array" ref="M40">TREND($B$66:$B$116,M$66:M$116,M8)</f>
        <v>1.32384896924797</v>
      </c>
      <c r="N40" s="3" cm="1">
        <f t="array" ref="N40">TREND($B$66:$B$116,N$66:N$116,N8)</f>
        <v>9.8000829124304</v>
      </c>
      <c r="O40" s="3" cm="1">
        <f t="array" ref="O40">TREND($B$66:$B$116,O$66:O$116,O8)</f>
        <v>1.23091845116521</v>
      </c>
      <c r="P40" s="3" cm="1">
        <f t="array" ref="P40">TREND($B$66:$B$116,P$66:P$116,P8)</f>
        <v>2.34659218607834</v>
      </c>
      <c r="Q40" s="3" cm="1">
        <f t="array" ref="Q40">TREND($B$66:$B$116,Q$66:Q$116,Q8)</f>
        <v>4.7475501272912</v>
      </c>
      <c r="R40" s="3" cm="1">
        <f t="array" ref="R40">TREND($B$66:$B$116,R$66:R$116,R8)</f>
        <v>1.6562823986649</v>
      </c>
      <c r="S40" s="3" cm="1">
        <f t="array" ref="S40">TREND($B$66:$B$116,S$66:S$116,S8)</f>
        <v>2.82323254002379</v>
      </c>
      <c r="T40" s="3" cm="1">
        <f t="array" ref="T40">TREND($B$66:$B$116,T$66:T$116,T8)</f>
        <v>1.91675205108923</v>
      </c>
      <c r="U40" s="3" cm="1">
        <f t="array" ref="U40">TREND($B$66:$B$116,U$66:U$116,U8)</f>
        <v>4.58514081844565</v>
      </c>
      <c r="V40" s="3" t="e" cm="1">
        <f t="array" ref="V40">TREND($B$66:$B$116,V$66:V$116,V8)</f>
        <v>#VALUE!</v>
      </c>
      <c r="W40" s="3" cm="1">
        <f t="array" ref="W40">TREND($B$66:$B$116,W$66:W$116,W8)</f>
        <v>7.35290980575124</v>
      </c>
      <c r="X40" s="3" cm="1">
        <f t="array" ref="X40">TREND($B$66:$B$116,X$66:X$116,X8)</f>
        <v>5.04199707005878</v>
      </c>
      <c r="Y40" s="3" cm="1">
        <f t="array" ref="Y40">TREND($B$66:$B$116,Y$66:Y$116,Y8)</f>
        <v>1.15982104652679</v>
      </c>
      <c r="Z40" s="3" cm="1">
        <f t="array" ref="Z40">TREND($B$66:$B$116,Z$66:Z$116,Z8)</f>
        <v>1.09239030798173</v>
      </c>
      <c r="AA40" s="3" cm="1">
        <f t="array" ref="AA40">TREND($B$66:$B$116,AA$66:AA$116,AA8)</f>
        <v>7.3832716226517</v>
      </c>
      <c r="AB40" s="3" cm="1">
        <f t="array" ref="AB40">TREND($B$66:$B$116,AB$66:AB$116,AB8)</f>
        <v>0.30081893436843</v>
      </c>
      <c r="AC40" s="3" cm="1">
        <f t="array" ref="AC40">TREND($B$66:$B$116,AC$66:AC$116,AC8)</f>
        <v>1.16879965883449</v>
      </c>
      <c r="AD40" s="3" cm="1">
        <f t="array" ref="AD40">TREND($B$66:$B$116,AD$66:AD$116,AD8)</f>
        <v>1.90676685960575</v>
      </c>
      <c r="AE40" s="3" cm="1">
        <f t="array" ref="AE40">TREND($B$66:$B$116,AE$66:AE$116,AE8)</f>
        <v>4.24575243362237</v>
      </c>
      <c r="AF40" s="3" cm="1">
        <f t="array" ref="AF40">TREND($B$66:$B$116,AF$66:AF$116,AF8)</f>
        <v>5.14912024035942</v>
      </c>
      <c r="AG40" s="3" cm="1">
        <f t="array" ref="AG40">TREND($B$66:$B$116,AG$66:AG$116,AG8)</f>
        <v>4.43798643878721</v>
      </c>
    </row>
    <row r="41" spans="2:34">
      <c r="B41" s="14" t="s">
        <v>28</v>
      </c>
      <c r="C41" s="3" cm="1">
        <f t="array" ref="C41">TREND($B$66:$B$116,C$66:C$116,C9)</f>
        <v>3.88841608299717</v>
      </c>
      <c r="D41" s="3" cm="1">
        <f t="array" ref="D41">TREND($B$66:$B$116,D$66:D$116,D9)</f>
        <v>2.64982458940175</v>
      </c>
      <c r="E41" s="3" cm="1">
        <f t="array" ref="E41">TREND($B$66:$B$116,E$66:E$116,E9)</f>
        <v>4.71782971514032</v>
      </c>
      <c r="F41" s="3" cm="1">
        <f t="array" ref="F41">TREND($B$66:$B$116,F$66:F$116,F9)</f>
        <v>2.75317746020182</v>
      </c>
      <c r="G41" s="3" cm="1">
        <f t="array" ref="G41">TREND($B$66:$B$116,G$66:G$116,G9)</f>
        <v>2.9485534649786</v>
      </c>
      <c r="H41" s="3" cm="1">
        <f t="array" ref="H41">TREND($B$66:$B$116,H$66:H$116,H9)</f>
        <v>1.9164969200108</v>
      </c>
      <c r="I41" s="3" cm="1">
        <f t="array" ref="I41">TREND($B$66:$B$116,I$66:I$116,I9)</f>
        <v>9.82560477872125</v>
      </c>
      <c r="J41" s="3" cm="1">
        <f t="array" ref="J41">TREND($B$66:$B$116,J$66:J$116,J9)</f>
        <v>8.44898167505576</v>
      </c>
      <c r="K41" s="3" cm="1">
        <f t="array" ref="K41">TREND($B$66:$B$116,K$66:K$116,K9)</f>
        <v>2.02092289513438</v>
      </c>
      <c r="L41" s="3" cm="1">
        <f t="array" ref="L41">TREND($B$66:$B$116,L$66:L$116,L9)</f>
        <v>5.42167365266596</v>
      </c>
      <c r="M41" s="3" cm="1">
        <f t="array" ref="M41">TREND($B$66:$B$116,M$66:M$116,M9)</f>
        <v>4.99967658212512</v>
      </c>
      <c r="N41" s="3" cm="1">
        <f t="array" ref="N41">TREND($B$66:$B$116,N$66:N$116,N9)</f>
        <v>1.4795331619192</v>
      </c>
      <c r="O41" s="3" cm="1">
        <f t="array" ref="O41">TREND($B$66:$B$116,O$66:O$116,O9)</f>
        <v>2.11185877829306</v>
      </c>
      <c r="P41" s="3" cm="1">
        <f t="array" ref="P41">TREND($B$66:$B$116,P$66:P$116,P9)</f>
        <v>9.80130967715828</v>
      </c>
      <c r="Q41" s="3" cm="1">
        <f t="array" ref="Q41">TREND($B$66:$B$116,Q$66:Q$116,Q9)</f>
        <v>9.70155761410283</v>
      </c>
      <c r="R41" s="3" cm="1">
        <f t="array" ref="R41">TREND($B$66:$B$116,R$66:R$116,R9)</f>
        <v>9.79468479216177</v>
      </c>
      <c r="S41" s="3" cm="1">
        <f t="array" ref="S41">TREND($B$66:$B$116,S$66:S$116,S9)</f>
        <v>0.0880928755008044</v>
      </c>
      <c r="T41" s="3" cm="1">
        <f t="array" ref="T41">TREND($B$66:$B$116,T$66:T$116,T9)</f>
        <v>1.64883932628426</v>
      </c>
      <c r="U41" s="3" cm="1">
        <f t="array" ref="U41">TREND($B$66:$B$116,U$66:U$116,U9)</f>
        <v>3.47985347756319</v>
      </c>
      <c r="V41" s="3" t="e" cm="1">
        <f t="array" ref="V41">TREND($B$66:$B$116,V$66:V$116,V9)</f>
        <v>#VALUE!</v>
      </c>
      <c r="W41" s="3" cm="1">
        <f t="array" ref="W41">TREND($B$66:$B$116,W$66:W$116,W9)</f>
        <v>4.71092211596052</v>
      </c>
      <c r="X41" s="3" cm="1">
        <f t="array" ref="X41">TREND($B$66:$B$116,X$66:X$116,X9)</f>
        <v>3.77304179328904</v>
      </c>
      <c r="Y41" s="3" cm="1">
        <f t="array" ref="Y41">TREND($B$66:$B$116,Y$66:Y$116,Y9)</f>
        <v>1.48283035930172</v>
      </c>
      <c r="Z41" s="3" cm="1">
        <f t="array" ref="Z41">TREND($B$66:$B$116,Z$66:Z$116,Z9)</f>
        <v>4.03127952116278</v>
      </c>
      <c r="AA41" s="3" cm="1">
        <f t="array" ref="AA41">TREND($B$66:$B$116,AA$66:AA$116,AA9)</f>
        <v>3.54531496007343</v>
      </c>
      <c r="AB41" s="3" cm="1">
        <f t="array" ref="AB41">TREND($B$66:$B$116,AB$66:AB$116,AB9)</f>
        <v>1.61332858381238</v>
      </c>
      <c r="AC41" s="3" cm="1">
        <f t="array" ref="AC41">TREND($B$66:$B$116,AC$66:AC$116,AC9)</f>
        <v>3.75952728909639</v>
      </c>
      <c r="AD41" s="3" cm="1">
        <f t="array" ref="AD41">TREND($B$66:$B$116,AD$66:AD$116,AD9)</f>
        <v>4.18027370348127</v>
      </c>
      <c r="AE41" s="3" cm="1">
        <f t="array" ref="AE41">TREND($B$66:$B$116,AE$66:AE$116,AE9)</f>
        <v>2.37663695823204</v>
      </c>
      <c r="AF41" s="3" cm="1">
        <f t="array" ref="AF41">TREND($B$66:$B$116,AF$66:AF$116,AF9)</f>
        <v>3.71453205147022</v>
      </c>
      <c r="AG41" s="3" cm="1">
        <f t="array" ref="AG41">TREND($B$66:$B$116,AG$66:AG$116,AG9)</f>
        <v>3.25325914427892</v>
      </c>
    </row>
    <row r="42" spans="2:34">
      <c r="B42" s="14" t="s">
        <v>30</v>
      </c>
      <c r="C42" s="3" cm="1">
        <f t="array" ref="C42">TREND($B$66:$B$116,C$66:C$116,C10)</f>
        <v>4.04425214559513</v>
      </c>
      <c r="D42" s="3" cm="1">
        <f t="array" ref="D42">TREND($B$66:$B$116,D$66:D$116,D10)</f>
        <v>2.31146297667609</v>
      </c>
      <c r="E42" s="3" cm="1">
        <f t="array" ref="E42">TREND($B$66:$B$116,E$66:E$116,E10)</f>
        <v>5.34491391623576</v>
      </c>
      <c r="F42" s="3" cm="1">
        <f t="array" ref="F42">TREND($B$66:$B$116,F$66:F$116,F10)</f>
        <v>1.95875209947309</v>
      </c>
      <c r="G42" s="3" cm="1">
        <f t="array" ref="G42">TREND($B$66:$B$116,G$66:G$116,G10)</f>
        <v>3.20911674781475</v>
      </c>
      <c r="H42" s="3" cm="1">
        <f t="array" ref="H42">TREND($B$66:$B$116,H$66:H$116,H10)</f>
        <v>1.51483309503021</v>
      </c>
      <c r="I42" s="3" cm="1">
        <f t="array" ref="I42">TREND($B$66:$B$116,I$66:I$116,I10)</f>
        <v>15.6844158069765</v>
      </c>
      <c r="J42" s="3" cm="1">
        <f t="array" ref="J42">TREND($B$66:$B$116,J$66:J$116,J10)</f>
        <v>12.973105730892</v>
      </c>
      <c r="K42" s="3" cm="1">
        <f t="array" ref="K42">TREND($B$66:$B$116,K$66:K$116,K10)</f>
        <v>1.4304543329126</v>
      </c>
      <c r="L42" s="3" cm="1">
        <f t="array" ref="L42">TREND($B$66:$B$116,L$66:L$116,L10)</f>
        <v>7.59453556059431</v>
      </c>
      <c r="M42" s="3" cm="1">
        <f t="array" ref="M42">TREND($B$66:$B$116,M$66:M$116,M10)</f>
        <v>6.36456474484181</v>
      </c>
      <c r="N42" s="3" cm="1">
        <f t="array" ref="N42">TREND($B$66:$B$116,N$66:N$116,N10)</f>
        <v>5.89055158198509</v>
      </c>
      <c r="O42" s="3" cm="1">
        <f t="array" ref="O42">TREND($B$66:$B$116,O$66:O$116,O10)</f>
        <v>7.65235285637336</v>
      </c>
      <c r="P42" s="3" cm="1">
        <f t="array" ref="P42">TREND($B$66:$B$116,P$66:P$116,P10)</f>
        <v>2.72198637467235</v>
      </c>
      <c r="Q42" s="3" cm="1">
        <f t="array" ref="Q42">TREND($B$66:$B$116,Q$66:Q$116,Q10)</f>
        <v>2.58789289049574</v>
      </c>
      <c r="R42" s="3" cm="1">
        <f t="array" ref="R42">TREND($B$66:$B$116,R$66:R$116,R10)</f>
        <v>2.80759966718175</v>
      </c>
      <c r="S42" s="3" cm="1">
        <f t="array" ref="S42">TREND($B$66:$B$116,S$66:S$116,S10)</f>
        <v>2.12447109433785</v>
      </c>
      <c r="T42" s="3" cm="1">
        <f t="array" ref="T42">TREND($B$66:$B$116,T$66:T$116,T10)</f>
        <v>1.72516214138136</v>
      </c>
      <c r="U42" s="3" cm="1">
        <f t="array" ref="U42">TREND($B$66:$B$116,U$66:U$116,U10)</f>
        <v>3.85782855347056</v>
      </c>
      <c r="V42" s="3" t="e" cm="1">
        <f t="array" ref="V42">TREND($B$66:$B$116,V$66:V$116,V10)</f>
        <v>#VALUE!</v>
      </c>
      <c r="W42" s="3" cm="1">
        <f t="array" ref="W42">TREND($B$66:$B$116,W$66:W$116,W10)</f>
        <v>6.18523620895028</v>
      </c>
      <c r="X42" s="3" cm="1">
        <f t="array" ref="X42">TREND($B$66:$B$116,X$66:X$116,X10)</f>
        <v>2.04974292566901</v>
      </c>
      <c r="Y42" s="3" cm="1">
        <f t="array" ref="Y42">TREND($B$66:$B$116,Y$66:Y$116,Y10)</f>
        <v>1.24310990358359</v>
      </c>
      <c r="Z42" s="3" cm="1">
        <f t="array" ref="Z42">TREND($B$66:$B$116,Z$66:Z$116,Z10)</f>
        <v>4.14633094323488</v>
      </c>
      <c r="AA42" s="3" cm="1">
        <f t="array" ref="AA42">TREND($B$66:$B$116,AA$66:AA$116,AA10)</f>
        <v>2.64363100990622</v>
      </c>
      <c r="AB42" s="3" cm="1">
        <f t="array" ref="AB42">TREND($B$66:$B$116,AB$66:AB$116,AB10)</f>
        <v>1.14303455216806</v>
      </c>
      <c r="AC42" s="3" cm="1">
        <f t="array" ref="AC42">TREND($B$66:$B$116,AC$66:AC$116,AC10)</f>
        <v>5.36824656577617</v>
      </c>
      <c r="AD42" s="3" cm="1">
        <f t="array" ref="AD42">TREND($B$66:$B$116,AD$66:AD$116,AD10)</f>
        <v>2.86621486225514</v>
      </c>
      <c r="AE42" s="3" cm="1">
        <f t="array" ref="AE42">TREND($B$66:$B$116,AE$66:AE$116,AE10)</f>
        <v>1.50574780154347</v>
      </c>
      <c r="AF42" s="3" cm="1">
        <f t="array" ref="AF42">TREND($B$66:$B$116,AF$66:AF$116,AF10)</f>
        <v>2.11503246665435</v>
      </c>
      <c r="AG42" s="3" cm="1">
        <f t="array" ref="AG42">TREND($B$66:$B$116,AG$66:AG$116,AG10)</f>
        <v>1.79882817391425</v>
      </c>
    </row>
    <row r="43" spans="2:34">
      <c r="B43" s="14" t="s">
        <v>140</v>
      </c>
      <c r="C43" s="3" cm="1">
        <f t="array" ref="C43">TREND($B$66:$B$116,C$66:C$116,C11)</f>
        <v>5.79461706841349</v>
      </c>
      <c r="D43" s="3" cm="1">
        <f t="array" ref="D43">TREND($B$66:$B$116,D$66:D$116,D11)</f>
        <v>5.14013310542181</v>
      </c>
      <c r="E43" s="3" cm="1">
        <f t="array" ref="E43">TREND($B$66:$B$116,E$66:E$116,E11)</f>
        <v>5.03182486144016</v>
      </c>
      <c r="F43" s="3" cm="1">
        <f t="array" ref="F43">TREND($B$66:$B$116,F$66:F$116,F11)</f>
        <v>5.39819375744575</v>
      </c>
      <c r="G43" s="3" cm="1">
        <f t="array" ref="G43">TREND($B$66:$B$116,G$66:G$116,G11)</f>
        <v>6.25987305297507</v>
      </c>
      <c r="H43" s="3" cm="1">
        <f t="array" ref="H43">TREND($B$66:$B$116,H$66:H$116,H11)</f>
        <v>3.63252582216034</v>
      </c>
      <c r="I43" s="3" cm="1">
        <f t="array" ref="I43">TREND($B$66:$B$116,I$66:I$116,I11)</f>
        <v>12.3135270222304</v>
      </c>
      <c r="J43" s="3" cm="1">
        <f t="array" ref="J43">TREND($B$66:$B$116,J$66:J$116,J11)</f>
        <v>5.73415239752674</v>
      </c>
      <c r="K43" s="3" cm="1">
        <f t="array" ref="K43">TREND($B$66:$B$116,K$66:K$116,K11)</f>
        <v>2.00552553968247</v>
      </c>
      <c r="L43" s="3" cm="1">
        <f t="array" ref="L43">TREND($B$66:$B$116,L$66:L$116,L11)</f>
        <v>3.80366357035531</v>
      </c>
      <c r="M43" s="3" cm="1">
        <f t="array" ref="M43">TREND($B$66:$B$116,M$66:M$116,M11)</f>
        <v>2.50013929223645</v>
      </c>
      <c r="N43" s="3" cm="1">
        <f t="array" ref="N43">TREND($B$66:$B$116,N$66:N$116,N11)</f>
        <v>5.99812044001402</v>
      </c>
      <c r="O43" s="3" cm="1">
        <f t="array" ref="O43">TREND($B$66:$B$116,O$66:O$116,O11)</f>
        <v>2.40916012046394</v>
      </c>
      <c r="P43" s="3" cm="1">
        <f t="array" ref="P43">TREND($B$66:$B$116,P$66:P$116,P11)</f>
        <v>2.16780841542002</v>
      </c>
      <c r="Q43" s="3" cm="1">
        <f t="array" ref="Q43">TREND($B$66:$B$116,Q$66:Q$116,Q11)</f>
        <v>2.59339028447016</v>
      </c>
      <c r="R43" s="3" cm="1">
        <f t="array" ref="R43">TREND($B$66:$B$116,R$66:R$116,R11)</f>
        <v>1.48782117823448</v>
      </c>
      <c r="S43" s="3" cm="1">
        <f t="array" ref="S43">TREND($B$66:$B$116,S$66:S$116,S11)</f>
        <v>1.03085815767241</v>
      </c>
      <c r="T43" s="3" cm="1">
        <f t="array" ref="T43">TREND($B$66:$B$116,T$66:T$116,T11)</f>
        <v>0.541243310479975</v>
      </c>
      <c r="U43" s="3" cm="1">
        <f t="array" ref="U43">TREND($B$66:$B$116,U$66:U$116,U11)</f>
        <v>0.933252103176813</v>
      </c>
      <c r="V43" s="3" t="e" cm="1">
        <f t="array" ref="V43">TREND($B$66:$B$116,V$66:V$116,V11)</f>
        <v>#VALUE!</v>
      </c>
      <c r="W43" s="3" cm="1">
        <f t="array" ref="W43">TREND($B$66:$B$116,W$66:W$116,W11)</f>
        <v>1.81296998499394</v>
      </c>
      <c r="X43" s="3" cm="1">
        <f t="array" ref="X43">TREND($B$66:$B$116,X$66:X$116,X11)</f>
        <v>3.65003400199313</v>
      </c>
      <c r="Y43" s="3" cm="1">
        <f t="array" ref="Y43">TREND($B$66:$B$116,Y$66:Y$116,Y11)</f>
        <v>4.54823216011986</v>
      </c>
      <c r="Z43" s="3" cm="1">
        <f t="array" ref="Z43">TREND($B$66:$B$116,Z$66:Z$116,Z11)</f>
        <v>2.93434190314946</v>
      </c>
      <c r="AA43" s="3" cm="1">
        <f t="array" ref="AA43">TREND($B$66:$B$116,AA$66:AA$116,AA11)</f>
        <v>8.03139329469774</v>
      </c>
      <c r="AB43" s="3" cm="1">
        <f t="array" ref="AB43">TREND($B$66:$B$116,AB$66:AB$116,AB11)</f>
        <v>1.0479771703419</v>
      </c>
      <c r="AC43" s="3" cm="1">
        <f t="array" ref="AC43">TREND($B$66:$B$116,AC$66:AC$116,AC11)</f>
        <v>1.70730272925014</v>
      </c>
      <c r="AD43" s="3" cm="1">
        <f t="array" ref="AD43">TREND($B$66:$B$116,AD$66:AD$116,AD11)</f>
        <v>1.28260455639003</v>
      </c>
      <c r="AE43" s="3" cm="1">
        <f t="array" ref="AE43">TREND($B$66:$B$116,AE$66:AE$116,AE11)</f>
        <v>2.66071253347969</v>
      </c>
      <c r="AF43" s="3" cm="1">
        <f t="array" ref="AF43">TREND($B$66:$B$116,AF$66:AF$116,AF11)</f>
        <v>3.6495330179963</v>
      </c>
      <c r="AG43" s="3" cm="1">
        <f t="array" ref="AG43">TREND($B$66:$B$116,AG$66:AG$116,AG11)</f>
        <v>3.21984885207262</v>
      </c>
    </row>
    <row r="44" spans="2:34">
      <c r="B44" s="14" t="s">
        <v>144</v>
      </c>
      <c r="C44" s="3" cm="1">
        <f t="array" ref="C44">TREND($B$66:$B$116,C$66:C$116,C12)</f>
        <v>5.97742177227521</v>
      </c>
      <c r="D44" s="3" cm="1">
        <f t="array" ref="D44">TREND($B$66:$B$116,D$66:D$116,D12)</f>
        <v>9.91394686525571</v>
      </c>
      <c r="E44" s="3" cm="1">
        <f t="array" ref="E44">TREND($B$66:$B$116,E$66:E$116,E12)</f>
        <v>4.91426268140016</v>
      </c>
      <c r="F44" s="3" cm="1">
        <f t="array" ref="F44">TREND($B$66:$B$116,F$66:F$116,F12)</f>
        <v>9.90723219622799</v>
      </c>
      <c r="G44" s="3" cm="1">
        <f t="array" ref="G44">TREND($B$66:$B$116,G$66:G$116,G12)</f>
        <v>9.91246513331795</v>
      </c>
      <c r="H44" s="3" cm="1">
        <f t="array" ref="H44">TREND($B$66:$B$116,H$66:H$116,H12)</f>
        <v>6.06188004599292</v>
      </c>
      <c r="I44" s="3" cm="1">
        <f t="array" ref="I44">TREND($B$66:$B$116,I$66:I$116,I12)</f>
        <v>28.8488923958985</v>
      </c>
      <c r="J44" s="3" cm="1">
        <f t="array" ref="J44">TREND($B$66:$B$116,J$66:J$116,J12)</f>
        <v>28.4084402533569</v>
      </c>
      <c r="K44" s="3" cm="1">
        <f t="array" ref="K44">TREND($B$66:$B$116,K$66:K$116,K12)</f>
        <v>2.4767135097908</v>
      </c>
      <c r="L44" s="3" cm="1">
        <f t="array" ref="L44">TREND($B$66:$B$116,L$66:L$116,L12)</f>
        <v>9.96022522095217</v>
      </c>
      <c r="M44" s="3" cm="1">
        <f t="array" ref="M44">TREND($B$66:$B$116,M$66:M$116,M12)</f>
        <v>9.96699811746223</v>
      </c>
      <c r="N44" s="3" cm="1">
        <f t="array" ref="N44">TREND($B$66:$B$116,N$66:N$116,N12)</f>
        <v>3.6831695949598</v>
      </c>
      <c r="O44" s="3" cm="1">
        <f t="array" ref="O44">TREND($B$66:$B$116,O$66:O$116,O12)</f>
        <v>9.42169611841438</v>
      </c>
      <c r="P44" s="3" cm="1">
        <f t="array" ref="P44">TREND($B$66:$B$116,P$66:P$116,P12)</f>
        <v>5.37954324012418</v>
      </c>
      <c r="Q44" s="3" cm="1">
        <f t="array" ref="Q44">TREND($B$66:$B$116,Q$66:Q$116,Q12)</f>
        <v>6.37892817488203</v>
      </c>
      <c r="R44" s="3" cm="1">
        <f t="array" ref="R44">TREND($B$66:$B$116,R$66:R$116,R12)</f>
        <v>5.67343717973068</v>
      </c>
      <c r="S44" s="3" cm="1">
        <f t="array" ref="S44">TREND($B$66:$B$116,S$66:S$116,S12)</f>
        <v>9.99781437552455</v>
      </c>
      <c r="T44" s="3" cm="1">
        <f t="array" ref="T44">TREND($B$66:$B$116,T$66:T$116,T12)</f>
        <v>5.75071973471281</v>
      </c>
      <c r="U44" s="3" cm="1">
        <f t="array" ref="U44">TREND($B$66:$B$116,U$66:U$116,U12)</f>
        <v>9.98335250799394</v>
      </c>
      <c r="V44" s="3" t="e" cm="1">
        <f t="array" ref="V44">TREND($B$66:$B$116,V$66:V$116,V12)</f>
        <v>#VALUE!</v>
      </c>
      <c r="W44" s="3" cm="1">
        <f t="array" ref="W44">TREND($B$66:$B$116,W$66:W$116,W12)</f>
        <v>9.99004128033347</v>
      </c>
      <c r="X44" s="3" cm="1">
        <f t="array" ref="X44">TREND($B$66:$B$116,X$66:X$116,X12)</f>
        <v>6.90701555074945</v>
      </c>
      <c r="Y44" s="3" cm="1">
        <f t="array" ref="Y44">TREND($B$66:$B$116,Y$66:Y$116,Y12)</f>
        <v>4.80770305335534</v>
      </c>
      <c r="Z44" s="3" cm="1">
        <f t="array" ref="Z44">TREND($B$66:$B$116,Z$66:Z$116,Z12)</f>
        <v>9.87642681492231</v>
      </c>
      <c r="AA44" s="3" cm="1">
        <f t="array" ref="AA44">TREND($B$66:$B$116,AA$66:AA$116,AA12)</f>
        <v>7.68401730766586</v>
      </c>
      <c r="AB44" s="3" cm="1">
        <f t="array" ref="AB44">TREND($B$66:$B$116,AB$66:AB$116,AB12)</f>
        <v>9.78827390404946</v>
      </c>
      <c r="AC44" s="3" cm="1">
        <f t="array" ref="AC44">TREND($B$66:$B$116,AC$66:AC$116,AC12)</f>
        <v>9.8437588327205</v>
      </c>
      <c r="AD44" s="3" cm="1">
        <f t="array" ref="AD44">TREND($B$66:$B$116,AD$66:AD$116,AD12)</f>
        <v>9.55303024554774</v>
      </c>
      <c r="AE44" s="3" cm="1">
        <f t="array" ref="AE44">TREND($B$66:$B$116,AE$66:AE$116,AE12)</f>
        <v>5.1134868742237</v>
      </c>
      <c r="AF44" s="3" cm="1">
        <f t="array" ref="AF44">TREND($B$66:$B$116,AF$66:AF$116,AF12)</f>
        <v>6.86649951867755</v>
      </c>
      <c r="AG44" s="3" cm="1">
        <f t="array" ref="AG44">TREND($B$66:$B$116,AG$66:AG$116,AG12)</f>
        <v>4.01829265309126</v>
      </c>
    </row>
    <row r="45" spans="2:34">
      <c r="B45" s="14" t="s">
        <v>145</v>
      </c>
      <c r="C45" s="3" cm="1">
        <f t="array" ref="C45">TREND($B$66:$B$116,C$66:C$116,C13)</f>
        <v>3.03605139751827</v>
      </c>
      <c r="D45" s="3" cm="1">
        <f t="array" ref="D45">TREND($B$66:$B$116,D$66:D$116,D13)</f>
        <v>0.745808971562198</v>
      </c>
      <c r="E45" s="3" cm="1">
        <f t="array" ref="E45">TREND($B$66:$B$116,E$66:E$116,E13)</f>
        <v>4.86905833209971</v>
      </c>
      <c r="F45" s="3" cm="1">
        <f t="array" ref="F45">TREND($B$66:$B$116,F$66:F$116,F13)</f>
        <v>0.849892768337129</v>
      </c>
      <c r="G45" s="3" cm="1">
        <f t="array" ref="G45">TREND($B$66:$B$116,G$66:G$116,G13)</f>
        <v>0.728650814115532</v>
      </c>
      <c r="H45" s="3" cm="1">
        <f t="array" ref="H45">TREND($B$66:$B$116,H$66:H$116,H13)</f>
        <v>1.09749852717956</v>
      </c>
      <c r="I45" s="3" cm="1">
        <f t="array" ref="I45">TREND($B$66:$B$116,I$66:I$116,I13)</f>
        <v>0.838192278511574</v>
      </c>
      <c r="J45" s="3" cm="1">
        <f t="array" ref="J45">TREND($B$66:$B$116,J$66:J$116,J13)</f>
        <v>0.176366914761994</v>
      </c>
      <c r="K45" s="3" cm="1">
        <f t="array" ref="K45">TREND($B$66:$B$116,K$66:K$116,K13)</f>
        <v>2.40660119990036</v>
      </c>
      <c r="L45" s="3" cm="1">
        <f t="array" ref="L45">TREND($B$66:$B$116,L$66:L$116,L13)</f>
        <v>1.5744934103117</v>
      </c>
      <c r="M45" s="3" cm="1">
        <f t="array" ref="M45">TREND($B$66:$B$116,M$66:M$116,M13)</f>
        <v>0.160185413602816</v>
      </c>
      <c r="N45" s="3" cm="1">
        <f t="array" ref="N45">TREND($B$66:$B$116,N$66:N$116,N13)</f>
        <v>0.789022982860686</v>
      </c>
      <c r="O45" s="3" cm="1">
        <f t="array" ref="O45">TREND($B$66:$B$116,O$66:O$116,O13)</f>
        <v>0.57830388158562</v>
      </c>
      <c r="P45" s="3" cm="1">
        <f t="array" ref="P45">TREND($B$66:$B$116,P$66:P$116,P13)</f>
        <v>3.1252222552505</v>
      </c>
      <c r="Q45" s="3" cm="1">
        <f t="array" ref="Q45">TREND($B$66:$B$116,Q$66:Q$116,Q13)</f>
        <v>4.67663189107014</v>
      </c>
      <c r="R45" s="3" cm="1">
        <f t="array" ref="R45">TREND($B$66:$B$116,R$66:R$116,R13)</f>
        <v>2.3622540909323</v>
      </c>
      <c r="S45" s="3" cm="1">
        <f t="array" ref="S45">TREND($B$66:$B$116,S$66:S$116,S13)</f>
        <v>0.018742376405325</v>
      </c>
      <c r="T45" s="3" cm="1">
        <f t="array" ref="T45">TREND($B$66:$B$116,T$66:T$116,T13)</f>
        <v>9.15922737236336</v>
      </c>
      <c r="U45" s="3" cm="1">
        <f t="array" ref="U45">TREND($B$66:$B$116,U$66:U$116,U13)</f>
        <v>1.09585185372656</v>
      </c>
      <c r="V45" s="3" t="e" cm="1">
        <f t="array" ref="V45">TREND($B$66:$B$116,V$66:V$116,V13)</f>
        <v>#VALUE!</v>
      </c>
      <c r="W45" s="3" cm="1">
        <f t="array" ref="W45">TREND($B$66:$B$116,W$66:W$116,W13)</f>
        <v>2.3922202691223</v>
      </c>
      <c r="X45" s="3" cm="1">
        <f t="array" ref="X45">TREND($B$66:$B$116,X$66:X$116,X13)</f>
        <v>0.11997605407368</v>
      </c>
      <c r="Y45" s="3" cm="1">
        <f t="array" ref="Y45">TREND($B$66:$B$116,Y$66:Y$116,Y13)</f>
        <v>0.1404481961038</v>
      </c>
      <c r="Z45" s="3" cm="1">
        <f t="array" ref="Z45">TREND($B$66:$B$116,Z$66:Z$116,Z13)</f>
        <v>0.299644492673033</v>
      </c>
      <c r="AA45" s="3" cm="1">
        <f t="array" ref="AA45">TREND($B$66:$B$116,AA$66:AA$116,AA13)</f>
        <v>1.93788082145582</v>
      </c>
      <c r="AB45" s="3" cm="1">
        <f t="array" ref="AB45">TREND($B$66:$B$116,AB$66:AB$116,AB13)</f>
        <v>0.211726095950539</v>
      </c>
      <c r="AC45" s="3" cm="1">
        <f t="array" ref="AC45">TREND($B$66:$B$116,AC$66:AC$116,AC13)</f>
        <v>0.156241167279497</v>
      </c>
      <c r="AD45" s="3" cm="1">
        <f t="array" ref="AD45">TREND($B$66:$B$116,AD$66:AD$116,AD13)</f>
        <v>0.446969754452258</v>
      </c>
      <c r="AE45" s="3" cm="1">
        <f t="array" ref="AE45">TREND($B$66:$B$116,AE$66:AE$116,AE13)</f>
        <v>0.86471967558756</v>
      </c>
      <c r="AF45" s="3" cm="1">
        <f t="array" ref="AF45">TREND($B$66:$B$116,AF$66:AF$116,AF13)</f>
        <v>0.119959586807056</v>
      </c>
      <c r="AG45" s="3" cm="1">
        <f t="array" ref="AG45">TREND($B$66:$B$116,AG$66:AG$116,AG13)</f>
        <v>0.0504082631535142</v>
      </c>
    </row>
    <row r="46" spans="2:34">
      <c r="B46" s="14" t="s">
        <v>24</v>
      </c>
      <c r="C46" s="3" cm="1">
        <f t="array" ref="C46">TREND($B$66:$B$116,C$66:C$116,C14)</f>
        <v>3.64946907777865</v>
      </c>
      <c r="D46" s="3" cm="1">
        <f t="array" ref="D46">TREND($B$66:$B$116,D$66:D$116,D14)</f>
        <v>0.964162262005963</v>
      </c>
      <c r="E46" s="3" cm="1">
        <f t="array" ref="E46">TREND($B$66:$B$116,E$66:E$116,E14)</f>
        <v>4.52481062640143</v>
      </c>
      <c r="F46" s="3" cm="1">
        <f t="array" ref="F46">TREND($B$66:$B$116,F$66:F$116,F14)</f>
        <v>0.950392913057509</v>
      </c>
      <c r="G46" s="3" cm="1">
        <f t="array" ref="G46">TREND($B$66:$B$116,G$66:G$116,G14)</f>
        <v>1.44890624622825</v>
      </c>
      <c r="H46" s="3" cm="1">
        <f t="array" ref="H46">TREND($B$66:$B$116,H$66:H$116,H14)</f>
        <v>1.78110992313898</v>
      </c>
      <c r="I46" s="3" cm="1">
        <f t="array" ref="I46">TREND($B$66:$B$116,I$66:I$116,I14)</f>
        <v>3.53981312460392</v>
      </c>
      <c r="J46" s="3" cm="1">
        <f t="array" ref="J46">TREND($B$66:$B$116,J$66:J$116,J14)</f>
        <v>0.105757005882619</v>
      </c>
      <c r="K46" s="3" cm="1">
        <f t="array" ref="K46">TREND($B$66:$B$116,K$66:K$116,K14)</f>
        <v>3.57875389800118</v>
      </c>
      <c r="L46" s="3" cm="1">
        <f t="array" ref="L46">TREND($B$66:$B$116,L$66:L$116,L14)</f>
        <v>2.60215545011191</v>
      </c>
      <c r="M46" s="3" cm="1">
        <f t="array" ref="M46">TREND($B$66:$B$116,M$66:M$116,M14)</f>
        <v>0.0330018825377719</v>
      </c>
      <c r="N46" s="3" cm="1">
        <f t="array" ref="N46">TREND($B$66:$B$116,N$66:N$116,N14)</f>
        <v>1.27920687546814</v>
      </c>
      <c r="O46" s="3" cm="1">
        <f t="array" ref="O46">TREND($B$66:$B$116,O$66:O$116,O14)</f>
        <v>0.57830388158562</v>
      </c>
      <c r="P46" s="3" cm="1">
        <f t="array" ref="P46">TREND($B$66:$B$116,P$66:P$116,P14)</f>
        <v>2.58638292146635</v>
      </c>
      <c r="Q46" s="3" cm="1">
        <f t="array" ref="Q46">TREND($B$66:$B$116,Q$66:Q$116,Q14)</f>
        <v>3.4612029460664</v>
      </c>
      <c r="R46" s="3" cm="1">
        <f t="array" ref="R46">TREND($B$66:$B$116,R$66:R$116,R14)</f>
        <v>0.205315207838227</v>
      </c>
      <c r="S46" s="3" cm="1">
        <f t="array" ref="S46">TREND($B$66:$B$116,S$66:S$116,S14)</f>
        <v>3.12279922296795</v>
      </c>
      <c r="T46" s="3" cm="1">
        <f t="array" ref="T46">TREND($B$66:$B$116,T$66:T$116,T14)</f>
        <v>0.917216356379276</v>
      </c>
      <c r="U46" s="3" cm="1">
        <f t="array" ref="U46">TREND($B$66:$B$116,U$66:U$116,U14)</f>
        <v>2.53048467922606</v>
      </c>
      <c r="V46" s="3" t="e" cm="1">
        <f t="array" ref="V46">TREND($B$66:$B$116,V$66:V$116,V14)</f>
        <v>#VALUE!</v>
      </c>
      <c r="W46" s="3" cm="1">
        <f t="array" ref="W46">TREND($B$66:$B$116,W$66:W$116,W14)</f>
        <v>4.13984196799374</v>
      </c>
      <c r="X46" s="3" cm="1">
        <f t="array" ref="X46">TREND($B$66:$B$116,X$66:X$116,X14)</f>
        <v>0.495160280173957</v>
      </c>
      <c r="Y46" s="3" cm="1">
        <f t="array" ref="Y46">TREND($B$66:$B$116,Y$66:Y$116,Y14)</f>
        <v>0.772465078570908</v>
      </c>
      <c r="Z46" s="3" cm="1">
        <f t="array" ref="Z46">TREND($B$66:$B$116,Z$66:Z$116,Z14)</f>
        <v>0.30043007071946</v>
      </c>
      <c r="AA46" s="3" cm="1">
        <f t="array" ref="AA46">TREND($B$66:$B$116,AA$66:AA$116,AA14)</f>
        <v>3.65510230524479</v>
      </c>
      <c r="AB46" s="3" cm="1">
        <f t="array" ref="AB46">TREND($B$66:$B$116,AB$66:AB$116,AB14)</f>
        <v>0.211726095950539</v>
      </c>
      <c r="AC46" s="3" cm="1">
        <f t="array" ref="AC46">TREND($B$66:$B$116,AC$66:AC$116,AC14)</f>
        <v>0.156241167279497</v>
      </c>
      <c r="AD46" s="3" cm="1">
        <f t="array" ref="AD46">TREND($B$66:$B$116,AD$66:AD$116,AD14)</f>
        <v>0.446969754452258</v>
      </c>
      <c r="AE46" s="3" cm="1">
        <f t="array" ref="AE46">TREND($B$66:$B$116,AE$66:AE$116,AE14)</f>
        <v>3.18337423739579</v>
      </c>
      <c r="AF46" s="3" cm="1">
        <f t="array" ref="AF46">TREND($B$66:$B$116,AF$66:AF$116,AF14)</f>
        <v>0.495092317142351</v>
      </c>
      <c r="AG46" s="3" cm="1">
        <f t="array" ref="AG46">TREND($B$66:$B$116,AG$66:AG$116,AG14)</f>
        <v>0.378813817118886</v>
      </c>
    </row>
    <row r="47" spans="2:34">
      <c r="B47" s="14" t="s">
        <v>26</v>
      </c>
      <c r="C47" s="3" cm="1">
        <f t="array" ref="C47">TREND($B$66:$B$116,C$66:C$116,C15)</f>
        <v>3.17554936705003</v>
      </c>
      <c r="D47" s="3" cm="1">
        <f t="array" ref="D47">TREND($B$66:$B$116,D$66:D$116,D15)</f>
        <v>1.33712052863225</v>
      </c>
      <c r="E47" s="3" cm="1">
        <f t="array" ref="E47">TREND($B$66:$B$116,E$66:E$116,E15)</f>
        <v>4.6441389315384</v>
      </c>
      <c r="F47" s="3" cm="1">
        <f t="array" ref="F47">TREND($B$66:$B$116,F$66:F$116,F15)</f>
        <v>0.396691383628514</v>
      </c>
      <c r="G47" s="3" cm="1">
        <f t="array" ref="G47">TREND($B$66:$B$116,G$66:G$116,G15)</f>
        <v>0.892444870852369</v>
      </c>
      <c r="H47" s="3" cm="1">
        <f t="array" ref="H47">TREND($B$66:$B$116,H$66:H$116,H15)</f>
        <v>2.57820483904243</v>
      </c>
      <c r="I47" s="3" cm="1">
        <f t="array" ref="I47">TREND($B$66:$B$116,I$66:I$116,I15)</f>
        <v>0.0999999999999952</v>
      </c>
      <c r="J47" s="3" cm="1">
        <f t="array" ref="J47">TREND($B$66:$B$116,J$66:J$116,J15)</f>
        <v>0.100000000000001</v>
      </c>
      <c r="K47" s="3" cm="1">
        <f t="array" ref="K47">TREND($B$66:$B$116,K$66:K$116,K15)</f>
        <v>2.50164700336588</v>
      </c>
      <c r="L47" s="3" cm="1">
        <f t="array" ref="L47">TREND($B$66:$B$116,L$66:L$116,L15)</f>
        <v>1.70848608462232</v>
      </c>
      <c r="M47" s="3" cm="1">
        <f t="array" ref="M47">TREND($B$66:$B$116,M$66:M$116,M15)</f>
        <v>0.0354208036436196</v>
      </c>
      <c r="N47" s="3" cm="1">
        <f t="array" ref="N47">TREND($B$66:$B$116,N$66:N$116,N15)</f>
        <v>1.06481975572354</v>
      </c>
      <c r="O47" s="3" cm="1">
        <f t="array" ref="O47">TREND($B$66:$B$116,O$66:O$116,O15)</f>
        <v>0.57830388158562</v>
      </c>
      <c r="P47" s="3" cm="1">
        <f t="array" ref="P47">TREND($B$66:$B$116,P$66:P$116,P15)</f>
        <v>2.39087599877781</v>
      </c>
      <c r="Q47" s="3" cm="1">
        <f t="array" ref="Q47">TREND($B$66:$B$116,Q$66:Q$116,Q15)</f>
        <v>0.816745314438084</v>
      </c>
      <c r="R47" s="3" cm="1">
        <f t="array" ref="R47">TREND($B$66:$B$116,R$66:R$116,R15)</f>
        <v>0.205315207838227</v>
      </c>
      <c r="S47" s="3" cm="1">
        <f t="array" ref="S47">TREND($B$66:$B$116,S$66:S$116,S15)</f>
        <v>0.998836441747026</v>
      </c>
      <c r="T47" s="3" cm="1">
        <f t="array" ref="T47">TREND($B$66:$B$116,T$66:T$116,T15)</f>
        <v>0.500696608051111</v>
      </c>
      <c r="U47" s="3" cm="1">
        <f t="array" ref="U47">TREND($B$66:$B$116,U$66:U$116,U15)</f>
        <v>1.72339414836798</v>
      </c>
      <c r="V47" s="3" t="e" cm="1">
        <f t="array" ref="V47">TREND($B$66:$B$116,V$66:V$116,V15)</f>
        <v>#VALUE!</v>
      </c>
      <c r="W47" s="3" cm="1">
        <f t="array" ref="W47">TREND($B$66:$B$116,W$66:W$116,W15)</f>
        <v>4.73251129972099</v>
      </c>
      <c r="X47" s="3" cm="1">
        <f t="array" ref="X47">TREND($B$66:$B$116,X$66:X$116,X15)</f>
        <v>0.629144348897379</v>
      </c>
      <c r="Y47" s="3" cm="1">
        <f t="array" ref="Y47">TREND($B$66:$B$116,Y$66:Y$116,Y15)</f>
        <v>0.576617270650578</v>
      </c>
      <c r="Z47" s="3" cm="1">
        <f t="array" ref="Z47">TREND($B$66:$B$116,Z$66:Z$116,Z15)</f>
        <v>0.449955470952144</v>
      </c>
      <c r="AA47" s="3" cm="1">
        <f t="array" ref="AA47">TREND($B$66:$B$116,AA$66:AA$116,AA15)</f>
        <v>3.68774413406383</v>
      </c>
      <c r="AB47" s="3" cm="1">
        <f t="array" ref="AB47">TREND($B$66:$B$116,AB$66:AB$116,AB15)</f>
        <v>0.211726095950539</v>
      </c>
      <c r="AC47" s="3" cm="1">
        <f t="array" ref="AC47">TREND($B$66:$B$116,AC$66:AC$116,AC15)</f>
        <v>0.246447047266816</v>
      </c>
      <c r="AD47" s="3" cm="1">
        <f t="array" ref="AD47">TREND($B$66:$B$116,AD$66:AD$116,AD15)</f>
        <v>0.963085970557521</v>
      </c>
      <c r="AE47" s="3" cm="1">
        <f t="array" ref="AE47">TREND($B$66:$B$116,AE$66:AE$116,AE15)</f>
        <v>3.26172183811406</v>
      </c>
      <c r="AF47" s="3" cm="1">
        <f t="array" ref="AF47">TREND($B$66:$B$116,AF$66:AF$116,AF15)</f>
        <v>0.62905799593455</v>
      </c>
      <c r="AG47" s="3" cm="1">
        <f t="array" ref="AG47">TREND($B$66:$B$116,AG$66:AG$116,AG15)</f>
        <v>0.496092501164331</v>
      </c>
    </row>
    <row r="48" spans="2:34">
      <c r="B48" s="14" t="s">
        <v>146</v>
      </c>
      <c r="C48" s="3" cm="1">
        <f t="array" ref="C48">TREND($B$66:$B$116,C$66:C$116,C16)</f>
        <v>3.20558099087988</v>
      </c>
      <c r="D48" s="3" cm="1">
        <f t="array" ref="D48">TREND($B$66:$B$116,D$66:D$116,D16)</f>
        <v>1.51444701037329</v>
      </c>
      <c r="E48" s="3" cm="1">
        <f t="array" ref="E48">TREND($B$66:$B$116,E$66:E$116,E16)</f>
        <v>4.76029390298077</v>
      </c>
      <c r="F48" s="3" cm="1">
        <f t="array" ref="F48">TREND($B$66:$B$116,F$66:F$116,F16)</f>
        <v>1.60212329736002</v>
      </c>
      <c r="G48" s="3" cm="1">
        <f t="array" ref="G48">TREND($B$66:$B$116,G$66:G$116,G16)</f>
        <v>1.83349975931679</v>
      </c>
      <c r="H48" s="3" cm="1">
        <f t="array" ref="H48">TREND($B$66:$B$116,H$66:H$116,H16)</f>
        <v>5.60116609059824</v>
      </c>
      <c r="I48" s="3" cm="1">
        <f t="array" ref="I48">TREND($B$66:$B$116,I$66:I$116,I16)</f>
        <v>15.6546351214447</v>
      </c>
      <c r="J48" s="3" cm="1">
        <f t="array" ref="J48">TREND($B$66:$B$116,J$66:J$116,J16)</f>
        <v>9.71682742774883</v>
      </c>
      <c r="K48" s="3" cm="1">
        <f t="array" ref="K48">TREND($B$66:$B$116,K$66:K$116,K16)</f>
        <v>4.50092021072775</v>
      </c>
      <c r="L48" s="3" cm="1">
        <f t="array" ref="L48">TREND($B$66:$B$116,L$66:L$116,L16)</f>
        <v>8.61342127556122</v>
      </c>
      <c r="M48" s="3" cm="1">
        <f t="array" ref="M48">TREND($B$66:$B$116,M$66:M$116,M16)</f>
        <v>4.91399391480405</v>
      </c>
      <c r="N48" s="3" cm="1">
        <f t="array" ref="N48">TREND($B$66:$B$116,N$66:N$116,N16)</f>
        <v>3.23683178597156</v>
      </c>
      <c r="O48" s="3" cm="1">
        <f t="array" ref="O48">TREND($B$66:$B$116,O$66:O$116,O16)</f>
        <v>1.7159469801117</v>
      </c>
      <c r="P48" s="3" cm="1">
        <f t="array" ref="P48">TREND($B$66:$B$116,P$66:P$116,P16)</f>
        <v>0.198690322841729</v>
      </c>
      <c r="Q48" s="3" cm="1">
        <f t="array" ref="Q48">TREND($B$66:$B$116,Q$66:Q$116,Q16)</f>
        <v>0.298442385897169</v>
      </c>
      <c r="R48" s="3" cm="1">
        <f t="array" ref="R48">TREND($B$66:$B$116,R$66:R$116,R16)</f>
        <v>0.205315207838227</v>
      </c>
      <c r="S48" s="3" cm="1">
        <f t="array" ref="S48">TREND($B$66:$B$116,S$66:S$116,S16)</f>
        <v>0.627881382976416</v>
      </c>
      <c r="T48" s="3" cm="1">
        <f t="array" ref="T48">TREND($B$66:$B$116,T$66:T$116,T16)</f>
        <v>0.443645436230053</v>
      </c>
      <c r="U48" s="3" cm="1">
        <f t="array" ref="U48">TREND($B$66:$B$116,U$66:U$116,U16)</f>
        <v>0.799848241565875</v>
      </c>
      <c r="V48" s="3" t="e" cm="1">
        <f t="array" ref="V48">TREND($B$66:$B$116,V$66:V$116,V16)</f>
        <v>#VALUE!</v>
      </c>
      <c r="W48" s="3" cm="1">
        <f t="array" ref="W48">TREND($B$66:$B$116,W$66:W$116,W16)</f>
        <v>1.24076623008859</v>
      </c>
      <c r="X48" s="3" cm="1">
        <f t="array" ref="X48">TREND($B$66:$B$116,X$66:X$116,X16)</f>
        <v>5.08465838970182</v>
      </c>
      <c r="Y48" s="3" cm="1">
        <f t="array" ref="Y48">TREND($B$66:$B$116,Y$66:Y$116,Y16)</f>
        <v>4.54494393712246</v>
      </c>
      <c r="Z48" s="3" cm="1">
        <f t="array" ref="Z48">TREND($B$66:$B$116,Z$66:Z$116,Z16)</f>
        <v>4.70992521825022</v>
      </c>
      <c r="AA48" s="3" cm="1">
        <f t="array" ref="AA48">TREND($B$66:$B$116,AA$66:AA$116,AA16)</f>
        <v>4.84694126670603</v>
      </c>
      <c r="AB48" s="3" cm="1">
        <f t="array" ref="AB48">TREND($B$66:$B$116,AB$66:AB$116,AB16)</f>
        <v>5.18617553684533</v>
      </c>
      <c r="AC48" s="3" cm="1">
        <f t="array" ref="AC48">TREND($B$66:$B$116,AC$66:AC$116,AC16)</f>
        <v>3.57097558982896</v>
      </c>
      <c r="AD48" s="3" cm="1">
        <f t="array" ref="AD48">TREND($B$66:$B$116,AD$66:AD$116,AD16)</f>
        <v>2.40857352903383</v>
      </c>
      <c r="AE48" s="3" cm="1">
        <f t="array" ref="AE48">TREND($B$66:$B$116,AE$66:AE$116,AE16)</f>
        <v>5.05855578253745</v>
      </c>
      <c r="AF48" s="3" cm="1">
        <f t="array" ref="AF48">TREND($B$66:$B$116,AF$66:AF$116,AF16)</f>
        <v>5.12736536721784</v>
      </c>
      <c r="AG48" s="3" cm="1">
        <f t="array" ref="AG48">TREND($B$66:$B$116,AG$66:AG$116,AG16)</f>
        <v>4.72228069540465</v>
      </c>
    </row>
    <row r="49" spans="2:34">
      <c r="B49" s="14" t="s">
        <v>147</v>
      </c>
      <c r="C49" s="3" cm="1">
        <f t="array" ref="C49">TREND($B$66:$B$116,C$66:C$116,C17)</f>
        <v>2.35344141858876</v>
      </c>
      <c r="D49" s="3" cm="1">
        <f t="array" ref="D49">TREND($B$66:$B$116,D$66:D$116,D17)</f>
        <v>0.0860531347442972</v>
      </c>
      <c r="E49" s="3" cm="1">
        <f t="array" ref="E49">TREND($B$66:$B$116,E$66:E$116,E17)</f>
        <v>4.6267564360063</v>
      </c>
      <c r="F49" s="3" cm="1">
        <f t="array" ref="F49">TREND($B$66:$B$116,F$66:F$116,F17)</f>
        <v>0.0927678037720194</v>
      </c>
      <c r="G49" s="3" cm="1">
        <f t="array" ref="G49">TREND($B$66:$B$116,G$66:G$116,G17)</f>
        <v>0.0875348666820457</v>
      </c>
      <c r="H49" s="3" cm="1">
        <f t="array" ref="H49">TREND($B$66:$B$116,H$66:H$116,H17)</f>
        <v>0.187366583858631</v>
      </c>
      <c r="I49" s="3" cm="1">
        <f t="array" ref="I49">TREND($B$66:$B$116,I$66:I$116,I17)</f>
        <v>0.789814008401714</v>
      </c>
      <c r="J49" s="3" cm="1">
        <f t="array" ref="J49">TREND($B$66:$B$116,J$66:J$116,J17)</f>
        <v>0.117847973224945</v>
      </c>
      <c r="K49" s="3" cm="1">
        <f t="array" ref="K49">TREND($B$66:$B$116,K$66:K$116,K17)</f>
        <v>0.434779800389753</v>
      </c>
      <c r="L49" s="3" cm="1">
        <f t="array" ref="L49">TREND($B$66:$B$116,L$66:L$116,L17)</f>
        <v>0.0397747790478324</v>
      </c>
      <c r="M49" s="3" cm="1">
        <f t="array" ref="M49">TREND($B$66:$B$116,M$66:M$116,M17)</f>
        <v>0.0515578103528895</v>
      </c>
      <c r="N49" s="3" cm="1">
        <f t="array" ref="N49">TREND($B$66:$B$116,N$66:N$116,N17)</f>
        <v>0.309726787003158</v>
      </c>
      <c r="O49" s="3" cm="1">
        <f t="array" ref="O49">TREND($B$66:$B$116,O$66:O$116,O17)</f>
        <v>0.57830388158562</v>
      </c>
      <c r="P49" s="3" cm="1">
        <f t="array" ref="P49">TREND($B$66:$B$116,P$66:P$116,P17)</f>
        <v>0.198690322841729</v>
      </c>
      <c r="Q49" s="3" cm="1">
        <f t="array" ref="Q49">TREND($B$66:$B$116,Q$66:Q$116,Q17)</f>
        <v>0.298442385897169</v>
      </c>
      <c r="R49" s="3" cm="1">
        <f t="array" ref="R49">TREND($B$66:$B$116,R$66:R$116,R17)</f>
        <v>0.205315207838227</v>
      </c>
      <c r="S49" s="3" cm="1">
        <f t="array" ref="S49">TREND($B$66:$B$116,S$66:S$116,S17)</f>
        <v>0.00218562447544279</v>
      </c>
      <c r="T49" s="3" cm="1">
        <f t="array" ref="T49">TREND($B$66:$B$116,T$66:T$116,T17)</f>
        <v>0.007518127709365</v>
      </c>
      <c r="U49" s="3" cm="1">
        <f t="array" ref="U49">TREND($B$66:$B$116,U$66:U$116,U17)</f>
        <v>0.0166474920060686</v>
      </c>
      <c r="V49" s="3" t="e" cm="1">
        <f t="array" ref="V49">TREND($B$66:$B$116,V$66:V$116,V17)</f>
        <v>#VALUE!</v>
      </c>
      <c r="W49" s="3" cm="1">
        <f t="array" ref="W49">TREND($B$66:$B$116,W$66:W$116,W17)</f>
        <v>0.00995871966654302</v>
      </c>
      <c r="X49" s="3" cm="1">
        <f t="array" ref="X49">TREND($B$66:$B$116,X$66:X$116,X17)</f>
        <v>1.7110195504216</v>
      </c>
      <c r="Y49" s="3" cm="1">
        <f t="array" ref="Y49">TREND($B$66:$B$116,Y$66:Y$116,Y17)</f>
        <v>0.511548396873951</v>
      </c>
      <c r="Z49" s="3" cm="1">
        <f t="array" ref="Z49">TREND($B$66:$B$116,Z$66:Z$116,Z17)</f>
        <v>1.51602010758009</v>
      </c>
      <c r="AA49" s="3" cm="1">
        <f t="array" ref="AA49">TREND($B$66:$B$116,AA$66:AA$116,AA17)</f>
        <v>0.496466024445286</v>
      </c>
      <c r="AB49" s="3" cm="1">
        <f t="array" ref="AB49">TREND($B$66:$B$116,AB$66:AB$116,AB17)</f>
        <v>0.211726095950539</v>
      </c>
      <c r="AC49" s="3" cm="1">
        <f t="array" ref="AC49">TREND($B$66:$B$116,AC$66:AC$116,AC17)</f>
        <v>0.156241167279497</v>
      </c>
      <c r="AD49" s="3" cm="1">
        <f t="array" ref="AD49">TREND($B$66:$B$116,AD$66:AD$116,AD17)</f>
        <v>0.446969754452258</v>
      </c>
      <c r="AE49" s="3" cm="1">
        <f t="array" ref="AE49">TREND($B$66:$B$116,AE$66:AE$116,AE17)</f>
        <v>0.174652810869119</v>
      </c>
      <c r="AF49" s="3" cm="1">
        <f t="array" ref="AF49">TREND($B$66:$B$116,AF$66:AF$116,AF17)</f>
        <v>1.70484508776995</v>
      </c>
      <c r="AG49" s="3" cm="1">
        <f t="array" ref="AG49">TREND($B$66:$B$116,AG$66:AG$116,AG17)</f>
        <v>1.59833955398653</v>
      </c>
    </row>
    <row r="50" spans="2:34">
      <c r="B50" s="13" t="s">
        <v>152</v>
      </c>
      <c r="C50" s="3" cm="1">
        <f t="array" ref="C50">TREND($B$66:$B$116,C$66:C$116,C18)</f>
        <v>5.31660520216389</v>
      </c>
      <c r="D50" s="3" cm="1">
        <f t="array" ref="D50">TREND($B$66:$B$116,D$66:D$116,D18)</f>
        <v>8.81836394150691</v>
      </c>
      <c r="E50" s="3" cm="1">
        <f t="array" ref="E50">TREND($B$66:$B$116,E$66:E$116,E18)</f>
        <v>5.1106105697305</v>
      </c>
      <c r="F50" s="3" cm="1">
        <f t="array" ref="F50">TREND($B$66:$B$116,F$66:F$116,F18)</f>
        <v>7.67721486168119</v>
      </c>
      <c r="G50" s="3" cm="1">
        <f t="array" ref="G50">TREND($B$66:$B$116,G$66:G$116,G18)</f>
        <v>7.26386271738285</v>
      </c>
      <c r="H50" s="3" cm="1">
        <f t="array" ref="H50">TREND($B$66:$B$116,H$66:H$116,H18)</f>
        <v>6.52729449945954</v>
      </c>
      <c r="I50" s="3" cm="1">
        <f t="array" ref="I50">TREND($B$66:$B$116,I$66:I$116,I18)</f>
        <v>9.13372523658069</v>
      </c>
      <c r="J50" s="3" cm="1">
        <f t="array" ref="J50">TREND($B$66:$B$116,J$66:J$116,J18)</f>
        <v>7.23974272328492</v>
      </c>
      <c r="K50" s="3" cm="1">
        <f t="array" ref="K50">TREND($B$66:$B$116,K$66:K$116,K18)</f>
        <v>2.72929904437862</v>
      </c>
      <c r="L50" s="3" cm="1">
        <f t="array" ref="L50">TREND($B$66:$B$116,L$66:L$116,L18)</f>
        <v>4.36024632298647</v>
      </c>
      <c r="M50" s="3" cm="1">
        <f t="array" ref="M50">TREND($B$66:$B$116,M$66:M$116,M18)</f>
        <v>3.16517903732053</v>
      </c>
      <c r="N50" s="3" cm="1">
        <f t="array" ref="N50">TREND($B$66:$B$116,N$66:N$116,N18)</f>
        <v>1.73406715773644</v>
      </c>
      <c r="O50" s="3" cm="1">
        <f t="array" ref="O50">TREND($B$66:$B$116,O$66:O$116,O18)</f>
        <v>0.57830388158562</v>
      </c>
      <c r="P50" s="3" cm="1">
        <f t="array" ref="P50">TREND($B$66:$B$116,P$66:P$116,P18)</f>
        <v>4.18180845697024</v>
      </c>
      <c r="Q50" s="3" cm="1">
        <f t="array" ref="Q50">TREND($B$66:$B$116,Q$66:Q$116,Q18)</f>
        <v>6.28127668933987</v>
      </c>
      <c r="R50" s="3" cm="1">
        <f t="array" ref="R50">TREND($B$66:$B$116,R$66:R$116,R18)</f>
        <v>2.17791991859282</v>
      </c>
      <c r="S50" s="3" cm="1">
        <f t="array" ref="S50">TREND($B$66:$B$116,S$66:S$116,S18)</f>
        <v>1.04673787053572</v>
      </c>
      <c r="T50" s="3" cm="1">
        <f t="array" ref="T50">TREND($B$66:$B$116,T$66:T$116,T18)</f>
        <v>2.69773874498583</v>
      </c>
      <c r="U50" s="3" cm="1">
        <f t="array" ref="U50">TREND($B$66:$B$116,U$66:U$116,U18)</f>
        <v>6.1054113634459</v>
      </c>
      <c r="V50" s="3" t="e" cm="1">
        <f t="array" ref="V50">TREND($B$66:$B$116,V$66:V$116,V18)</f>
        <v>#VALUE!</v>
      </c>
      <c r="W50" s="3" cm="1">
        <f t="array" ref="W50">TREND($B$66:$B$116,W$66:W$116,W18)</f>
        <v>5.34959514672214</v>
      </c>
      <c r="X50" s="3" cm="1">
        <f t="array" ref="X50">TREND($B$66:$B$116,X$66:X$116,X18)</f>
        <v>5.38476177576451</v>
      </c>
      <c r="Y50" s="3" cm="1">
        <f t="array" ref="Y50">TREND($B$66:$B$116,Y$66:Y$116,Y18)</f>
        <v>1.31076237664426</v>
      </c>
      <c r="Z50" s="3" cm="1">
        <f t="array" ref="Z50">TREND($B$66:$B$116,Z$66:Z$116,Z18)</f>
        <v>2.19352066772244</v>
      </c>
      <c r="AA50" s="3" cm="1">
        <f t="array" ref="AA50">TREND($B$66:$B$116,AA$66:AA$116,AA18)</f>
        <v>8.34148789051769</v>
      </c>
      <c r="AB50" s="3" cm="1">
        <f t="array" ref="AB50">TREND($B$66:$B$116,AB$66:AB$116,AB18)</f>
        <v>1.98402141536822</v>
      </c>
      <c r="AC50" s="3" cm="1">
        <f t="array" ref="AC50">TREND($B$66:$B$116,AC$66:AC$116,AC18)</f>
        <v>1.12611341852973</v>
      </c>
      <c r="AD50" s="3" cm="1">
        <f t="array" ref="AD50">TREND($B$66:$B$116,AD$66:AD$116,AD18)</f>
        <v>3.87986368779947</v>
      </c>
      <c r="AE50" s="3" cm="1">
        <f t="array" ref="AE50">TREND($B$66:$B$116,AE$66:AE$116,AE18)</f>
        <v>9.82534718913089</v>
      </c>
      <c r="AF50" s="3" cm="1">
        <f t="array" ref="AF50">TREND($B$66:$B$116,AF$66:AF$116,AF18)</f>
        <v>5.35767899189668</v>
      </c>
      <c r="AG50" s="3" cm="1">
        <f t="array" ref="AG50">TREND($B$66:$B$116,AG$66:AG$116,AG18)</f>
        <v>1.64816748513879</v>
      </c>
    </row>
    <row r="51" spans="2:34">
      <c r="B51" s="14" t="s">
        <v>156</v>
      </c>
      <c r="C51" s="3" cm="1">
        <f t="array" ref="C51">TREND($B$66:$B$116,C$66:C$116,C19)</f>
        <v>5.31814692622896</v>
      </c>
      <c r="D51" s="3" cm="1">
        <f t="array" ref="D51">TREND($B$66:$B$116,D$66:D$116,D19)</f>
        <v>3.73025229807246</v>
      </c>
      <c r="E51" s="3" cm="1">
        <f t="array" ref="E51">TREND($B$66:$B$116,E$66:E$116,E19)</f>
        <v>4.57561727238451</v>
      </c>
      <c r="F51" s="3" cm="1">
        <f t="array" ref="F51">TREND($B$66:$B$116,F$66:F$116,F19)</f>
        <v>3.64027922447432</v>
      </c>
      <c r="G51" s="3" cm="1">
        <f t="array" ref="G51">TREND($B$66:$B$116,G$66:G$116,G19)</f>
        <v>3.75563282124018</v>
      </c>
      <c r="H51" s="3" cm="1">
        <f t="array" ref="H51">TREND($B$66:$B$116,H$66:H$116,H19)</f>
        <v>2.38044930830666</v>
      </c>
      <c r="I51" s="3" cm="1">
        <f t="array" ref="I51">TREND($B$66:$B$116,I$66:I$116,I19)</f>
        <v>5.84022683743535</v>
      </c>
      <c r="J51" s="3" cm="1">
        <f t="array" ref="J51">TREND($B$66:$B$116,J$66:J$116,J19)</f>
        <v>0.35501384117176</v>
      </c>
      <c r="K51" s="3" cm="1">
        <f t="array" ref="K51">TREND($B$66:$B$116,K$66:K$116,K19)</f>
        <v>4.58001285305087</v>
      </c>
      <c r="L51" s="3" cm="1">
        <f t="array" ref="L51">TREND($B$66:$B$116,L$66:L$116,L19)</f>
        <v>3.37094525508995</v>
      </c>
      <c r="M51" s="3" cm="1">
        <f t="array" ref="M51">TREND($B$66:$B$116,M$66:M$116,M19)</f>
        <v>0.269253086902368</v>
      </c>
      <c r="N51" s="3" cm="1">
        <f t="array" ref="N51">TREND($B$66:$B$116,N$66:N$116,N19)</f>
        <v>0.693197600721835</v>
      </c>
      <c r="O51" s="3" cm="1">
        <f t="array" ref="O51">TREND($B$66:$B$116,O$66:O$116,O19)</f>
        <v>0.57830388158562</v>
      </c>
      <c r="P51" s="3" cm="1">
        <f t="array" ref="P51">TREND($B$66:$B$116,P$66:P$116,P19)</f>
        <v>0.198690322841729</v>
      </c>
      <c r="Q51" s="3" cm="1">
        <f t="array" ref="Q51">TREND($B$66:$B$116,Q$66:Q$116,Q19)</f>
        <v>0.298442385897169</v>
      </c>
      <c r="R51" s="3" cm="1">
        <f t="array" ref="R51">TREND($B$66:$B$116,R$66:R$116,R19)</f>
        <v>0.205315207838227</v>
      </c>
      <c r="S51" s="3" cm="1">
        <f t="array" ref="S51">TREND($B$66:$B$116,S$66:S$116,S19)</f>
        <v>0.159970595067203</v>
      </c>
      <c r="T51" s="3" cm="1">
        <f t="array" ref="T51">TREND($B$66:$B$116,T$66:T$116,T19)</f>
        <v>1.50573883913017</v>
      </c>
      <c r="U51" s="3" cm="1">
        <f t="array" ref="U51">TREND($B$66:$B$116,U$66:U$116,U19)</f>
        <v>0.803077297168945</v>
      </c>
      <c r="V51" s="3" t="e" cm="1">
        <f t="array" ref="V51">TREND($B$66:$B$116,V$66:V$116,V19)</f>
        <v>#VALUE!</v>
      </c>
      <c r="W51" s="3" cm="1">
        <f t="array" ref="W51">TREND($B$66:$B$116,W$66:W$116,W19)</f>
        <v>1.12295087732541</v>
      </c>
      <c r="X51" s="3" cm="1">
        <f t="array" ref="X51">TREND($B$66:$B$116,X$66:X$116,X19)</f>
        <v>9.88002394592632</v>
      </c>
      <c r="Y51" s="3" cm="1">
        <f t="array" ref="Y51">TREND($B$66:$B$116,Y$66:Y$116,Y19)</f>
        <v>9.85955180389621</v>
      </c>
      <c r="Z51" s="3" cm="1">
        <f t="array" ref="Z51">TREND($B$66:$B$116,Z$66:Z$116,Z19)</f>
        <v>2.23529840253136</v>
      </c>
      <c r="AA51" s="3" cm="1">
        <f t="array" ref="AA51">TREND($B$66:$B$116,AA$66:AA$116,AA19)</f>
        <v>2.04835041927114</v>
      </c>
      <c r="AB51" s="3" cm="1">
        <f t="array" ref="AB51">TREND($B$66:$B$116,AB$66:AB$116,AB19)</f>
        <v>0.211726095950539</v>
      </c>
      <c r="AC51" s="3" cm="1">
        <f t="array" ref="AC51">TREND($B$66:$B$116,AC$66:AC$116,AC19)</f>
        <v>0.156241167279497</v>
      </c>
      <c r="AD51" s="3" cm="1">
        <f t="array" ref="AD51">TREND($B$66:$B$116,AD$66:AD$116,AD19)</f>
        <v>0.446969754452258</v>
      </c>
      <c r="AE51" s="3" cm="1">
        <f t="array" ref="AE51">TREND($B$66:$B$116,AE$66:AE$116,AE19)</f>
        <v>1.83709556637555</v>
      </c>
      <c r="AF51" s="3" cm="1">
        <f t="array" ref="AF51">TREND($B$66:$B$116,AF$66:AF$116,AF19)</f>
        <v>9.88004041319295</v>
      </c>
      <c r="AG51" s="3" cm="1">
        <f t="array" ref="AG51">TREND($B$66:$B$116,AG$66:AG$116,AG19)</f>
        <v>9.40305733035928</v>
      </c>
    </row>
    <row r="52" spans="2:34">
      <c r="B52" s="14" t="s">
        <v>157</v>
      </c>
      <c r="C52" s="3" cm="1">
        <f t="array" ref="C52">TREND($B$66:$B$116,C$66:C$116,C20)</f>
        <v>5.10390373557316</v>
      </c>
      <c r="D52" s="3" cm="1">
        <f t="array" ref="D52">TREND($B$66:$B$116,D$66:D$116,D20)</f>
        <v>2.26045246421317</v>
      </c>
      <c r="E52" s="3" cm="1">
        <f t="array" ref="E52">TREND($B$66:$B$116,E$66:E$116,E20)</f>
        <v>4.85292146716282</v>
      </c>
      <c r="F52" s="3" cm="1">
        <f t="array" ref="F52">TREND($B$66:$B$116,F$66:F$116,F20)</f>
        <v>1.9256093129261</v>
      </c>
      <c r="G52" s="3" cm="1">
        <f t="array" ref="G52">TREND($B$66:$B$116,G$66:G$116,G20)</f>
        <v>4.15311194940263</v>
      </c>
      <c r="H52" s="3" cm="1">
        <f t="array" ref="H52">TREND($B$66:$B$116,H$66:H$116,H20)</f>
        <v>0.0999999999999954</v>
      </c>
      <c r="I52" s="3" cm="1">
        <f t="array" ref="I52">TREND($B$66:$B$116,I$66:I$116,I20)</f>
        <v>3.80530029343063</v>
      </c>
      <c r="J52" s="3" cm="1">
        <f t="array" ref="J52">TREND($B$66:$B$116,J$66:J$116,J20)</f>
        <v>1.44763920553466</v>
      </c>
      <c r="K52" s="3" cm="1">
        <f t="array" ref="K52">TREND($B$66:$B$116,K$66:K$116,K20)</f>
        <v>0.0486700555873649</v>
      </c>
      <c r="L52" s="3" cm="1">
        <f t="array" ref="L52">TREND($B$66:$B$116,L$66:L$116,L20)</f>
        <v>0.392103588015472</v>
      </c>
      <c r="M52" s="3" cm="1">
        <f t="array" ref="M52">TREND($B$66:$B$116,M$66:M$116,M20)</f>
        <v>0.70127290590466</v>
      </c>
      <c r="N52" s="3" cm="1">
        <f t="array" ref="N52">TREND($B$66:$B$116,N$66:N$116,N20)</f>
        <v>6.59117971689888</v>
      </c>
      <c r="O52" s="3" cm="1">
        <f t="array" ref="O52">TREND($B$66:$B$116,O$66:O$116,O20)</f>
        <v>1.15122467199819</v>
      </c>
      <c r="P52" s="3" cm="1">
        <f t="array" ref="P52">TREND($B$66:$B$116,P$66:P$116,P20)</f>
        <v>4.43805124118372</v>
      </c>
      <c r="Q52" s="3" cm="1">
        <f t="array" ref="Q52">TREND($B$66:$B$116,Q$66:Q$116,Q20)</f>
        <v>1.35875596469058</v>
      </c>
      <c r="R52" s="3" cm="1">
        <f t="array" ref="R52">TREND($B$66:$B$116,R$66:R$116,R20)</f>
        <v>2.28186789437413</v>
      </c>
      <c r="S52" s="3" cm="1">
        <f t="array" ref="S52">TREND($B$66:$B$116,S$66:S$116,S20)</f>
        <v>0.55587879080296</v>
      </c>
      <c r="T52" s="3" cm="1">
        <f t="array" ref="T52">TREND($B$66:$B$116,T$66:T$116,T20)</f>
        <v>0.284351041381561</v>
      </c>
      <c r="U52" s="3" cm="1">
        <f t="array" ref="U52">TREND($B$66:$B$116,U$66:U$116,U20)</f>
        <v>0.852425064521902</v>
      </c>
      <c r="V52" s="3" t="e" cm="1">
        <f t="array" ref="V52">TREND($B$66:$B$116,V$66:V$116,V20)</f>
        <v>#VALUE!</v>
      </c>
      <c r="W52" s="3" cm="1">
        <f t="array" ref="W52">TREND($B$66:$B$116,W$66:W$116,W20)</f>
        <v>3.48884066638953</v>
      </c>
      <c r="X52" s="3" cm="1">
        <f t="array" ref="X52">TREND($B$66:$B$116,X$66:X$116,X20)</f>
        <v>2.42301059499933</v>
      </c>
      <c r="Y52" s="3" cm="1">
        <f t="array" ref="Y52">TREND($B$66:$B$116,Y$66:Y$116,Y20)</f>
        <v>3.69725694573146</v>
      </c>
      <c r="Z52" s="3" cm="1">
        <f t="array" ref="Z52">TREND($B$66:$B$116,Z$66:Z$116,Z20)</f>
        <v>4.02291856548239</v>
      </c>
      <c r="AA52" s="3" cm="1">
        <f t="array" ref="AA52">TREND($B$66:$B$116,AA$66:AA$116,AA20)</f>
        <v>4.54001413474528</v>
      </c>
      <c r="AB52" s="3" cm="1">
        <f t="array" ref="AB52">TREND($B$66:$B$116,AB$66:AB$116,AB20)</f>
        <v>0.390269216830285</v>
      </c>
      <c r="AC52" s="3" cm="1">
        <f t="array" ref="AC52">TREND($B$66:$B$116,AC$66:AC$116,AC20)</f>
        <v>0.600911324877424</v>
      </c>
      <c r="AD52" s="3" cm="1">
        <f t="array" ref="AD52">TREND($B$66:$B$116,AD$66:AD$116,AD20)</f>
        <v>1.15369098908992</v>
      </c>
      <c r="AE52" s="3" cm="1">
        <f t="array" ref="AE52">TREND($B$66:$B$116,AE$66:AE$116,AE20)</f>
        <v>5.87562165918905</v>
      </c>
      <c r="AF52" s="3" cm="1">
        <f t="array" ref="AF52">TREND($B$66:$B$116,AF$66:AF$116,AF20)</f>
        <v>2.35351531849854</v>
      </c>
      <c r="AG52" s="3" cm="1">
        <f t="array" ref="AG52">TREND($B$66:$B$116,AG$66:AG$116,AG20)</f>
        <v>2.14565560274215</v>
      </c>
    </row>
    <row r="53" spans="2:34">
      <c r="B53" s="14" t="s">
        <v>1375</v>
      </c>
      <c r="C53" s="3" cm="1">
        <f t="array" ref="C53">TREND($B$66:$B$116,C$66:C$116,C21)</f>
        <v>4.59708698610617</v>
      </c>
      <c r="D53" s="3" cm="1">
        <f t="array" ref="D53">TREND($B$66:$B$116,D$66:D$116,D21)</f>
        <v>1.77537558034266</v>
      </c>
      <c r="E53" s="3" cm="1">
        <f t="array" ref="E53">TREND($B$66:$B$116,E$66:E$116,E21)</f>
        <v>4.65438816833142</v>
      </c>
      <c r="F53" s="3" cm="1">
        <f t="array" ref="F53">TREND($B$66:$B$116,F$66:F$116,F21)</f>
        <v>2.25480798776197</v>
      </c>
      <c r="G53" s="3" cm="1">
        <f t="array" ref="G53">TREND($B$66:$B$116,G$66:G$116,G21)</f>
        <v>2.12654870463681</v>
      </c>
      <c r="H53" s="3" cm="1">
        <f t="array" ref="H53">TREND($B$66:$B$116,H$66:H$116,H21)</f>
        <v>0.735168231794037</v>
      </c>
      <c r="I53" s="3" cm="1">
        <f t="array" ref="I53">TREND($B$66:$B$116,I$66:I$116,I21)</f>
        <v>1.20184178321314</v>
      </c>
      <c r="J53" s="3" cm="1">
        <f t="array" ref="J53">TREND($B$66:$B$116,J$66:J$116,J21)</f>
        <v>0.350780663192464</v>
      </c>
      <c r="K53" s="3" cm="1">
        <f t="array" ref="K53">TREND($B$66:$B$116,K$66:K$116,K21)</f>
        <v>2.39491754757463</v>
      </c>
      <c r="L53" s="3" cm="1">
        <f t="array" ref="L53">TREND($B$66:$B$116,L$66:L$116,L21)</f>
        <v>1.52426480559082</v>
      </c>
      <c r="M53" s="3" cm="1">
        <f t="array" ref="M53">TREND($B$66:$B$116,M$66:M$116,M21)</f>
        <v>0.317359802947748</v>
      </c>
      <c r="N53" s="3" cm="1">
        <f t="array" ref="N53">TREND($B$66:$B$116,N$66:N$116,N21)</f>
        <v>0.199917087569601</v>
      </c>
      <c r="O53" s="3" cm="1">
        <f t="array" ref="O53">TREND($B$66:$B$116,O$66:O$116,O21)</f>
        <v>0.57830388158562</v>
      </c>
      <c r="P53" s="3" cm="1">
        <f t="array" ref="P53">TREND($B$66:$B$116,P$66:P$116,P21)</f>
        <v>0.198690322841729</v>
      </c>
      <c r="Q53" s="3" cm="1">
        <f t="array" ref="Q53">TREND($B$66:$B$116,Q$66:Q$116,Q21)</f>
        <v>0.298442385897169</v>
      </c>
      <c r="R53" s="3" cm="1">
        <f t="array" ref="R53">TREND($B$66:$B$116,R$66:R$116,R21)</f>
        <v>0.205315207838227</v>
      </c>
      <c r="S53" s="3" cm="1">
        <f t="array" ref="S53">TREND($B$66:$B$116,S$66:S$116,S21)</f>
        <v>0.322648862531169</v>
      </c>
      <c r="T53" s="3" cm="1">
        <f t="array" ref="T53">TREND($B$66:$B$116,T$66:T$116,T21)</f>
        <v>1.59680678260348</v>
      </c>
      <c r="U53" s="3" cm="1">
        <f t="array" ref="U53">TREND($B$66:$B$116,U$66:U$116,U21)</f>
        <v>7.13861135864372</v>
      </c>
      <c r="V53" s="3" t="e" cm="1">
        <f t="array" ref="V53">TREND($B$66:$B$116,V$66:V$116,V21)</f>
        <v>#VALUE!</v>
      </c>
      <c r="W53" s="3" cm="1">
        <f t="array" ref="W53">TREND($B$66:$B$116,W$66:W$116,W21)</f>
        <v>4.65693427958913</v>
      </c>
      <c r="X53" s="3" cm="1">
        <f t="array" ref="X53">TREND($B$66:$B$116,X$66:X$116,X21)</f>
        <v>1.00032081543557</v>
      </c>
      <c r="Y53" s="3" cm="1">
        <f t="array" ref="Y53">TREND($B$66:$B$116,Y$66:Y$116,Y21)</f>
        <v>0.71086323609407</v>
      </c>
      <c r="Z53" s="3" cm="1">
        <f t="array" ref="Z53">TREND($B$66:$B$116,Z$66:Z$116,Z21)</f>
        <v>0.123573185077695</v>
      </c>
      <c r="AA53" s="3" cm="1">
        <f t="array" ref="AA53">TREND($B$66:$B$116,AA$66:AA$116,AA21)</f>
        <v>2.1373290111253</v>
      </c>
      <c r="AB53" s="3" cm="1">
        <f t="array" ref="AB53">TREND($B$66:$B$116,AB$66:AB$116,AB21)</f>
        <v>0.486766362556439</v>
      </c>
      <c r="AC53" s="3" cm="1">
        <f t="array" ref="AC53">TREND($B$66:$B$116,AC$66:AC$116,AC21)</f>
        <v>0.156241167279497</v>
      </c>
      <c r="AD53" s="3" cm="1">
        <f t="array" ref="AD53">TREND($B$66:$B$116,AD$66:AD$116,AD21)</f>
        <v>0.446969754452258</v>
      </c>
      <c r="AE53" s="3" cm="1">
        <f t="array" ref="AE53">TREND($B$66:$B$116,AE$66:AE$116,AE21)</f>
        <v>1.15202856987628</v>
      </c>
      <c r="AF53" s="3" cm="1">
        <f t="array" ref="AF53">TREND($B$66:$B$116,AF$66:AF$116,AF21)</f>
        <v>0.994802470366098</v>
      </c>
      <c r="AG53" s="3" cm="1">
        <f t="array" ref="AG53">TREND($B$66:$B$116,AG$66:AG$116,AG21)</f>
        <v>1.03889165807251</v>
      </c>
    </row>
    <row r="54" spans="2:34">
      <c r="B54" s="14" t="s">
        <v>160</v>
      </c>
      <c r="C54" s="3" cm="1">
        <f t="array" ref="C54">TREND($B$66:$B$116,C$66:C$116,C22)</f>
        <v>3.44528529898131</v>
      </c>
      <c r="D54" s="3" cm="1">
        <f t="array" ref="D54">TREND($B$66:$B$116,D$66:D$116,D22)</f>
        <v>1.32950526115163</v>
      </c>
      <c r="E54" s="3" cm="1">
        <f t="array" ref="E54">TREND($B$66:$B$116,E$66:E$116,E22)</f>
        <v>4.63347231617908</v>
      </c>
      <c r="F54" s="3" cm="1">
        <f t="array" ref="F54">TREND($B$66:$B$116,F$66:F$116,F22)</f>
        <v>2.02135512944027</v>
      </c>
      <c r="G54" s="3" cm="1">
        <f t="array" ref="G54">TREND($B$66:$B$116,G$66:G$116,G22)</f>
        <v>1.88022676652109</v>
      </c>
      <c r="H54" s="3" cm="1">
        <f t="array" ref="H54">TREND($B$66:$B$116,H$66:H$116,H22)</f>
        <v>3.43972042456055</v>
      </c>
      <c r="I54" s="3" cm="1">
        <f t="array" ref="I54">TREND($B$66:$B$116,I$66:I$116,I22)</f>
        <v>2.93782361642634</v>
      </c>
      <c r="J54" s="3" cm="1">
        <f t="array" ref="J54">TREND($B$66:$B$116,J$66:J$116,J22)</f>
        <v>0.154467206893975</v>
      </c>
      <c r="K54" s="3" cm="1">
        <f t="array" ref="K54">TREND($B$66:$B$116,K$66:K$116,K22)</f>
        <v>2.84977457674086</v>
      </c>
      <c r="L54" s="3" cm="1">
        <f t="array" ref="L54">TREND($B$66:$B$116,L$66:L$116,L22)</f>
        <v>1.99492341509611</v>
      </c>
      <c r="M54" s="3" cm="1">
        <f t="array" ref="M54">TREND($B$66:$B$116,M$66:M$116,M22)</f>
        <v>0.0546468321022653</v>
      </c>
      <c r="N54" s="3" cm="1">
        <f t="array" ref="N54">TREND($B$66:$B$116,N$66:N$116,N22)</f>
        <v>0.362499218141049</v>
      </c>
      <c r="O54" s="3" cm="1">
        <f t="array" ref="O54">TREND($B$66:$B$116,O$66:O$116,O22)</f>
        <v>0.57830388158562</v>
      </c>
      <c r="P54" s="3" cm="1">
        <f t="array" ref="P54">TREND($B$66:$B$116,P$66:P$116,P22)</f>
        <v>0.198690322841729</v>
      </c>
      <c r="Q54" s="3" cm="1">
        <f t="array" ref="Q54">TREND($B$66:$B$116,Q$66:Q$116,Q22)</f>
        <v>0.298442385897169</v>
      </c>
      <c r="R54" s="3" cm="1">
        <f t="array" ref="R54">TREND($B$66:$B$116,R$66:R$116,R22)</f>
        <v>0.205315207838227</v>
      </c>
      <c r="S54" s="3" cm="1">
        <f t="array" ref="S54">TREND($B$66:$B$116,S$66:S$116,S22)</f>
        <v>0.184360260788655</v>
      </c>
      <c r="T54" s="3" cm="1">
        <f t="array" ref="T54">TREND($B$66:$B$116,T$66:T$116,T22)</f>
        <v>0.328835829056669</v>
      </c>
      <c r="U54" s="3" cm="1">
        <f t="array" ref="U54">TREND($B$66:$B$116,U$66:U$116,U22)</f>
        <v>0.650317790364196</v>
      </c>
      <c r="V54" s="3" t="e" cm="1">
        <f t="array" ref="V54">TREND($B$66:$B$116,V$66:V$116,V22)</f>
        <v>#VALUE!</v>
      </c>
      <c r="W54" s="3" cm="1">
        <f t="array" ref="W54">TREND($B$66:$B$116,W$66:W$116,W22)</f>
        <v>0.390252389883944</v>
      </c>
      <c r="X54" s="3" cm="1">
        <f t="array" ref="X54">TREND($B$66:$B$116,X$66:X$116,X22)</f>
        <v>5.16625914853481</v>
      </c>
      <c r="Y54" s="3" cm="1">
        <f t="array" ref="Y54">TREND($B$66:$B$116,Y$66:Y$116,Y22)</f>
        <v>3.72367737092896</v>
      </c>
      <c r="Z54" s="3" cm="1">
        <f t="array" ref="Z54">TREND($B$66:$B$116,Z$66:Z$116,Z22)</f>
        <v>2.44447061824325</v>
      </c>
      <c r="AA54" s="3" cm="1">
        <f t="array" ref="AA54">TREND($B$66:$B$116,AA$66:AA$116,AA22)</f>
        <v>1.77004038272281</v>
      </c>
      <c r="AB54" s="3" cm="1">
        <f t="array" ref="AB54">TREND($B$66:$B$116,AB$66:AB$116,AB22)</f>
        <v>0.211726095950539</v>
      </c>
      <c r="AC54" s="3" cm="1">
        <f t="array" ref="AC54">TREND($B$66:$B$116,AC$66:AC$116,AC22)</f>
        <v>0.156241167279497</v>
      </c>
      <c r="AD54" s="3" cm="1">
        <f t="array" ref="AD54">TREND($B$66:$B$116,AD$66:AD$116,AD22)</f>
        <v>0.446969754452258</v>
      </c>
      <c r="AE54" s="3" cm="1">
        <f t="array" ref="AE54">TREND($B$66:$B$116,AE$66:AE$116,AE22)</f>
        <v>0.709070263377618</v>
      </c>
      <c r="AF54" s="3" cm="1">
        <f t="array" ref="AF54">TREND($B$66:$B$116,AF$66:AF$116,AF22)</f>
        <v>5.09246548505435</v>
      </c>
      <c r="AG54" s="3" cm="1">
        <f t="array" ref="AG54">TREND($B$66:$B$116,AG$66:AG$116,AG22)</f>
        <v>4.64676013258372</v>
      </c>
    </row>
    <row r="55" spans="2:34">
      <c r="B55" s="14" t="s">
        <v>162</v>
      </c>
      <c r="C55" s="3" cm="1">
        <f t="array" ref="C55">TREND($B$66:$B$116,C$66:C$116,C23)</f>
        <v>4.32351851325751</v>
      </c>
      <c r="D55" s="3" cm="1">
        <f t="array" ref="D55">TREND($B$66:$B$116,D$66:D$116,D23)</f>
        <v>3.45196427692873</v>
      </c>
      <c r="E55" s="3" cm="1">
        <f t="array" ref="E55">TREND($B$66:$B$116,E$66:E$116,E23)</f>
        <v>5.11934734979717</v>
      </c>
      <c r="F55" s="3" cm="1">
        <f t="array" ref="F55">TREND($B$66:$B$116,F$66:F$116,F23)</f>
        <v>3.45908158961722</v>
      </c>
      <c r="G55" s="3" cm="1">
        <f t="array" ref="G55">TREND($B$66:$B$116,G$66:G$116,G23)</f>
        <v>3.7582280965617</v>
      </c>
      <c r="H55" s="3" cm="1">
        <f t="array" ref="H55">TREND($B$66:$B$116,H$66:H$116,H23)</f>
        <v>2.05603661251388</v>
      </c>
      <c r="I55" s="3" cm="1">
        <f t="array" ref="I55">TREND($B$66:$B$116,I$66:I$116,I23)</f>
        <v>15.1842268251581</v>
      </c>
      <c r="J55" s="3" cm="1">
        <f t="array" ref="J55">TREND($B$66:$B$116,J$66:J$116,J23)</f>
        <v>12.4252309441135</v>
      </c>
      <c r="K55" s="3" cm="1">
        <f t="array" ref="K55">TREND($B$66:$B$116,K$66:K$116,K23)</f>
        <v>1.92895600379906</v>
      </c>
      <c r="L55" s="3" cm="1">
        <f t="array" ref="L55">TREND($B$66:$B$116,L$66:L$116,L23)</f>
        <v>7.32769144857267</v>
      </c>
      <c r="M55" s="3" cm="1">
        <f t="array" ref="M55">TREND($B$66:$B$116,M$66:M$116,M23)</f>
        <v>5.80419671889153</v>
      </c>
      <c r="N55" s="3" cm="1">
        <f t="array" ref="N55">TREND($B$66:$B$116,N$66:N$116,N23)</f>
        <v>4.42487279377858</v>
      </c>
      <c r="O55" s="3" cm="1">
        <f t="array" ref="O55">TREND($B$66:$B$116,O$66:O$116,O23)</f>
        <v>4.24837830886022</v>
      </c>
      <c r="P55" s="3" cm="1">
        <f t="array" ref="P55">TREND($B$66:$B$116,P$66:P$116,P23)</f>
        <v>2.57933555605626</v>
      </c>
      <c r="Q55" s="3" cm="1">
        <f t="array" ref="Q55">TREND($B$66:$B$116,Q$66:Q$116,Q23)</f>
        <v>5.77539240684898</v>
      </c>
      <c r="R55" s="3" cm="1">
        <f t="array" ref="R55">TREND($B$66:$B$116,R$66:R$116,R23)</f>
        <v>2.86362369578877</v>
      </c>
      <c r="S55" s="3" cm="1">
        <f t="array" ref="S55">TREND($B$66:$B$116,S$66:S$116,S23)</f>
        <v>1.22876808734632</v>
      </c>
      <c r="T55" s="3" cm="1">
        <f t="array" ref="T55">TREND($B$66:$B$116,T$66:T$116,T23)</f>
        <v>9.99248187229064</v>
      </c>
      <c r="U55" s="3" cm="1">
        <f t="array" ref="U55">TREND($B$66:$B$116,U$66:U$116,U23)</f>
        <v>0.747078345469401</v>
      </c>
      <c r="V55" s="3" t="e" cm="1">
        <f t="array" ref="V55">TREND($B$66:$B$116,V$66:V$116,V23)</f>
        <v>#VALUE!</v>
      </c>
      <c r="W55" s="3" cm="1">
        <f t="array" ref="W55">TREND($B$66:$B$116,W$66:W$116,W23)</f>
        <v>3.08638795892169</v>
      </c>
      <c r="X55" s="3" cm="1">
        <f t="array" ref="X55">TREND($B$66:$B$116,X$66:X$116,X23)</f>
        <v>4.12227743775256</v>
      </c>
      <c r="Y55" s="3" cm="1">
        <f t="array" ref="Y55">TREND($B$66:$B$116,Y$66:Y$116,Y23)</f>
        <v>5.0597266443998</v>
      </c>
      <c r="Z55" s="3" cm="1">
        <f t="array" ref="Z55">TREND($B$66:$B$116,Z$66:Z$116,Z23)</f>
        <v>5.69101679890396</v>
      </c>
      <c r="AA55" s="3" cm="1">
        <f t="array" ref="AA55">TREND($B$66:$B$116,AA$66:AA$116,AA23)</f>
        <v>2.62473076659865</v>
      </c>
      <c r="AB55" s="3" cm="1">
        <f t="array" ref="AB55">TREND($B$66:$B$116,AB$66:AB$116,AB23)</f>
        <v>1.96540709064973</v>
      </c>
      <c r="AC55" s="3" cm="1">
        <f t="array" ref="AC55">TREND($B$66:$B$116,AC$66:AC$116,AC23)</f>
        <v>4.5733465910332</v>
      </c>
      <c r="AD55" s="3" cm="1">
        <f t="array" ref="AD55">TREND($B$66:$B$116,AD$66:AD$116,AD23)</f>
        <v>4.79378674092152</v>
      </c>
      <c r="AE55" s="3" cm="1">
        <f t="array" ref="AE55">TREND($B$66:$B$116,AE$66:AE$116,AE23)</f>
        <v>8.13117384289698</v>
      </c>
      <c r="AF55" s="3" cm="1">
        <f t="array" ref="AF55">TREND($B$66:$B$116,AF$66:AF$116,AF23)</f>
        <v>4.07561739005787</v>
      </c>
      <c r="AG55" s="3" cm="1">
        <f t="array" ref="AG55">TREND($B$66:$B$116,AG$66:AG$116,AG23)</f>
        <v>3.53820651929665</v>
      </c>
    </row>
    <row r="56" spans="2:34">
      <c r="B56" s="13" t="s">
        <v>8</v>
      </c>
      <c r="C56" s="3" cm="1">
        <f t="array" ref="C56">TREND($B$66:$B$116,C$66:C$116,C24)</f>
        <v>3.98003780017846</v>
      </c>
      <c r="D56" s="3" cm="1">
        <f t="array" ref="D56">TREND($B$66:$B$116,D$66:D$116,D24)</f>
        <v>1.60319367141939</v>
      </c>
      <c r="E56" s="3" cm="1">
        <f t="array" ref="E56">TREND($B$66:$B$116,E$66:E$116,E24)</f>
        <v>4.81948628478524</v>
      </c>
      <c r="F56" s="3" cm="1">
        <f t="array" ref="F56">TREND($B$66:$B$116,F$66:F$116,F24)</f>
        <v>1.4043872637307</v>
      </c>
      <c r="G56" s="3" cm="1">
        <f t="array" ref="G56">TREND($B$66:$B$116,G$66:G$116,G24)</f>
        <v>1.4615378464691</v>
      </c>
      <c r="H56" s="3" cm="1">
        <f t="array" ref="H56">TREND($B$66:$B$116,H$66:H$116,H24)</f>
        <v>4.15030929820458</v>
      </c>
      <c r="I56" s="3" cm="1">
        <f t="array" ref="I56">TREND($B$66:$B$116,I$66:I$116,I24)</f>
        <v>5.21993385555715</v>
      </c>
      <c r="J56" s="3" cm="1">
        <f t="array" ref="J56">TREND($B$66:$B$116,J$66:J$116,J24)</f>
        <v>0.462452526943419</v>
      </c>
      <c r="K56" s="3" cm="1">
        <f t="array" ref="K56">TREND($B$66:$B$116,K$66:K$116,K24)</f>
        <v>6.47863146612683</v>
      </c>
      <c r="L56" s="3" cm="1">
        <f t="array" ref="L56">TREND($B$66:$B$116,L$66:L$116,L24)</f>
        <v>4.77471981042809</v>
      </c>
      <c r="M56" s="3" cm="1">
        <f t="array" ref="M56">TREND($B$66:$B$116,M$66:M$116,M24)</f>
        <v>0.351204563846573</v>
      </c>
      <c r="N56" s="3" cm="1">
        <f t="array" ref="N56">TREND($B$66:$B$116,N$66:N$116,N24)</f>
        <v>1.06434285055098</v>
      </c>
      <c r="O56" s="3" cm="1">
        <f t="array" ref="O56">TREND($B$66:$B$116,O$66:O$116,O24)</f>
        <v>0.57830388158562</v>
      </c>
      <c r="P56" s="3" cm="1">
        <f t="array" ref="P56">TREND($B$66:$B$116,P$66:P$116,P24)</f>
        <v>0.198690322841729</v>
      </c>
      <c r="Q56" s="3" cm="1">
        <f t="array" ref="Q56">TREND($B$66:$B$116,Q$66:Q$116,Q24)</f>
        <v>0.298442385897169</v>
      </c>
      <c r="R56" s="3" cm="1">
        <f t="array" ref="R56">TREND($B$66:$B$116,R$66:R$116,R24)</f>
        <v>0.205315207838227</v>
      </c>
      <c r="S56" s="3" cm="1">
        <f t="array" ref="S56">TREND($B$66:$B$116,S$66:S$116,S24)</f>
        <v>0.168083325443642</v>
      </c>
      <c r="T56" s="3" cm="1">
        <f t="array" ref="T56">TREND($B$66:$B$116,T$66:T$116,T24)</f>
        <v>2.72161951563766</v>
      </c>
      <c r="U56" s="3" cm="1">
        <f t="array" ref="U56">TREND($B$66:$B$116,U$66:U$116,U24)</f>
        <v>5.08709926304449</v>
      </c>
      <c r="V56" s="3" t="e" cm="1">
        <f t="array" ref="V56">TREND($B$66:$B$116,V$66:V$116,V24)</f>
        <v>#VALUE!</v>
      </c>
      <c r="W56" s="3" cm="1">
        <f t="array" ref="W56">TREND($B$66:$B$116,W$66:W$116,W24)</f>
        <v>7.38009337092564</v>
      </c>
      <c r="X56" s="3" cm="1">
        <f t="array" ref="X56">TREND($B$66:$B$116,X$66:X$116,X24)</f>
        <v>8.13591888614103</v>
      </c>
      <c r="Y56" s="3" cm="1">
        <f t="array" ref="Y56">TREND($B$66:$B$116,Y$66:Y$116,Y24)</f>
        <v>5.18098769017262</v>
      </c>
      <c r="Z56" s="3" cm="1">
        <f t="array" ref="Z56">TREND($B$66:$B$116,Z$66:Z$116,Z24)</f>
        <v>3.16332132389299</v>
      </c>
      <c r="AA56" s="3" cm="1">
        <f t="array" ref="AA56">TREND($B$66:$B$116,AA$66:AA$116,AA24)</f>
        <v>1.86966244666255</v>
      </c>
      <c r="AB56" s="3" cm="1">
        <f t="array" ref="AB56">TREND($B$66:$B$116,AB$66:AB$116,AB24)</f>
        <v>0.517526356042805</v>
      </c>
      <c r="AC56" s="3" cm="1">
        <f t="array" ref="AC56">TREND($B$66:$B$116,AC$66:AC$116,AC24)</f>
        <v>0.376024672577927</v>
      </c>
      <c r="AD56" s="3" cm="1">
        <f t="array" ref="AD56">TREND($B$66:$B$116,AD$66:AD$116,AD24)</f>
        <v>0.651960746567785</v>
      </c>
      <c r="AE56" s="3" cm="1">
        <f t="array" ref="AE56">TREND($B$66:$B$116,AE$66:AE$116,AE24)</f>
        <v>3.50283042992437</v>
      </c>
      <c r="AF56" s="3" cm="1">
        <f t="array" ref="AF56">TREND($B$66:$B$116,AF$66:AF$116,AF24)</f>
        <v>8.21769275099927</v>
      </c>
      <c r="AG56" s="3" cm="1">
        <f t="array" ref="AG56">TREND($B$66:$B$116,AG$66:AG$116,AG24)</f>
        <v>8.4023846542168</v>
      </c>
    </row>
    <row r="57" spans="2:34">
      <c r="B57" s="13" t="s">
        <v>10</v>
      </c>
      <c r="C57" s="3" cm="1">
        <f t="array" ref="C57">TREND($B$66:$B$116,C$66:C$116,C25)</f>
        <v>5.73617832839681</v>
      </c>
      <c r="D57" s="3" cm="1">
        <f t="array" ref="D57">TREND($B$66:$B$116,D$66:D$116,D25)</f>
        <v>2.47322553836343</v>
      </c>
      <c r="E57" s="3" cm="1">
        <f t="array" ref="E57">TREND($B$66:$B$116,E$66:E$116,E25)</f>
        <v>4.87005509039861</v>
      </c>
      <c r="F57" s="3" cm="1">
        <f t="array" ref="F57">TREND($B$66:$B$116,F$66:F$116,F25)</f>
        <v>3.39639313003975</v>
      </c>
      <c r="G57" s="3" cm="1">
        <f t="array" ref="G57">TREND($B$66:$B$116,G$66:G$116,G25)</f>
        <v>3.26393962748614</v>
      </c>
      <c r="H57" s="3" cm="1">
        <f t="array" ref="H57">TREND($B$66:$B$116,H$66:H$116,H25)</f>
        <v>3.45640608583995</v>
      </c>
      <c r="I57" s="3" cm="1">
        <f t="array" ref="I57">TREND($B$66:$B$116,I$66:I$116,I25)</f>
        <v>5.52767939397821</v>
      </c>
      <c r="J57" s="3" cm="1">
        <f t="array" ref="J57">TREND($B$66:$B$116,J$66:J$116,J25)</f>
        <v>0.471768768423273</v>
      </c>
      <c r="K57" s="3" cm="1">
        <f t="array" ref="K57">TREND($B$66:$B$116,K$66:K$116,K25)</f>
        <v>6.78246600376143</v>
      </c>
      <c r="L57" s="3" cm="1">
        <f t="array" ref="L57">TREND($B$66:$B$116,L$66:L$116,L25)</f>
        <v>5.00180513453425</v>
      </c>
      <c r="M57" s="3" cm="1">
        <f t="array" ref="M57">TREND($B$66:$B$116,M$66:M$116,M25)</f>
        <v>0.383259093043652</v>
      </c>
      <c r="N57" s="3" cm="1">
        <f t="array" ref="N57">TREND($B$66:$B$116,N$66:N$116,N25)</f>
        <v>0.262583070853877</v>
      </c>
      <c r="O57" s="3" cm="1">
        <f t="array" ref="O57">TREND($B$66:$B$116,O$66:O$116,O25)</f>
        <v>0.57830388158562</v>
      </c>
      <c r="P57" s="3" cm="1">
        <f t="array" ref="P57">TREND($B$66:$B$116,P$66:P$116,P25)</f>
        <v>1.58025854441087</v>
      </c>
      <c r="Q57" s="3" cm="1">
        <f t="array" ref="Q57">TREND($B$66:$B$116,Q$66:Q$116,Q25)</f>
        <v>2.90600256661917</v>
      </c>
      <c r="R57" s="3" cm="1">
        <f t="array" ref="R57">TREND($B$66:$B$116,R$66:R$116,R25)</f>
        <v>0.205315207838227</v>
      </c>
      <c r="S57" s="3" cm="1">
        <f t="array" ref="S57">TREND($B$66:$B$116,S$66:S$116,S25)</f>
        <v>1.58026253372923</v>
      </c>
      <c r="T57" s="3" cm="1">
        <f t="array" ref="T57">TREND($B$66:$B$116,T$66:T$116,T25)</f>
        <v>2.65949389920826</v>
      </c>
      <c r="U57" s="3" cm="1">
        <f t="array" ref="U57">TREND($B$66:$B$116,U$66:U$116,U25)</f>
        <v>4.91790984518746</v>
      </c>
      <c r="V57" s="3" t="e" cm="1">
        <f t="array" ref="V57">TREND($B$66:$B$116,V$66:V$116,V25)</f>
        <v>#VALUE!</v>
      </c>
      <c r="W57" s="3" cm="1">
        <f t="array" ref="W57">TREND($B$66:$B$116,W$66:W$116,W25)</f>
        <v>7.92233257331922</v>
      </c>
      <c r="X57" s="3" cm="1">
        <f t="array" ref="X57">TREND($B$66:$B$116,X$66:X$116,X25)</f>
        <v>7.32337740278955</v>
      </c>
      <c r="Y57" s="3" cm="1">
        <f t="array" ref="Y57">TREND($B$66:$B$116,Y$66:Y$116,Y25)</f>
        <v>6.90311107634394</v>
      </c>
      <c r="Z57" s="3" cm="1">
        <f t="array" ref="Z57">TREND($B$66:$B$116,Z$66:Z$116,Z25)</f>
        <v>1.62754422376449</v>
      </c>
      <c r="AA57" s="3" cm="1">
        <f t="array" ref="AA57">TREND($B$66:$B$116,AA$66:AA$116,AA25)</f>
        <v>3.28075082053517</v>
      </c>
      <c r="AB57" s="3" cm="1">
        <f t="array" ref="AB57">TREND($B$66:$B$116,AB$66:AB$116,AB25)</f>
        <v>0.56471748480829</v>
      </c>
      <c r="AC57" s="3" cm="1">
        <f t="array" ref="AC57">TREND($B$66:$B$116,AC$66:AC$116,AC25)</f>
        <v>0.335607220065207</v>
      </c>
      <c r="AD57" s="3" cm="1">
        <f t="array" ref="AD57">TREND($B$66:$B$116,AD$66:AD$116,AD25)</f>
        <v>0.623728491761421</v>
      </c>
      <c r="AE57" s="3" cm="1">
        <f t="array" ref="AE57">TREND($B$66:$B$116,AE$66:AE$116,AE25)</f>
        <v>2.36287508786808</v>
      </c>
      <c r="AF57" s="3" cm="1">
        <f t="array" ref="AF57">TREND($B$66:$B$116,AF$66:AF$116,AF25)</f>
        <v>7.39207609074399</v>
      </c>
      <c r="AG57" s="3" cm="1">
        <f t="array" ref="AG57">TREND($B$66:$B$116,AG$66:AG$116,AG25)</f>
        <v>7.68630789797404</v>
      </c>
    </row>
    <row r="58" spans="2:34">
      <c r="B58" s="13" t="s">
        <v>12</v>
      </c>
      <c r="C58" s="3" cm="1">
        <f t="array" ref="C58">TREND($B$66:$B$116,C$66:C$116,C26)</f>
        <v>3.90492889560356</v>
      </c>
      <c r="D58" s="3" cm="1">
        <f t="array" ref="D58">TREND($B$66:$B$116,D$66:D$116,D26)</f>
        <v>1.43495514328049</v>
      </c>
      <c r="E58" s="3" cm="1">
        <f t="array" ref="E58">TREND($B$66:$B$116,E$66:E$116,E26)</f>
        <v>4.88014916177774</v>
      </c>
      <c r="F58" s="3" cm="1">
        <f t="array" ref="F58">TREND($B$66:$B$116,F$66:F$116,F26)</f>
        <v>1.77426360640664</v>
      </c>
      <c r="G58" s="3" cm="1">
        <f t="array" ref="G58">TREND($B$66:$B$116,G$66:G$116,G26)</f>
        <v>1.38445038040316</v>
      </c>
      <c r="H58" s="3" cm="1">
        <f t="array" ref="H58">TREND($B$66:$B$116,H$66:H$116,H26)</f>
        <v>1.47111616470228</v>
      </c>
      <c r="I58" s="3" cm="1">
        <f t="array" ref="I58">TREND($B$66:$B$116,I$66:I$116,I26)</f>
        <v>2.54941900837252</v>
      </c>
      <c r="J58" s="3" cm="1">
        <f t="array" ref="J58">TREND($B$66:$B$116,J$66:J$116,J26)</f>
        <v>0.4264269801082</v>
      </c>
      <c r="K58" s="3" cm="1">
        <f t="array" ref="K58">TREND($B$66:$B$116,K$66:K$116,K26)</f>
        <v>3.33047601667709</v>
      </c>
      <c r="L58" s="3" cm="1">
        <f t="array" ref="L58">TREND($B$66:$B$116,L$66:L$116,L26)</f>
        <v>2.25645526628466</v>
      </c>
      <c r="M58" s="3" cm="1">
        <f t="array" ref="M58">TREND($B$66:$B$116,M$66:M$116,M26)</f>
        <v>0.334374617723086</v>
      </c>
      <c r="N58" s="3" cm="1">
        <f t="array" ref="N58">TREND($B$66:$B$116,N$66:N$116,N26)</f>
        <v>0.399158847928444</v>
      </c>
      <c r="O58" s="3" cm="1">
        <f t="array" ref="O58">TREND($B$66:$B$116,O$66:O$116,O26)</f>
        <v>0.57830388158562</v>
      </c>
      <c r="P58" s="3" cm="1">
        <f t="array" ref="P58">TREND($B$66:$B$116,P$66:P$116,P26)</f>
        <v>0.198690322841729</v>
      </c>
      <c r="Q58" s="3" cm="1">
        <f t="array" ref="Q58">TREND($B$66:$B$116,Q$66:Q$116,Q26)</f>
        <v>0.298442385897169</v>
      </c>
      <c r="R58" s="3" cm="1">
        <f t="array" ref="R58">TREND($B$66:$B$116,R$66:R$116,R26)</f>
        <v>0.205315207838227</v>
      </c>
      <c r="S58" s="3" cm="1">
        <f t="array" ref="S58">TREND($B$66:$B$116,S$66:S$116,S26)</f>
        <v>0.176886932179385</v>
      </c>
      <c r="T58" s="3" cm="1">
        <f t="array" ref="T58">TREND($B$66:$B$116,T$66:T$116,T26)</f>
        <v>1.89395919960769</v>
      </c>
      <c r="U58" s="3" cm="1">
        <f t="array" ref="U58">TREND($B$66:$B$116,U$66:U$116,U26)</f>
        <v>3.91543688171806</v>
      </c>
      <c r="V58" s="3" t="e" cm="1">
        <f t="array" ref="V58">TREND($B$66:$B$116,V$66:V$116,V26)</f>
        <v>#VALUE!</v>
      </c>
      <c r="W58" s="3" cm="1">
        <f t="array" ref="W58">TREND($B$66:$B$116,W$66:W$116,W26)</f>
        <v>6.41944154351998</v>
      </c>
      <c r="X58" s="3" cm="1">
        <f t="array" ref="X58">TREND($B$66:$B$116,X$66:X$116,X26)</f>
        <v>2.04301720554703</v>
      </c>
      <c r="Y58" s="3" cm="1">
        <f t="array" ref="Y58">TREND($B$66:$B$116,Y$66:Y$116,Y26)</f>
        <v>6.01206044301202</v>
      </c>
      <c r="Z58" s="3" cm="1">
        <f t="array" ref="Z58">TREND($B$66:$B$116,Z$66:Z$116,Z26)</f>
        <v>1.33171771534366</v>
      </c>
      <c r="AA58" s="3" cm="1">
        <f t="array" ref="AA58">TREND($B$66:$B$116,AA$66:AA$116,AA26)</f>
        <v>3.11830576133097</v>
      </c>
      <c r="AB58" s="3" cm="1">
        <f t="array" ref="AB58">TREND($B$66:$B$116,AB$66:AB$116,AB26)</f>
        <v>0.876565200806561</v>
      </c>
      <c r="AC58" s="3" cm="1">
        <f t="array" ref="AC58">TREND($B$66:$B$116,AC$66:AC$116,AC26)</f>
        <v>1.308176355334</v>
      </c>
      <c r="AD58" s="3" cm="1">
        <f t="array" ref="AD58">TREND($B$66:$B$116,AD$66:AD$116,AD26)</f>
        <v>0.654671746777355</v>
      </c>
      <c r="AE58" s="3" cm="1">
        <f t="array" ref="AE58">TREND($B$66:$B$116,AE$66:AE$116,AE26)</f>
        <v>6.13855924085147</v>
      </c>
      <c r="AF58" s="3" cm="1">
        <f t="array" ref="AF58">TREND($B$66:$B$116,AF$66:AF$116,AF26)</f>
        <v>2.04893658877729</v>
      </c>
      <c r="AG58" s="3" cm="1">
        <f t="array" ref="AG58">TREND($B$66:$B$116,AG$66:AG$116,AG26)</f>
        <v>2.25214148280899</v>
      </c>
    </row>
    <row r="59" spans="2:34">
      <c r="B59" s="13" t="s">
        <v>14</v>
      </c>
      <c r="C59" s="3" cm="1">
        <f t="array" ref="C59">TREND($B$66:$B$116,C$66:C$116,C27)</f>
        <v>5.93921644197103</v>
      </c>
      <c r="D59" s="3" cm="1">
        <f t="array" ref="D59">TREND($B$66:$B$116,D$66:D$116,D27)</f>
        <v>2.32369527661086</v>
      </c>
      <c r="E59" s="3" cm="1">
        <f t="array" ref="E59">TREND($B$66:$B$116,E$66:E$116,E27)</f>
        <v>4.7530437693836</v>
      </c>
      <c r="F59" s="3" cm="1">
        <f t="array" ref="F59">TREND($B$66:$B$116,F$66:F$116,F27)</f>
        <v>3.74739399652967</v>
      </c>
      <c r="G59" s="3" cm="1">
        <f t="array" ref="G59">TREND($B$66:$B$116,G$66:G$116,G27)</f>
        <v>3.47232628654914</v>
      </c>
      <c r="H59" s="3" cm="1">
        <f t="array" ref="H59">TREND($B$66:$B$116,H$66:H$116,H27)</f>
        <v>2.85477783425983</v>
      </c>
      <c r="I59" s="3" cm="1">
        <f t="array" ref="I59">TREND($B$66:$B$116,I$66:I$116,I27)</f>
        <v>4.11969458640025</v>
      </c>
      <c r="J59" s="3" cm="1">
        <f t="array" ref="J59">TREND($B$66:$B$116,J$66:J$116,J27)</f>
        <v>0.570569380433547</v>
      </c>
      <c r="K59" s="3" cm="1">
        <f t="array" ref="K59">TREND($B$66:$B$116,K$66:K$116,K27)</f>
        <v>5.96673111644372</v>
      </c>
      <c r="L59" s="3" cm="1">
        <f t="array" ref="L59">TREND($B$66:$B$116,L$66:L$116,L27)</f>
        <v>4.42938683457141</v>
      </c>
      <c r="M59" s="3" cm="1">
        <f t="array" ref="M59">TREND($B$66:$B$116,M$66:M$116,M27)</f>
        <v>0.55160179509073</v>
      </c>
      <c r="N59" s="3" cm="1">
        <f t="array" ref="N59">TREND($B$66:$B$116,N$66:N$116,N27)</f>
        <v>0.285878916385418</v>
      </c>
      <c r="O59" s="3" cm="1">
        <f t="array" ref="O59">TREND($B$66:$B$116,O$66:O$116,O27)</f>
        <v>0.57830388158562</v>
      </c>
      <c r="P59" s="3" cm="1">
        <f t="array" ref="P59">TREND($B$66:$B$116,P$66:P$116,P27)</f>
        <v>3.76458026271434</v>
      </c>
      <c r="Q59" s="3" cm="1">
        <f t="array" ref="Q59">TREND($B$66:$B$116,Q$66:Q$116,Q27)</f>
        <v>3.83438792220369</v>
      </c>
      <c r="R59" s="3" cm="1">
        <f t="array" ref="R59">TREND($B$66:$B$116,R$66:R$116,R27)</f>
        <v>0.205315207838227</v>
      </c>
      <c r="S59" s="3" cm="1">
        <f t="array" ref="S59">TREND($B$66:$B$116,S$66:S$116,S27)</f>
        <v>0.0785947630702551</v>
      </c>
      <c r="T59" s="3" cm="1">
        <f t="array" ref="T59">TREND($B$66:$B$116,T$66:T$116,T27)</f>
        <v>2.97425267094289</v>
      </c>
      <c r="U59" s="3" cm="1">
        <f t="array" ref="U59">TREND($B$66:$B$116,U$66:U$116,U27)</f>
        <v>4.38996526408731</v>
      </c>
      <c r="V59" s="3" t="e" cm="1">
        <f t="array" ref="V59">TREND($B$66:$B$116,V$66:V$116,V27)</f>
        <v>#VALUE!</v>
      </c>
      <c r="W59" s="3" cm="1">
        <f t="array" ref="W59">TREND($B$66:$B$116,W$66:W$116,W27)</f>
        <v>9.31678039126534</v>
      </c>
      <c r="X59" s="3" cm="1">
        <f t="array" ref="X59">TREND($B$66:$B$116,X$66:X$116,X27)</f>
        <v>6.07687511535347</v>
      </c>
      <c r="Y59" s="3" cm="1">
        <f t="array" ref="Y59">TREND($B$66:$B$116,Y$66:Y$116,Y27)</f>
        <v>6.84601579469297</v>
      </c>
      <c r="Z59" s="3" cm="1">
        <f t="array" ref="Z59">TREND($B$66:$B$116,Z$66:Z$116,Z27)</f>
        <v>1.94708721562419</v>
      </c>
      <c r="AA59" s="3" cm="1">
        <f t="array" ref="AA59">TREND($B$66:$B$116,AA$66:AA$116,AA27)</f>
        <v>3.26674360077108</v>
      </c>
      <c r="AB59" s="3" cm="1">
        <f t="array" ref="AB59">TREND($B$66:$B$116,AB$66:AB$116,AB27)</f>
        <v>0.298162912668933</v>
      </c>
      <c r="AC59" s="3" cm="1">
        <f t="array" ref="AC59">TREND($B$66:$B$116,AC$66:AC$116,AC27)</f>
        <v>0.16261968622369</v>
      </c>
      <c r="AD59" s="3" cm="1">
        <f t="array" ref="AD59">TREND($B$66:$B$116,AD$66:AD$116,AD27)</f>
        <v>0.446969754452258</v>
      </c>
      <c r="AE59" s="3" cm="1">
        <f t="array" ref="AE59">TREND($B$66:$B$116,AE$66:AE$116,AE27)</f>
        <v>2.52555534800658</v>
      </c>
      <c r="AF59" s="3" cm="1">
        <f t="array" ref="AF59">TREND($B$66:$B$116,AF$66:AF$116,AF27)</f>
        <v>6.0234419945642</v>
      </c>
      <c r="AG59" s="3" cm="1">
        <f t="array" ref="AG59">TREND($B$66:$B$116,AG$66:AG$116,AG27)</f>
        <v>6.59110095949631</v>
      </c>
    </row>
    <row r="60" spans="2:34">
      <c r="B60" s="13" t="s">
        <v>16</v>
      </c>
      <c r="C60" s="3" cm="1">
        <f t="array" ref="C60">TREND($B$66:$B$116,C$66:C$116,C28)</f>
        <v>5.32484974653374</v>
      </c>
      <c r="D60" s="3" cm="1">
        <f t="array" ref="D60">TREND($B$66:$B$116,D$66:D$116,D28)</f>
        <v>3.27319046207095</v>
      </c>
      <c r="E60" s="3" cm="1">
        <f t="array" ref="E60">TREND($B$66:$B$116,E$66:E$116,E28)</f>
        <v>4.93621498459563</v>
      </c>
      <c r="F60" s="3" cm="1">
        <f t="array" ref="F60">TREND($B$66:$B$116,F$66:F$116,F28)</f>
        <v>2.99686365285766</v>
      </c>
      <c r="G60" s="3" cm="1">
        <f t="array" ref="G60">TREND($B$66:$B$116,G$66:G$116,G28)</f>
        <v>2.84177559412978</v>
      </c>
      <c r="H60" s="3" cm="1">
        <f t="array" ref="H60">TREND($B$66:$B$116,H$66:H$116,H28)</f>
        <v>3.6996532132755</v>
      </c>
      <c r="I60" s="3" cm="1">
        <f t="array" ref="I60">TREND($B$66:$B$116,I$66:I$116,I28)</f>
        <v>3.39241087609006</v>
      </c>
      <c r="J60" s="3" cm="1">
        <f t="array" ref="J60">TREND($B$66:$B$116,J$66:J$116,J28)</f>
        <v>0.274921484599784</v>
      </c>
      <c r="K60" s="3" cm="1">
        <f t="array" ref="K60">TREND($B$66:$B$116,K$66:K$116,K28)</f>
        <v>6.71046412335398</v>
      </c>
      <c r="L60" s="3" cm="1">
        <f t="array" ref="L60">TREND($B$66:$B$116,L$66:L$116,L28)</f>
        <v>5.00342891295831</v>
      </c>
      <c r="M60" s="3" cm="1">
        <f t="array" ref="M60">TREND($B$66:$B$116,M$66:M$116,M28)</f>
        <v>0.27483221753589</v>
      </c>
      <c r="N60" s="3" cm="1">
        <f t="array" ref="N60">TREND($B$66:$B$116,N$66:N$116,N28)</f>
        <v>0.759982406157873</v>
      </c>
      <c r="O60" s="3" cm="1">
        <f t="array" ref="O60">TREND($B$66:$B$116,O$66:O$116,O28)</f>
        <v>0.57830388158562</v>
      </c>
      <c r="P60" s="3" cm="1">
        <f t="array" ref="P60">TREND($B$66:$B$116,P$66:P$116,P28)</f>
        <v>0.198690322841729</v>
      </c>
      <c r="Q60" s="3" cm="1">
        <f t="array" ref="Q60">TREND($B$66:$B$116,Q$66:Q$116,Q28)</f>
        <v>0.298442385897169</v>
      </c>
      <c r="R60" s="3" cm="1">
        <f t="array" ref="R60">TREND($B$66:$B$116,R$66:R$116,R28)</f>
        <v>0.205315207838227</v>
      </c>
      <c r="S60" s="3" cm="1">
        <f t="array" ref="S60">TREND($B$66:$B$116,S$66:S$116,S28)</f>
        <v>0.0451167268400381</v>
      </c>
      <c r="T60" s="3" cm="1">
        <f t="array" ref="T60">TREND($B$66:$B$116,T$66:T$116,T28)</f>
        <v>2.94849573008729</v>
      </c>
      <c r="U60" s="3" cm="1">
        <f t="array" ref="U60">TREND($B$66:$B$116,U$66:U$116,U28)</f>
        <v>6.24795594692097</v>
      </c>
      <c r="V60" s="3" t="e" cm="1">
        <f t="array" ref="V60">TREND($B$66:$B$116,V$66:V$116,V28)</f>
        <v>#VALUE!</v>
      </c>
      <c r="W60" s="3" cm="1">
        <f t="array" ref="W60">TREND($B$66:$B$116,W$66:W$116,W28)</f>
        <v>9.74265235694195</v>
      </c>
      <c r="X60" s="3" cm="1">
        <f t="array" ref="X60">TREND($B$66:$B$116,X$66:X$116,X28)</f>
        <v>8.9471417347253</v>
      </c>
      <c r="Y60" s="3" cm="1">
        <f t="array" ref="Y60">TREND($B$66:$B$116,Y$66:Y$116,Y28)</f>
        <v>9.36807619079057</v>
      </c>
      <c r="Z60" s="3" cm="1">
        <f t="array" ref="Z60">TREND($B$66:$B$116,Z$66:Z$116,Z28)</f>
        <v>1.80945957293932</v>
      </c>
      <c r="AA60" s="3" cm="1">
        <f t="array" ref="AA60">TREND($B$66:$B$116,AA$66:AA$116,AA28)</f>
        <v>7.23875376461478</v>
      </c>
      <c r="AB60" s="3" cm="1">
        <f t="array" ref="AB60">TREND($B$66:$B$116,AB$66:AB$116,AB28)</f>
        <v>0.398450961266446</v>
      </c>
      <c r="AC60" s="3" cm="1">
        <f t="array" ref="AC60">TREND($B$66:$B$116,AC$66:AC$116,AC28)</f>
        <v>0.156241167279497</v>
      </c>
      <c r="AD60" s="3" cm="1">
        <f t="array" ref="AD60">TREND($B$66:$B$116,AD$66:AD$116,AD28)</f>
        <v>0.446969754452258</v>
      </c>
      <c r="AE60" s="3" cm="1">
        <f t="array" ref="AE60">TREND($B$66:$B$116,AE$66:AE$116,AE28)</f>
        <v>2.7080991026032</v>
      </c>
      <c r="AF60" s="3" cm="1">
        <f t="array" ref="AF60">TREND($B$66:$B$116,AF$66:AF$116,AF28)</f>
        <v>8.90264069354862</v>
      </c>
      <c r="AG60" s="3" cm="1">
        <f t="array" ref="AG60">TREND($B$66:$B$116,AG$66:AG$116,AG28)</f>
        <v>9.12462293175381</v>
      </c>
    </row>
    <row r="61" spans="2:34">
      <c r="B61" s="13" t="s">
        <v>18</v>
      </c>
      <c r="C61" s="3" cm="1">
        <f t="array" ref="C61">TREND($B$66:$B$116,C$66:C$116,C29)</f>
        <v>3.65174276777314</v>
      </c>
      <c r="D61" s="3" cm="1">
        <f t="array" ref="D61">TREND($B$66:$B$116,D$66:D$116,D29)</f>
        <v>2.44187381198824</v>
      </c>
      <c r="E61" s="3" cm="1">
        <f t="array" ref="E61">TREND($B$66:$B$116,E$66:E$116,E29)</f>
        <v>4.85982207163111</v>
      </c>
      <c r="F61" s="3" cm="1">
        <f t="array" ref="F61">TREND($B$66:$B$116,F$66:F$116,F29)</f>
        <v>1.52793860632282</v>
      </c>
      <c r="G61" s="3" cm="1">
        <f t="array" ref="G61">TREND($B$66:$B$116,G$66:G$116,G29)</f>
        <v>1.12459467956507</v>
      </c>
      <c r="H61" s="3" cm="1">
        <f t="array" ref="H61">TREND($B$66:$B$116,H$66:H$116,H29)</f>
        <v>5.61047276975118</v>
      </c>
      <c r="I61" s="3" cm="1">
        <f t="array" ref="I61">TREND($B$66:$B$116,I$66:I$116,I29)</f>
        <v>2.74080497179165</v>
      </c>
      <c r="J61" s="3" cm="1">
        <f t="array" ref="J61">TREND($B$66:$B$116,J$66:J$116,J29)</f>
        <v>0.483464637503004</v>
      </c>
      <c r="K61" s="3" cm="1">
        <f t="array" ref="K61">TREND($B$66:$B$116,K$66:K$116,K29)</f>
        <v>9.50464889552712</v>
      </c>
      <c r="L61" s="3" cm="1">
        <f t="array" ref="L61">TREND($B$66:$B$116,L$66:L$116,L29)</f>
        <v>7.07151736527626</v>
      </c>
      <c r="M61" s="3" cm="1">
        <f t="array" ref="M61">TREND($B$66:$B$116,M$66:M$116,M29)</f>
        <v>0.556634068187209</v>
      </c>
      <c r="N61" s="3" cm="1">
        <f t="array" ref="N61">TREND($B$66:$B$116,N$66:N$116,N29)</f>
        <v>0.287056641076199</v>
      </c>
      <c r="O61" s="3" cm="1">
        <f t="array" ref="O61">TREND($B$66:$B$116,O$66:O$116,O29)</f>
        <v>0.57830388158562</v>
      </c>
      <c r="P61" s="3" cm="1">
        <f t="array" ref="P61">TREND($B$66:$B$116,P$66:P$116,P29)</f>
        <v>0.198690322841729</v>
      </c>
      <c r="Q61" s="3" cm="1">
        <f t="array" ref="Q61">TREND($B$66:$B$116,Q$66:Q$116,Q29)</f>
        <v>0.298442385897169</v>
      </c>
      <c r="R61" s="3" cm="1">
        <f t="array" ref="R61">TREND($B$66:$B$116,R$66:R$116,R29)</f>
        <v>0.205315207838227</v>
      </c>
      <c r="S61" s="3" cm="1">
        <f t="array" ref="S61">TREND($B$66:$B$116,S$66:S$116,S29)</f>
        <v>0.0450765733061721</v>
      </c>
      <c r="T61" s="3" cm="1">
        <f t="array" ref="T61">TREND($B$66:$B$116,T$66:T$116,T29)</f>
        <v>2.84958301701873</v>
      </c>
      <c r="U61" s="3" cm="1">
        <f t="array" ref="U61">TREND($B$66:$B$116,U$66:U$116,U29)</f>
        <v>2.210973849033</v>
      </c>
      <c r="V61" s="3" t="e" cm="1">
        <f t="array" ref="V61">TREND($B$66:$B$116,V$66:V$116,V29)</f>
        <v>#VALUE!</v>
      </c>
      <c r="W61" s="3" cm="1">
        <f t="array" ref="W61">TREND($B$66:$B$116,W$66:W$116,W29)</f>
        <v>5.31846463359792</v>
      </c>
      <c r="X61" s="3" cm="1">
        <f t="array" ref="X61">TREND($B$66:$B$116,X$66:X$116,X29)</f>
        <v>9.08415039583426</v>
      </c>
      <c r="Y61" s="3" cm="1">
        <f t="array" ref="Y61">TREND($B$66:$B$116,Y$66:Y$116,Y29)</f>
        <v>8.80594383360756</v>
      </c>
      <c r="Z61" s="3" cm="1">
        <f t="array" ref="Z61">TREND($B$66:$B$116,Z$66:Z$116,Z29)</f>
        <v>1.31756967250528</v>
      </c>
      <c r="AA61" s="3" cm="1">
        <f t="array" ref="AA61">TREND($B$66:$B$116,AA$66:AA$116,AA29)</f>
        <v>6.32127444726196</v>
      </c>
      <c r="AB61" s="3" cm="1">
        <f t="array" ref="AB61">TREND($B$66:$B$116,AB$66:AB$116,AB29)</f>
        <v>0.327693254715151</v>
      </c>
      <c r="AC61" s="3" cm="1">
        <f t="array" ref="AC61">TREND($B$66:$B$116,AC$66:AC$116,AC29)</f>
        <v>0.515935346368007</v>
      </c>
      <c r="AD61" s="3" cm="1">
        <f t="array" ref="AD61">TREND($B$66:$B$116,AD$66:AD$116,AD29)</f>
        <v>3.40170691923804</v>
      </c>
      <c r="AE61" s="3" cm="1">
        <f t="array" ref="AE61">TREND($B$66:$B$116,AE$66:AE$116,AE29)</f>
        <v>0.711347970652883</v>
      </c>
      <c r="AF61" s="3" cm="1">
        <f t="array" ref="AF61">TREND($B$66:$B$116,AF$66:AF$116,AF29)</f>
        <v>9.09606818864827</v>
      </c>
      <c r="AG61" s="3" cm="1">
        <f t="array" ref="AG61">TREND($B$66:$B$116,AG$66:AG$116,AG29)</f>
        <v>9.44972268604156</v>
      </c>
    </row>
    <row r="62" spans="2:34">
      <c r="B62" s="13" t="s">
        <v>20</v>
      </c>
      <c r="C62" s="3" cm="1">
        <f t="array" ref="C62">TREND($B$66:$B$116,C$66:C$116,C30)</f>
        <v>4.93170807238291</v>
      </c>
      <c r="D62" s="3" cm="1">
        <f t="array" ref="D62">TREND($B$66:$B$116,D$66:D$116,D30)</f>
        <v>3.17442384684166</v>
      </c>
      <c r="E62" s="3" cm="1">
        <f t="array" ref="E62">TREND($B$66:$B$116,E$66:E$116,E30)</f>
        <v>4.94896274968678</v>
      </c>
      <c r="F62" s="3" cm="1">
        <f t="array" ref="F62">TREND($B$66:$B$116,F$66:F$116,F30)</f>
        <v>2.82219348462172</v>
      </c>
      <c r="G62" s="3" cm="1">
        <f t="array" ref="G62">TREND($B$66:$B$116,G$66:G$116,G30)</f>
        <v>2.4382775583545</v>
      </c>
      <c r="H62" s="3" cm="1">
        <f t="array" ref="H62">TREND($B$66:$B$116,H$66:H$116,H30)</f>
        <v>5.77513924167173</v>
      </c>
      <c r="I62" s="3" cm="1">
        <f t="array" ref="I62">TREND($B$66:$B$116,I$66:I$116,I30)</f>
        <v>3.48785749521237</v>
      </c>
      <c r="J62" s="3" cm="1">
        <f t="array" ref="J62">TREND($B$66:$B$116,J$66:J$116,J30)</f>
        <v>0.245833382177858</v>
      </c>
      <c r="K62" s="3" cm="1">
        <f t="array" ref="K62">TREND($B$66:$B$116,K$66:K$116,K30)</f>
        <v>9.95132994441263</v>
      </c>
      <c r="L62" s="3" cm="1">
        <f t="array" ref="L62">TREND($B$66:$B$116,L$66:L$116,L30)</f>
        <v>7.60849706214814</v>
      </c>
      <c r="M62" s="3" cm="1">
        <f t="array" ref="M62">TREND($B$66:$B$116,M$66:M$116,M30)</f>
        <v>0.274221692006015</v>
      </c>
      <c r="N62" s="3" cm="1">
        <f t="array" ref="N62">TREND($B$66:$B$116,N$66:N$116,N30)</f>
        <v>0.555901052015177</v>
      </c>
      <c r="O62" s="3" cm="1">
        <f t="array" ref="O62">TREND($B$66:$B$116,O$66:O$116,O30)</f>
        <v>0.57830388158562</v>
      </c>
      <c r="P62" s="3" cm="1">
        <f t="array" ref="P62">TREND($B$66:$B$116,P$66:P$116,P30)</f>
        <v>2.6569061597283</v>
      </c>
      <c r="Q62" s="3" cm="1">
        <f t="array" ref="Q62">TREND($B$66:$B$116,Q$66:Q$116,Q30)</f>
        <v>2.68453717403266</v>
      </c>
      <c r="R62" s="3" cm="1">
        <f t="array" ref="R62">TREND($B$66:$B$116,R$66:R$116,R30)</f>
        <v>0.205315207838227</v>
      </c>
      <c r="S62" s="3" cm="1">
        <f t="array" ref="S62">TREND($B$66:$B$116,S$66:S$116,S30)</f>
        <v>0.0234694590473416</v>
      </c>
      <c r="T62" s="3" cm="1">
        <f t="array" ref="T62">TREND($B$66:$B$116,T$66:T$116,T30)</f>
        <v>0.995472692334066</v>
      </c>
      <c r="U62" s="3" cm="1">
        <f t="array" ref="U62">TREND($B$66:$B$116,U$66:U$116,U30)</f>
        <v>1.98741908546153</v>
      </c>
      <c r="V62" s="3" t="e" cm="1">
        <f t="array" ref="V62">TREND($B$66:$B$116,V$66:V$116,V30)</f>
        <v>#VALUE!</v>
      </c>
      <c r="W62" s="3" cm="1">
        <f t="array" ref="W62">TREND($B$66:$B$116,W$66:W$116,W30)</f>
        <v>1.89396770603027</v>
      </c>
      <c r="X62" s="3" cm="1">
        <f t="array" ref="X62">TREND($B$66:$B$116,X$66:X$116,X30)</f>
        <v>8.94918946111758</v>
      </c>
      <c r="Y62" s="3" cm="1">
        <f t="array" ref="Y62">TREND($B$66:$B$116,Y$66:Y$116,Y30)</f>
        <v>7.14584165753029</v>
      </c>
      <c r="Z62" s="3" cm="1">
        <f t="array" ref="Z62">TREND($B$66:$B$116,Z$66:Z$116,Z30)</f>
        <v>1.92656738068464</v>
      </c>
      <c r="AA62" s="3" cm="1">
        <f t="array" ref="AA62">TREND($B$66:$B$116,AA$66:AA$116,AA30)</f>
        <v>9.50353397555472</v>
      </c>
      <c r="AB62" s="3" cm="1">
        <f t="array" ref="AB62">TREND($B$66:$B$116,AB$66:AB$116,AB30)</f>
        <v>0.50696403104376</v>
      </c>
      <c r="AC62" s="3" cm="1">
        <f t="array" ref="AC62">TREND($B$66:$B$116,AC$66:AC$116,AC30)</f>
        <v>0.412707340499898</v>
      </c>
      <c r="AD62" s="3" cm="1">
        <f t="array" ref="AD62">TREND($B$66:$B$116,AD$66:AD$116,AD30)</f>
        <v>0.446969754452258</v>
      </c>
      <c r="AE62" s="3" cm="1">
        <f t="array" ref="AE62">TREND($B$66:$B$116,AE$66:AE$116,AE30)</f>
        <v>2.76755827120372</v>
      </c>
      <c r="AF62" s="3" cm="1">
        <f t="array" ref="AF62">TREND($B$66:$B$116,AF$66:AF$116,AF30)</f>
        <v>9.00480788132355</v>
      </c>
      <c r="AG62" s="3" cm="1">
        <f t="array" ref="AG62">TREND($B$66:$B$116,AG$66:AG$116,AG30)</f>
        <v>9.94959173684649</v>
      </c>
    </row>
    <row r="63" spans="2:34">
      <c r="B63" s="2" t="s">
        <v>1341</v>
      </c>
      <c r="C63" s="3">
        <v>10</v>
      </c>
      <c r="D63" s="3">
        <v>10</v>
      </c>
      <c r="E63" s="3">
        <v>10</v>
      </c>
      <c r="F63" s="3">
        <v>10</v>
      </c>
      <c r="G63" s="3">
        <v>10</v>
      </c>
      <c r="H63" s="3">
        <v>10</v>
      </c>
      <c r="I63" s="3">
        <v>10</v>
      </c>
      <c r="J63" s="3">
        <v>10</v>
      </c>
      <c r="K63" s="3">
        <v>10</v>
      </c>
      <c r="L63" s="3">
        <v>10</v>
      </c>
      <c r="M63" s="3">
        <v>10</v>
      </c>
      <c r="N63" s="3">
        <v>10</v>
      </c>
      <c r="O63" s="3">
        <v>10</v>
      </c>
      <c r="P63" s="3">
        <v>10</v>
      </c>
      <c r="Q63" s="3">
        <v>10</v>
      </c>
      <c r="R63" s="3">
        <v>10</v>
      </c>
      <c r="S63" s="3">
        <v>10</v>
      </c>
      <c r="T63" s="3">
        <v>10</v>
      </c>
      <c r="U63" s="3">
        <v>10</v>
      </c>
      <c r="V63" s="3">
        <v>10</v>
      </c>
      <c r="W63" s="3">
        <v>10</v>
      </c>
      <c r="X63" s="3">
        <v>10</v>
      </c>
      <c r="Y63" s="3">
        <v>10</v>
      </c>
      <c r="Z63" s="3">
        <v>10</v>
      </c>
      <c r="AA63" s="3">
        <v>10</v>
      </c>
      <c r="AB63" s="3">
        <v>10</v>
      </c>
      <c r="AC63" s="3">
        <v>10</v>
      </c>
      <c r="AD63" s="3">
        <v>10</v>
      </c>
      <c r="AE63" s="3">
        <v>10</v>
      </c>
      <c r="AF63" s="3">
        <v>10</v>
      </c>
      <c r="AG63" s="3">
        <v>10</v>
      </c>
    </row>
    <row r="64" ht="51.95" customHeight="1" spans="2:34">
      <c r="B64" s="19" t="s">
        <v>1342</v>
      </c>
      <c r="C64" s="19"/>
      <c r="D64" s="19"/>
      <c r="E64" s="19"/>
      <c r="F64" s="19"/>
      <c r="G64" s="19"/>
      <c r="H64" s="19"/>
      <c r="I64" s="19"/>
      <c r="J64" s="19"/>
      <c r="K64" s="19"/>
      <c r="L64" s="19"/>
      <c r="M64" s="19"/>
      <c r="N64" s="19"/>
      <c r="O64" s="19"/>
      <c r="P64" s="19"/>
      <c r="Q64" s="19"/>
      <c r="R64" s="19"/>
      <c r="S64" s="20"/>
      <c r="T64" s="20"/>
      <c r="U64" s="20"/>
      <c r="V64" s="20"/>
      <c r="W64" s="20"/>
      <c r="X64" s="20"/>
      <c r="Y64" s="20"/>
      <c r="Z64" s="20"/>
      <c r="AA64" s="20"/>
      <c r="AB64" s="20"/>
      <c r="AC64" s="20"/>
      <c r="AD64" s="20"/>
      <c r="AE64" s="20"/>
      <c r="AF64" s="20"/>
      <c r="AG64" s="20"/>
      <c r="AH64" s="21"/>
    </row>
    <row r="65" spans="2:34">
      <c r="B65" s="22" t="s">
        <v>1343</v>
      </c>
      <c r="C65" s="22" t="s">
        <v>1346</v>
      </c>
      <c r="D65" s="23" t="s">
        <v>72</v>
      </c>
      <c r="E65" s="24" t="s">
        <v>74</v>
      </c>
      <c r="F65" s="24" t="s">
        <v>76</v>
      </c>
      <c r="G65" s="23" t="s">
        <v>78</v>
      </c>
      <c r="H65" s="23" t="s">
        <v>80</v>
      </c>
      <c r="I65" s="23" t="s">
        <v>82</v>
      </c>
      <c r="J65" s="23" t="s">
        <v>84</v>
      </c>
      <c r="K65" s="23" t="s">
        <v>86</v>
      </c>
      <c r="L65" s="23" t="s">
        <v>88</v>
      </c>
      <c r="M65" s="23" t="s">
        <v>90</v>
      </c>
      <c r="N65" s="23" t="s">
        <v>92</v>
      </c>
      <c r="O65" s="23" t="s">
        <v>94</v>
      </c>
      <c r="P65" s="23" t="s">
        <v>1356</v>
      </c>
      <c r="Q65" s="23" t="s">
        <v>1376</v>
      </c>
      <c r="R65" s="23" t="s">
        <v>1377</v>
      </c>
      <c r="S65" s="23" t="s">
        <v>96</v>
      </c>
      <c r="T65" s="23" t="s">
        <v>98</v>
      </c>
      <c r="U65" s="23" t="s">
        <v>100</v>
      </c>
      <c r="V65" s="23" t="s">
        <v>169</v>
      </c>
      <c r="W65" s="25" t="s">
        <v>1357</v>
      </c>
      <c r="X65" s="23" t="s">
        <v>104</v>
      </c>
      <c r="Y65" s="23" t="s">
        <v>106</v>
      </c>
      <c r="Z65" s="23" t="s">
        <v>108</v>
      </c>
      <c r="AA65" s="23" t="s">
        <v>110</v>
      </c>
      <c r="AB65" s="23" t="s">
        <v>112</v>
      </c>
      <c r="AC65" s="23" t="s">
        <v>114</v>
      </c>
      <c r="AD65" s="23" t="s">
        <v>116</v>
      </c>
      <c r="AE65" s="23" t="s">
        <v>118</v>
      </c>
      <c r="AF65" s="26" t="s">
        <v>171</v>
      </c>
      <c r="AG65" s="26" t="s">
        <v>172</v>
      </c>
      <c r="AH65" s="21" t="s">
        <v>1378</v>
      </c>
    </row>
    <row r="66" spans="2:34">
      <c r="B66" s="3">
        <v>0</v>
      </c>
      <c r="C66" s="3">
        <f t="shared" ref="C66:AG66" si="3">C$31-0.1</f>
        <v>-0.0611785534609017</v>
      </c>
      <c r="D66" s="3">
        <f t="shared" si="3"/>
        <v>1.03409782647814</v>
      </c>
      <c r="E66" s="3">
        <f t="shared" si="3"/>
        <v>-0.0994226497308104</v>
      </c>
      <c r="F66" s="3">
        <f t="shared" si="3"/>
        <v>1.19716950497645</v>
      </c>
      <c r="G66" s="3">
        <f t="shared" si="3"/>
        <v>1.3087526520108</v>
      </c>
      <c r="H66" s="3">
        <f t="shared" si="3"/>
        <v>1.61317088446646</v>
      </c>
      <c r="I66" s="3">
        <f t="shared" si="3"/>
        <v>1.85414825052153</v>
      </c>
      <c r="J66" s="3">
        <f t="shared" si="3"/>
        <v>-0.068332502325655</v>
      </c>
      <c r="K66" s="3">
        <f t="shared" si="3"/>
        <v>2.02822594989019</v>
      </c>
      <c r="L66" s="3">
        <f t="shared" si="3"/>
        <v>2.85023554293857</v>
      </c>
      <c r="M66" s="3">
        <f t="shared" si="3"/>
        <v>-0.0835912669753983</v>
      </c>
      <c r="N66" s="3">
        <f t="shared" si="3"/>
        <v>0.192749016094119</v>
      </c>
      <c r="O66" s="3">
        <f t="shared" si="3"/>
        <v>-0.1</v>
      </c>
      <c r="P66" s="3">
        <f t="shared" si="3"/>
        <v>-0.1</v>
      </c>
      <c r="Q66" s="3">
        <f t="shared" si="3"/>
        <v>-0.1</v>
      </c>
      <c r="R66" s="3">
        <f t="shared" si="3"/>
        <v>-0.1</v>
      </c>
      <c r="S66" s="3">
        <f t="shared" si="3"/>
        <v>-0.1</v>
      </c>
      <c r="T66" s="3">
        <f t="shared" si="3"/>
        <v>-0.1</v>
      </c>
      <c r="U66" s="3">
        <f t="shared" si="3"/>
        <v>-0.1</v>
      </c>
      <c r="V66" s="3" t="e">
        <f t="shared" si="3"/>
        <v>#DIV/0!</v>
      </c>
      <c r="W66" s="3">
        <f t="shared" si="3"/>
        <v>1.68705016478926</v>
      </c>
      <c r="X66" s="3">
        <f t="shared" si="3"/>
        <v>0.516441400296898</v>
      </c>
      <c r="Y66" s="3">
        <f t="shared" si="3"/>
        <v>-0.0499999999999998</v>
      </c>
      <c r="Z66" s="3">
        <f t="shared" si="3"/>
        <v>0.412624707665448</v>
      </c>
      <c r="AA66" s="3">
        <f t="shared" si="3"/>
        <v>0.0209637227528246</v>
      </c>
      <c r="AB66" s="3">
        <f t="shared" si="3"/>
        <v>-0.1</v>
      </c>
      <c r="AC66" s="3">
        <f t="shared" si="3"/>
        <v>-0.1</v>
      </c>
      <c r="AD66" s="3">
        <f t="shared" si="3"/>
        <v>-0.1</v>
      </c>
      <c r="AE66" s="3">
        <f t="shared" si="3"/>
        <v>0.458394524010081</v>
      </c>
      <c r="AF66" s="3">
        <f t="shared" si="3"/>
        <v>0.516441400296898</v>
      </c>
      <c r="AG66" s="3">
        <f t="shared" si="3"/>
        <v>1.1842529172852</v>
      </c>
      <c r="AH66" s="2">
        <v>10</v>
      </c>
    </row>
    <row r="67" spans="2:34">
      <c r="B67" s="3">
        <v>0.2</v>
      </c>
      <c r="C67" s="3">
        <f>C66+(((C$32+0.1)-(C$31-0.1))/50)</f>
        <v>-0.0526803602014353</v>
      </c>
      <c r="D67" s="3">
        <f>D66+(((D$32+0.1)-(D$31-0.1))/50)</f>
        <v>1.26651236964881</v>
      </c>
      <c r="E67" s="3">
        <f>E66+(((E$32+0.1)-(E$31-0.1))/50)</f>
        <v>-0.0950025752456366</v>
      </c>
      <c r="F67" s="3">
        <f>F66+(((F$32+0.1)-(F$31-0.1))/50)</f>
        <v>1.41276154431318</v>
      </c>
      <c r="G67" s="3">
        <f>G66+(((G$32+0.1)-(G$31-0.1))/50)</f>
        <v>1.53723303654885</v>
      </c>
      <c r="H67" s="3">
        <f>H66+0.2</f>
        <v>1.81317088446646</v>
      </c>
      <c r="I67" s="3">
        <f>I66+0.2</f>
        <v>2.05414825052153</v>
      </c>
      <c r="J67" s="3">
        <f>J66+0.2</f>
        <v>0.131667497674345</v>
      </c>
      <c r="K67" s="3">
        <f t="shared" ref="K67:AG78" si="4">K66+(((K$32+0.1)-(K$31-0.1))/50)</f>
        <v>2.43915623872249</v>
      </c>
      <c r="L67" s="3">
        <f t="shared" si="4"/>
        <v>3.35306674599689</v>
      </c>
      <c r="M67" s="3">
        <f t="shared" si="4"/>
        <v>0.522434767360996</v>
      </c>
      <c r="N67" s="3">
        <f t="shared" si="4"/>
        <v>0.292790489502625</v>
      </c>
      <c r="O67" s="3">
        <f t="shared" si="4"/>
        <v>-0.0654161062430308</v>
      </c>
      <c r="P67" s="3">
        <f t="shared" si="4"/>
        <v>0.000659154980242327</v>
      </c>
      <c r="Q67" s="3">
        <f t="shared" si="4"/>
        <v>-0.0329853903296062</v>
      </c>
      <c r="R67" s="3">
        <f t="shared" si="4"/>
        <v>-0.00258880376869894</v>
      </c>
      <c r="S67" s="3">
        <f t="shared" si="4"/>
        <v>9.05070279673726</v>
      </c>
      <c r="T67" s="3">
        <f t="shared" si="4"/>
        <v>2.56023680005915</v>
      </c>
      <c r="U67" s="3">
        <f t="shared" si="4"/>
        <v>1.10138216571631</v>
      </c>
      <c r="V67" s="3" t="e">
        <f t="shared" si="4"/>
        <v>#DIV/0!</v>
      </c>
      <c r="W67" s="3">
        <f t="shared" si="4"/>
        <v>3.6953404540703</v>
      </c>
      <c r="X67" s="3">
        <f t="shared" si="4"/>
        <v>0.683141331832546</v>
      </c>
      <c r="Y67" s="3">
        <f t="shared" si="4"/>
        <v>0.0924012593598464</v>
      </c>
      <c r="Z67" s="3">
        <f t="shared" si="4"/>
        <v>0.574472118067834</v>
      </c>
      <c r="AA67" s="3">
        <f t="shared" si="4"/>
        <v>0.0612484532584953</v>
      </c>
      <c r="AB67" s="3">
        <f t="shared" si="4"/>
        <v>-0.00553833286250957</v>
      </c>
      <c r="AC67" s="3">
        <f t="shared" si="4"/>
        <v>0.0280072361736923</v>
      </c>
      <c r="AD67" s="3">
        <f t="shared" si="4"/>
        <v>-0.0552542430426659</v>
      </c>
      <c r="AE67" s="3">
        <f t="shared" si="4"/>
        <v>0.572907424778611</v>
      </c>
      <c r="AF67" s="3">
        <f t="shared" si="4"/>
        <v>0.683164215307655</v>
      </c>
      <c r="AG67" s="3">
        <f t="shared" si="4"/>
        <v>1.58101326467292</v>
      </c>
      <c r="AH67" s="2">
        <v>10</v>
      </c>
    </row>
    <row r="68" spans="2:34">
      <c r="B68" s="3">
        <f>B67+0.2</f>
        <v>0.4</v>
      </c>
      <c r="C68" s="3">
        <f t="shared" ref="C68:G83" si="5">C67+(((C$32+0.1)-(C$31-0.1))/50)</f>
        <v>-0.0441821669419689</v>
      </c>
      <c r="D68" s="3">
        <f t="shared" si="5"/>
        <v>1.49892691281947</v>
      </c>
      <c r="E68" s="3">
        <f t="shared" si="5"/>
        <v>-0.0905825007604629</v>
      </c>
      <c r="F68" s="3">
        <f t="shared" si="5"/>
        <v>1.62835358364991</v>
      </c>
      <c r="G68" s="3">
        <f t="shared" si="5"/>
        <v>1.76571342108689</v>
      </c>
      <c r="H68" s="3">
        <f t="shared" ref="H68:J83" si="6">H67+0.2</f>
        <v>2.01317088446646</v>
      </c>
      <c r="I68" s="3">
        <f t="shared" si="6"/>
        <v>2.25414825052153</v>
      </c>
      <c r="J68" s="3">
        <f t="shared" si="6"/>
        <v>0.331667497674345</v>
      </c>
      <c r="K68" s="3">
        <f t="shared" si="4"/>
        <v>2.85008652755479</v>
      </c>
      <c r="L68" s="3">
        <f t="shared" si="4"/>
        <v>3.8558979490552</v>
      </c>
      <c r="M68" s="3">
        <f t="shared" si="4"/>
        <v>1.12846080169739</v>
      </c>
      <c r="N68" s="3">
        <f t="shared" si="4"/>
        <v>0.39283196291113</v>
      </c>
      <c r="O68" s="3">
        <f t="shared" si="4"/>
        <v>-0.0308322124860617</v>
      </c>
      <c r="P68" s="3">
        <f t="shared" si="4"/>
        <v>0.101318309960485</v>
      </c>
      <c r="Q68" s="3">
        <f t="shared" si="4"/>
        <v>0.0340292193407876</v>
      </c>
      <c r="R68" s="3">
        <f t="shared" si="4"/>
        <v>0.0948223924626021</v>
      </c>
      <c r="S68" s="3">
        <f t="shared" si="4"/>
        <v>18.2014055934745</v>
      </c>
      <c r="T68" s="3">
        <f t="shared" si="4"/>
        <v>5.22047360011831</v>
      </c>
      <c r="U68" s="3">
        <f t="shared" si="4"/>
        <v>2.30276433143261</v>
      </c>
      <c r="V68" s="3" t="e">
        <f t="shared" si="4"/>
        <v>#DIV/0!</v>
      </c>
      <c r="W68" s="3">
        <f t="shared" si="4"/>
        <v>5.70363074335134</v>
      </c>
      <c r="X68" s="3">
        <f t="shared" si="4"/>
        <v>0.849841263368195</v>
      </c>
      <c r="Y68" s="3">
        <f t="shared" si="4"/>
        <v>0.234802518719693</v>
      </c>
      <c r="Z68" s="3">
        <f t="shared" si="4"/>
        <v>0.736319528470221</v>
      </c>
      <c r="AA68" s="3">
        <f t="shared" si="4"/>
        <v>0.101533183764166</v>
      </c>
      <c r="AB68" s="3">
        <f t="shared" si="4"/>
        <v>0.0889233342749809</v>
      </c>
      <c r="AC68" s="3">
        <f t="shared" si="4"/>
        <v>0.156014472347385</v>
      </c>
      <c r="AD68" s="3">
        <f t="shared" si="4"/>
        <v>-0.0105084860853317</v>
      </c>
      <c r="AE68" s="3">
        <f t="shared" si="4"/>
        <v>0.687420325547141</v>
      </c>
      <c r="AF68" s="3">
        <f t="shared" si="4"/>
        <v>0.849887030318412</v>
      </c>
      <c r="AG68" s="3">
        <f t="shared" si="4"/>
        <v>1.97777361206064</v>
      </c>
      <c r="AH68" s="2">
        <v>10</v>
      </c>
    </row>
    <row r="69" spans="2:34">
      <c r="B69" s="3">
        <f t="shared" ref="B69:B116" si="7">B68+0.2</f>
        <v>0.6</v>
      </c>
      <c r="C69" s="3">
        <f t="shared" si="5"/>
        <v>-0.0356839736825025</v>
      </c>
      <c r="D69" s="3">
        <f t="shared" si="5"/>
        <v>1.73134145599014</v>
      </c>
      <c r="E69" s="3">
        <f t="shared" si="5"/>
        <v>-0.0861624262752892</v>
      </c>
      <c r="F69" s="3">
        <f t="shared" si="5"/>
        <v>1.84394562298665</v>
      </c>
      <c r="G69" s="3">
        <f t="shared" si="5"/>
        <v>1.99419380562494</v>
      </c>
      <c r="H69" s="3">
        <f t="shared" si="6"/>
        <v>2.21317088446646</v>
      </c>
      <c r="I69" s="3">
        <f t="shared" si="6"/>
        <v>2.45414825052153</v>
      </c>
      <c r="J69" s="3">
        <f t="shared" si="6"/>
        <v>0.531667497674345</v>
      </c>
      <c r="K69" s="3">
        <f t="shared" si="4"/>
        <v>3.26101681638709</v>
      </c>
      <c r="L69" s="3">
        <f t="shared" si="4"/>
        <v>4.35872915211352</v>
      </c>
      <c r="M69" s="3">
        <f t="shared" si="4"/>
        <v>1.73448683603379</v>
      </c>
      <c r="N69" s="3">
        <f t="shared" si="4"/>
        <v>0.492873436319636</v>
      </c>
      <c r="O69" s="3">
        <f t="shared" si="4"/>
        <v>0.00375168127090746</v>
      </c>
      <c r="P69" s="3">
        <f t="shared" si="4"/>
        <v>0.201977464940727</v>
      </c>
      <c r="Q69" s="3">
        <f t="shared" si="4"/>
        <v>0.101043829011181</v>
      </c>
      <c r="R69" s="3">
        <f t="shared" si="4"/>
        <v>0.192233588693903</v>
      </c>
      <c r="S69" s="3">
        <f t="shared" si="4"/>
        <v>27.3521083902118</v>
      </c>
      <c r="T69" s="3">
        <f t="shared" si="4"/>
        <v>7.88071040017746</v>
      </c>
      <c r="U69" s="3">
        <f t="shared" si="4"/>
        <v>3.50414649714892</v>
      </c>
      <c r="V69" s="3" t="e">
        <f t="shared" si="4"/>
        <v>#DIV/0!</v>
      </c>
      <c r="W69" s="3">
        <f t="shared" si="4"/>
        <v>7.71192103263238</v>
      </c>
      <c r="X69" s="3">
        <f t="shared" si="4"/>
        <v>1.01654119490384</v>
      </c>
      <c r="Y69" s="3">
        <f t="shared" si="4"/>
        <v>0.377203778079539</v>
      </c>
      <c r="Z69" s="3">
        <f t="shared" si="4"/>
        <v>0.898166938872608</v>
      </c>
      <c r="AA69" s="3">
        <f t="shared" si="4"/>
        <v>0.141817914269837</v>
      </c>
      <c r="AB69" s="3">
        <f t="shared" si="4"/>
        <v>0.183385001412471</v>
      </c>
      <c r="AC69" s="3">
        <f t="shared" si="4"/>
        <v>0.284021708521077</v>
      </c>
      <c r="AD69" s="3">
        <f t="shared" si="4"/>
        <v>0.0342372708720024</v>
      </c>
      <c r="AE69" s="3">
        <f t="shared" si="4"/>
        <v>0.801933226315672</v>
      </c>
      <c r="AF69" s="3">
        <f t="shared" si="4"/>
        <v>1.01660984532917</v>
      </c>
      <c r="AG69" s="3">
        <f t="shared" si="4"/>
        <v>2.37453395944837</v>
      </c>
      <c r="AH69" s="2">
        <v>10</v>
      </c>
    </row>
    <row r="70" spans="2:34">
      <c r="B70" s="3">
        <f t="shared" si="7"/>
        <v>0.8</v>
      </c>
      <c r="C70" s="3">
        <f t="shared" si="5"/>
        <v>-0.0271857804230361</v>
      </c>
      <c r="D70" s="3">
        <f t="shared" si="5"/>
        <v>1.96375599916081</v>
      </c>
      <c r="E70" s="3">
        <f t="shared" si="5"/>
        <v>-0.0817423517901154</v>
      </c>
      <c r="F70" s="3">
        <f t="shared" si="5"/>
        <v>2.05953766232338</v>
      </c>
      <c r="G70" s="3">
        <f t="shared" si="5"/>
        <v>2.22267419016298</v>
      </c>
      <c r="H70" s="3">
        <f t="shared" si="6"/>
        <v>2.41317088446646</v>
      </c>
      <c r="I70" s="3">
        <f t="shared" si="6"/>
        <v>2.65414825052153</v>
      </c>
      <c r="J70" s="3">
        <f t="shared" si="6"/>
        <v>0.731667497674345</v>
      </c>
      <c r="K70" s="3">
        <f t="shared" si="4"/>
        <v>3.67194710521939</v>
      </c>
      <c r="L70" s="3">
        <f t="shared" si="4"/>
        <v>4.86156035517183</v>
      </c>
      <c r="M70" s="3">
        <f t="shared" si="4"/>
        <v>2.34051287037018</v>
      </c>
      <c r="N70" s="3">
        <f t="shared" si="4"/>
        <v>0.592914909728141</v>
      </c>
      <c r="O70" s="3">
        <f t="shared" si="4"/>
        <v>0.0383355750278766</v>
      </c>
      <c r="P70" s="3">
        <f t="shared" si="4"/>
        <v>0.302636619920969</v>
      </c>
      <c r="Q70" s="3">
        <f t="shared" si="4"/>
        <v>0.168058438681575</v>
      </c>
      <c r="R70" s="3">
        <f t="shared" si="4"/>
        <v>0.289644784925204</v>
      </c>
      <c r="S70" s="3">
        <f t="shared" si="4"/>
        <v>36.5028111869491</v>
      </c>
      <c r="T70" s="3">
        <f t="shared" si="4"/>
        <v>10.5409472002366</v>
      </c>
      <c r="U70" s="3">
        <f t="shared" si="4"/>
        <v>4.70552866286522</v>
      </c>
      <c r="V70" s="3" t="e">
        <f t="shared" si="4"/>
        <v>#DIV/0!</v>
      </c>
      <c r="W70" s="3">
        <f t="shared" si="4"/>
        <v>9.72021132191342</v>
      </c>
      <c r="X70" s="3">
        <f t="shared" si="4"/>
        <v>1.18324112643949</v>
      </c>
      <c r="Y70" s="3">
        <f t="shared" si="4"/>
        <v>0.519605037439385</v>
      </c>
      <c r="Z70" s="3">
        <f t="shared" si="4"/>
        <v>1.06001434927499</v>
      </c>
      <c r="AA70" s="3">
        <f t="shared" si="4"/>
        <v>0.182102644775508</v>
      </c>
      <c r="AB70" s="3">
        <f t="shared" si="4"/>
        <v>0.277846668549962</v>
      </c>
      <c r="AC70" s="3">
        <f t="shared" si="4"/>
        <v>0.412028944694769</v>
      </c>
      <c r="AD70" s="3">
        <f t="shared" si="4"/>
        <v>0.0789830278293366</v>
      </c>
      <c r="AE70" s="3">
        <f t="shared" si="4"/>
        <v>0.916446127084202</v>
      </c>
      <c r="AF70" s="3">
        <f t="shared" si="4"/>
        <v>1.18333266033993</v>
      </c>
      <c r="AG70" s="3">
        <f t="shared" si="4"/>
        <v>2.77129430683609</v>
      </c>
      <c r="AH70" s="2">
        <v>10</v>
      </c>
    </row>
    <row r="71" spans="2:34">
      <c r="B71" s="3">
        <f t="shared" si="7"/>
        <v>1</v>
      </c>
      <c r="C71" s="3">
        <f t="shared" si="5"/>
        <v>-0.0186875871635697</v>
      </c>
      <c r="D71" s="3">
        <f t="shared" si="5"/>
        <v>2.19617054233148</v>
      </c>
      <c r="E71" s="3">
        <f t="shared" si="5"/>
        <v>-0.0773222773049417</v>
      </c>
      <c r="F71" s="3">
        <f t="shared" si="5"/>
        <v>2.27512970166011</v>
      </c>
      <c r="G71" s="3">
        <f t="shared" si="5"/>
        <v>2.45115457470103</v>
      </c>
      <c r="H71" s="3">
        <f t="shared" si="6"/>
        <v>2.61317088446646</v>
      </c>
      <c r="I71" s="3">
        <f t="shared" si="6"/>
        <v>2.85414825052153</v>
      </c>
      <c r="J71" s="3">
        <f t="shared" si="6"/>
        <v>0.931667497674345</v>
      </c>
      <c r="K71" s="3">
        <f t="shared" si="4"/>
        <v>4.08287739405169</v>
      </c>
      <c r="L71" s="3">
        <f t="shared" si="4"/>
        <v>5.36439155823014</v>
      </c>
      <c r="M71" s="3">
        <f t="shared" si="4"/>
        <v>2.94653890470657</v>
      </c>
      <c r="N71" s="3">
        <f t="shared" si="4"/>
        <v>0.692956383136647</v>
      </c>
      <c r="O71" s="3">
        <f t="shared" si="4"/>
        <v>0.0729194687848458</v>
      </c>
      <c r="P71" s="3">
        <f t="shared" si="4"/>
        <v>0.403295774901212</v>
      </c>
      <c r="Q71" s="3">
        <f t="shared" si="4"/>
        <v>0.235073048351969</v>
      </c>
      <c r="R71" s="3">
        <f t="shared" si="4"/>
        <v>0.387055981156505</v>
      </c>
      <c r="S71" s="3">
        <f t="shared" si="4"/>
        <v>45.6535139836863</v>
      </c>
      <c r="T71" s="3">
        <f t="shared" si="4"/>
        <v>13.2011840002958</v>
      </c>
      <c r="U71" s="3">
        <f t="shared" si="4"/>
        <v>5.90691082858153</v>
      </c>
      <c r="V71" s="3" t="e">
        <f t="shared" si="4"/>
        <v>#DIV/0!</v>
      </c>
      <c r="W71" s="3">
        <f t="shared" si="4"/>
        <v>11.7285016111945</v>
      </c>
      <c r="X71" s="3">
        <f t="shared" si="4"/>
        <v>1.34994105797514</v>
      </c>
      <c r="Y71" s="3">
        <f t="shared" si="4"/>
        <v>0.662006296799231</v>
      </c>
      <c r="Z71" s="3">
        <f t="shared" si="4"/>
        <v>1.22186175967738</v>
      </c>
      <c r="AA71" s="3">
        <f t="shared" si="4"/>
        <v>0.222387375281178</v>
      </c>
      <c r="AB71" s="3">
        <f t="shared" si="4"/>
        <v>0.372308335687452</v>
      </c>
      <c r="AC71" s="3">
        <f t="shared" si="4"/>
        <v>0.540036180868462</v>
      </c>
      <c r="AD71" s="3">
        <f t="shared" si="4"/>
        <v>0.123728784786671</v>
      </c>
      <c r="AE71" s="3">
        <f t="shared" si="4"/>
        <v>1.03095902785273</v>
      </c>
      <c r="AF71" s="3">
        <f t="shared" si="4"/>
        <v>1.35005547535068</v>
      </c>
      <c r="AG71" s="3">
        <f t="shared" si="4"/>
        <v>3.16805465422381</v>
      </c>
      <c r="AH71" s="2">
        <v>10</v>
      </c>
    </row>
    <row r="72" spans="2:34">
      <c r="B72" s="3">
        <f t="shared" si="7"/>
        <v>1.2</v>
      </c>
      <c r="C72" s="3">
        <f t="shared" si="5"/>
        <v>-0.0101893939041033</v>
      </c>
      <c r="D72" s="3">
        <f t="shared" si="5"/>
        <v>2.42858508550215</v>
      </c>
      <c r="E72" s="3">
        <f t="shared" si="5"/>
        <v>-0.0729022028197679</v>
      </c>
      <c r="F72" s="3">
        <f t="shared" si="5"/>
        <v>2.49072174099684</v>
      </c>
      <c r="G72" s="3">
        <f t="shared" si="5"/>
        <v>2.67963495923908</v>
      </c>
      <c r="H72" s="3">
        <f t="shared" si="6"/>
        <v>2.81317088446646</v>
      </c>
      <c r="I72" s="3">
        <f t="shared" si="6"/>
        <v>3.05414825052153</v>
      </c>
      <c r="J72" s="3">
        <f t="shared" si="6"/>
        <v>1.13166749767435</v>
      </c>
      <c r="K72" s="3">
        <f t="shared" si="4"/>
        <v>4.49380768288399</v>
      </c>
      <c r="L72" s="3">
        <f t="shared" si="4"/>
        <v>5.86722276128846</v>
      </c>
      <c r="M72" s="3">
        <f t="shared" si="4"/>
        <v>3.55256493904297</v>
      </c>
      <c r="N72" s="3">
        <f t="shared" si="4"/>
        <v>0.792997856545152</v>
      </c>
      <c r="O72" s="3">
        <f t="shared" si="4"/>
        <v>0.107503362541815</v>
      </c>
      <c r="P72" s="3">
        <f t="shared" si="4"/>
        <v>0.503954929881454</v>
      </c>
      <c r="Q72" s="3">
        <f t="shared" si="4"/>
        <v>0.302087658022363</v>
      </c>
      <c r="R72" s="3">
        <f t="shared" si="4"/>
        <v>0.484467177387806</v>
      </c>
      <c r="S72" s="3">
        <f t="shared" si="4"/>
        <v>54.8042167804236</v>
      </c>
      <c r="T72" s="3">
        <f t="shared" si="4"/>
        <v>15.8614208003549</v>
      </c>
      <c r="U72" s="3">
        <f t="shared" si="4"/>
        <v>7.10829299429783</v>
      </c>
      <c r="V72" s="3" t="e">
        <f t="shared" si="4"/>
        <v>#DIV/0!</v>
      </c>
      <c r="W72" s="3">
        <f t="shared" si="4"/>
        <v>13.7367919004755</v>
      </c>
      <c r="X72" s="3">
        <f t="shared" si="4"/>
        <v>1.51664098951079</v>
      </c>
      <c r="Y72" s="3">
        <f t="shared" si="4"/>
        <v>0.804407556159078</v>
      </c>
      <c r="Z72" s="3">
        <f t="shared" si="4"/>
        <v>1.38370917007977</v>
      </c>
      <c r="AA72" s="3">
        <f t="shared" si="4"/>
        <v>0.262672105786849</v>
      </c>
      <c r="AB72" s="3">
        <f t="shared" si="4"/>
        <v>0.466770002824943</v>
      </c>
      <c r="AC72" s="3">
        <f t="shared" si="4"/>
        <v>0.668043417042154</v>
      </c>
      <c r="AD72" s="3">
        <f t="shared" si="4"/>
        <v>0.168474541744005</v>
      </c>
      <c r="AE72" s="3">
        <f t="shared" si="4"/>
        <v>1.14547192862126</v>
      </c>
      <c r="AF72" s="3">
        <f t="shared" si="4"/>
        <v>1.51677829036144</v>
      </c>
      <c r="AG72" s="3">
        <f t="shared" si="4"/>
        <v>3.56481500161153</v>
      </c>
      <c r="AH72" s="2">
        <v>10</v>
      </c>
    </row>
    <row r="73" spans="2:34">
      <c r="B73" s="3">
        <f t="shared" si="7"/>
        <v>1.4</v>
      </c>
      <c r="C73" s="3">
        <f t="shared" si="5"/>
        <v>-0.00169120064463694</v>
      </c>
      <c r="D73" s="3">
        <f t="shared" si="5"/>
        <v>2.66099962867282</v>
      </c>
      <c r="E73" s="3">
        <f t="shared" si="5"/>
        <v>-0.0684821283345942</v>
      </c>
      <c r="F73" s="3">
        <f t="shared" si="5"/>
        <v>2.70631378033358</v>
      </c>
      <c r="G73" s="3">
        <f t="shared" si="5"/>
        <v>2.90811534377712</v>
      </c>
      <c r="H73" s="3">
        <f t="shared" si="6"/>
        <v>3.01317088446646</v>
      </c>
      <c r="I73" s="3">
        <f t="shared" si="6"/>
        <v>3.25414825052153</v>
      </c>
      <c r="J73" s="3">
        <f t="shared" si="6"/>
        <v>1.33166749767435</v>
      </c>
      <c r="K73" s="3">
        <f t="shared" si="4"/>
        <v>4.90473797171629</v>
      </c>
      <c r="L73" s="3">
        <f t="shared" si="4"/>
        <v>6.37005396434677</v>
      </c>
      <c r="M73" s="3">
        <f t="shared" si="4"/>
        <v>4.15859097337936</v>
      </c>
      <c r="N73" s="3">
        <f t="shared" si="4"/>
        <v>0.893039329953658</v>
      </c>
      <c r="O73" s="3">
        <f t="shared" si="4"/>
        <v>0.142087256298784</v>
      </c>
      <c r="P73" s="3">
        <f t="shared" si="4"/>
        <v>0.604614084861696</v>
      </c>
      <c r="Q73" s="3">
        <f t="shared" si="4"/>
        <v>0.369102267692757</v>
      </c>
      <c r="R73" s="3">
        <f t="shared" si="4"/>
        <v>0.581878373619108</v>
      </c>
      <c r="S73" s="3">
        <f t="shared" si="4"/>
        <v>63.9549195771608</v>
      </c>
      <c r="T73" s="3">
        <f t="shared" si="4"/>
        <v>18.5216576004141</v>
      </c>
      <c r="U73" s="3">
        <f t="shared" si="4"/>
        <v>8.30967516001414</v>
      </c>
      <c r="V73" s="3" t="e">
        <f t="shared" si="4"/>
        <v>#DIV/0!</v>
      </c>
      <c r="W73" s="3">
        <f t="shared" si="4"/>
        <v>15.7450821897565</v>
      </c>
      <c r="X73" s="3">
        <f t="shared" si="4"/>
        <v>1.68334092104644</v>
      </c>
      <c r="Y73" s="3">
        <f t="shared" si="4"/>
        <v>0.946808815518924</v>
      </c>
      <c r="Z73" s="3">
        <f t="shared" si="4"/>
        <v>1.54555658048215</v>
      </c>
      <c r="AA73" s="3">
        <f t="shared" si="4"/>
        <v>0.30295683629252</v>
      </c>
      <c r="AB73" s="3">
        <f t="shared" si="4"/>
        <v>0.561231669962433</v>
      </c>
      <c r="AC73" s="3">
        <f t="shared" si="4"/>
        <v>0.796050653215846</v>
      </c>
      <c r="AD73" s="3">
        <f t="shared" si="4"/>
        <v>0.213220298701339</v>
      </c>
      <c r="AE73" s="3">
        <f t="shared" si="4"/>
        <v>1.25998482938979</v>
      </c>
      <c r="AF73" s="3">
        <f t="shared" si="4"/>
        <v>1.6835011053722</v>
      </c>
      <c r="AG73" s="3">
        <f t="shared" si="4"/>
        <v>3.96157534899925</v>
      </c>
      <c r="AH73" s="2">
        <v>10</v>
      </c>
    </row>
    <row r="74" spans="2:34">
      <c r="B74" s="3">
        <f t="shared" si="7"/>
        <v>1.6</v>
      </c>
      <c r="C74" s="3">
        <f t="shared" si="5"/>
        <v>0.00680699261482945</v>
      </c>
      <c r="D74" s="3">
        <f t="shared" si="5"/>
        <v>2.89341417184348</v>
      </c>
      <c r="E74" s="3">
        <f t="shared" si="5"/>
        <v>-0.0640620538494204</v>
      </c>
      <c r="F74" s="3">
        <f t="shared" si="5"/>
        <v>2.92190581967031</v>
      </c>
      <c r="G74" s="3">
        <f t="shared" si="5"/>
        <v>3.13659572831517</v>
      </c>
      <c r="H74" s="3">
        <f t="shared" si="6"/>
        <v>3.21317088446646</v>
      </c>
      <c r="I74" s="3">
        <f t="shared" si="6"/>
        <v>3.45414825052153</v>
      </c>
      <c r="J74" s="3">
        <f t="shared" si="6"/>
        <v>1.53166749767434</v>
      </c>
      <c r="K74" s="3">
        <f t="shared" si="4"/>
        <v>5.31566826054859</v>
      </c>
      <c r="L74" s="3">
        <f t="shared" si="4"/>
        <v>6.87288516740509</v>
      </c>
      <c r="M74" s="3">
        <f t="shared" si="4"/>
        <v>4.76461700771576</v>
      </c>
      <c r="N74" s="3">
        <f t="shared" si="4"/>
        <v>0.993080803362163</v>
      </c>
      <c r="O74" s="3">
        <f t="shared" si="4"/>
        <v>0.176671150055753</v>
      </c>
      <c r="P74" s="3">
        <f t="shared" si="4"/>
        <v>0.705273239841939</v>
      </c>
      <c r="Q74" s="3">
        <f t="shared" si="4"/>
        <v>0.43611687736315</v>
      </c>
      <c r="R74" s="3">
        <f t="shared" si="4"/>
        <v>0.679289569850409</v>
      </c>
      <c r="S74" s="3">
        <f t="shared" si="4"/>
        <v>73.1056223738981</v>
      </c>
      <c r="T74" s="3">
        <f t="shared" si="4"/>
        <v>21.1818944004732</v>
      </c>
      <c r="U74" s="3">
        <f t="shared" si="4"/>
        <v>9.51105732573044</v>
      </c>
      <c r="V74" s="3" t="e">
        <f t="shared" si="4"/>
        <v>#DIV/0!</v>
      </c>
      <c r="W74" s="3">
        <f t="shared" si="4"/>
        <v>17.7533724790376</v>
      </c>
      <c r="X74" s="3">
        <f t="shared" si="4"/>
        <v>1.85004085258209</v>
      </c>
      <c r="Y74" s="3">
        <f t="shared" si="4"/>
        <v>1.08921007487877</v>
      </c>
      <c r="Z74" s="3">
        <f t="shared" si="4"/>
        <v>1.70740399088454</v>
      </c>
      <c r="AA74" s="3">
        <f t="shared" si="4"/>
        <v>0.343241566798191</v>
      </c>
      <c r="AB74" s="3">
        <f t="shared" si="4"/>
        <v>0.655693337099924</v>
      </c>
      <c r="AC74" s="3">
        <f t="shared" si="4"/>
        <v>0.924057889389539</v>
      </c>
      <c r="AD74" s="3">
        <f t="shared" si="4"/>
        <v>0.257966055658673</v>
      </c>
      <c r="AE74" s="3">
        <f t="shared" si="4"/>
        <v>1.37449773015832</v>
      </c>
      <c r="AF74" s="3">
        <f t="shared" si="4"/>
        <v>1.85022392038295</v>
      </c>
      <c r="AG74" s="3">
        <f t="shared" si="4"/>
        <v>4.35833569638697</v>
      </c>
      <c r="AH74" s="2">
        <v>10</v>
      </c>
    </row>
    <row r="75" spans="2:34">
      <c r="B75" s="3">
        <f t="shared" si="7"/>
        <v>1.8</v>
      </c>
      <c r="C75" s="3">
        <f t="shared" si="5"/>
        <v>0.0153051858742958</v>
      </c>
      <c r="D75" s="3">
        <f t="shared" si="5"/>
        <v>3.12582871501415</v>
      </c>
      <c r="E75" s="3">
        <f t="shared" si="5"/>
        <v>-0.0596419793642467</v>
      </c>
      <c r="F75" s="3">
        <f t="shared" si="5"/>
        <v>3.13749785900704</v>
      </c>
      <c r="G75" s="3">
        <f t="shared" si="5"/>
        <v>3.36507611285322</v>
      </c>
      <c r="H75" s="3">
        <f t="shared" si="6"/>
        <v>3.41317088446646</v>
      </c>
      <c r="I75" s="3">
        <f t="shared" si="6"/>
        <v>3.65414825052153</v>
      </c>
      <c r="J75" s="3">
        <f t="shared" si="6"/>
        <v>1.73166749767434</v>
      </c>
      <c r="K75" s="3">
        <f t="shared" si="4"/>
        <v>5.72659854938089</v>
      </c>
      <c r="L75" s="3">
        <f t="shared" si="4"/>
        <v>7.3757163704634</v>
      </c>
      <c r="M75" s="3">
        <f t="shared" si="4"/>
        <v>5.37064304205215</v>
      </c>
      <c r="N75" s="3">
        <f t="shared" si="4"/>
        <v>1.09312227677067</v>
      </c>
      <c r="O75" s="3">
        <f t="shared" si="4"/>
        <v>0.211255043812722</v>
      </c>
      <c r="P75" s="3">
        <f t="shared" si="4"/>
        <v>0.805932394822181</v>
      </c>
      <c r="Q75" s="3">
        <f t="shared" si="4"/>
        <v>0.503131487033544</v>
      </c>
      <c r="R75" s="3">
        <f t="shared" si="4"/>
        <v>0.77670076608171</v>
      </c>
      <c r="S75" s="3">
        <f t="shared" si="4"/>
        <v>82.2563251706354</v>
      </c>
      <c r="T75" s="3">
        <f t="shared" si="4"/>
        <v>23.8421312005324</v>
      </c>
      <c r="U75" s="3">
        <f t="shared" si="4"/>
        <v>10.7124394914467</v>
      </c>
      <c r="V75" s="3" t="e">
        <f t="shared" si="4"/>
        <v>#DIV/0!</v>
      </c>
      <c r="W75" s="3">
        <f t="shared" si="4"/>
        <v>19.7616627683186</v>
      </c>
      <c r="X75" s="3">
        <f t="shared" si="4"/>
        <v>2.01674078411774</v>
      </c>
      <c r="Y75" s="3">
        <f t="shared" si="4"/>
        <v>1.23161133423862</v>
      </c>
      <c r="Z75" s="3">
        <f t="shared" si="4"/>
        <v>1.86925140128693</v>
      </c>
      <c r="AA75" s="3">
        <f t="shared" si="4"/>
        <v>0.383526297303862</v>
      </c>
      <c r="AB75" s="3">
        <f t="shared" si="4"/>
        <v>0.750155004237414</v>
      </c>
      <c r="AC75" s="3">
        <f t="shared" si="4"/>
        <v>1.05206512556323</v>
      </c>
      <c r="AD75" s="3">
        <f t="shared" si="4"/>
        <v>0.302711812616007</v>
      </c>
      <c r="AE75" s="3">
        <f t="shared" si="4"/>
        <v>1.48901063092685</v>
      </c>
      <c r="AF75" s="3">
        <f t="shared" si="4"/>
        <v>2.01694673539371</v>
      </c>
      <c r="AG75" s="3">
        <f t="shared" si="4"/>
        <v>4.7550960437747</v>
      </c>
      <c r="AH75" s="2">
        <v>10</v>
      </c>
    </row>
    <row r="76" spans="2:34">
      <c r="B76" s="3">
        <f t="shared" si="7"/>
        <v>2</v>
      </c>
      <c r="C76" s="3">
        <f t="shared" si="5"/>
        <v>0.0238033791337622</v>
      </c>
      <c r="D76" s="3">
        <f t="shared" si="5"/>
        <v>3.35824325818482</v>
      </c>
      <c r="E76" s="3">
        <f t="shared" si="5"/>
        <v>-0.0552219048790729</v>
      </c>
      <c r="F76" s="3">
        <f t="shared" si="5"/>
        <v>3.35308989834378</v>
      </c>
      <c r="G76" s="3">
        <f t="shared" si="5"/>
        <v>3.59355649739126</v>
      </c>
      <c r="H76" s="3">
        <f t="shared" si="6"/>
        <v>3.61317088446646</v>
      </c>
      <c r="I76" s="3">
        <f t="shared" si="6"/>
        <v>3.85414825052153</v>
      </c>
      <c r="J76" s="3">
        <f t="shared" si="6"/>
        <v>1.93166749767434</v>
      </c>
      <c r="K76" s="3">
        <f t="shared" si="4"/>
        <v>6.13752883821319</v>
      </c>
      <c r="L76" s="3">
        <f t="shared" si="4"/>
        <v>7.87854757352171</v>
      </c>
      <c r="M76" s="3">
        <f t="shared" si="4"/>
        <v>5.97666907638855</v>
      </c>
      <c r="N76" s="3">
        <f t="shared" si="4"/>
        <v>1.19316375017917</v>
      </c>
      <c r="O76" s="3">
        <f t="shared" si="4"/>
        <v>0.245838937569692</v>
      </c>
      <c r="P76" s="3">
        <f t="shared" si="4"/>
        <v>0.906591549802424</v>
      </c>
      <c r="Q76" s="3">
        <f t="shared" si="4"/>
        <v>0.570146096703938</v>
      </c>
      <c r="R76" s="3">
        <f t="shared" si="4"/>
        <v>0.874111962313011</v>
      </c>
      <c r="S76" s="3">
        <f t="shared" si="4"/>
        <v>91.4070279673726</v>
      </c>
      <c r="T76" s="3">
        <f t="shared" si="4"/>
        <v>26.5023680005915</v>
      </c>
      <c r="U76" s="3">
        <f t="shared" si="4"/>
        <v>11.9138216571631</v>
      </c>
      <c r="V76" s="3" t="e">
        <f t="shared" si="4"/>
        <v>#DIV/0!</v>
      </c>
      <c r="W76" s="3">
        <f t="shared" si="4"/>
        <v>21.7699530575997</v>
      </c>
      <c r="X76" s="3">
        <f t="shared" si="4"/>
        <v>2.18344071565339</v>
      </c>
      <c r="Y76" s="3">
        <f t="shared" si="4"/>
        <v>1.37401259359846</v>
      </c>
      <c r="Z76" s="3">
        <f t="shared" si="4"/>
        <v>2.03109881168932</v>
      </c>
      <c r="AA76" s="3">
        <f t="shared" si="4"/>
        <v>0.423811027809532</v>
      </c>
      <c r="AB76" s="3">
        <f t="shared" si="4"/>
        <v>0.844616671374905</v>
      </c>
      <c r="AC76" s="3">
        <f t="shared" si="4"/>
        <v>1.18007236173692</v>
      </c>
      <c r="AD76" s="3">
        <f t="shared" si="4"/>
        <v>0.347457569573341</v>
      </c>
      <c r="AE76" s="3">
        <f t="shared" si="4"/>
        <v>1.60352353169538</v>
      </c>
      <c r="AF76" s="3">
        <f t="shared" si="4"/>
        <v>2.18366955040447</v>
      </c>
      <c r="AG76" s="3">
        <f t="shared" si="4"/>
        <v>5.15185639116242</v>
      </c>
      <c r="AH76" s="2">
        <v>10</v>
      </c>
    </row>
    <row r="77" spans="2:34">
      <c r="B77" s="3">
        <f t="shared" si="7"/>
        <v>2.2</v>
      </c>
      <c r="C77" s="3">
        <f t="shared" si="5"/>
        <v>0.0323015723932286</v>
      </c>
      <c r="D77" s="3">
        <f t="shared" si="5"/>
        <v>3.59065780135549</v>
      </c>
      <c r="E77" s="3">
        <f t="shared" si="5"/>
        <v>-0.0508018303938992</v>
      </c>
      <c r="F77" s="3">
        <f t="shared" si="5"/>
        <v>3.56868193768051</v>
      </c>
      <c r="G77" s="3">
        <f t="shared" si="5"/>
        <v>3.82203688192931</v>
      </c>
      <c r="H77" s="3">
        <f t="shared" si="6"/>
        <v>3.81317088446646</v>
      </c>
      <c r="I77" s="3">
        <f t="shared" si="6"/>
        <v>4.05414825052153</v>
      </c>
      <c r="J77" s="3">
        <f t="shared" si="6"/>
        <v>2.13166749767434</v>
      </c>
      <c r="K77" s="3">
        <f t="shared" si="4"/>
        <v>6.54845912704549</v>
      </c>
      <c r="L77" s="3">
        <f t="shared" si="4"/>
        <v>8.38137877658003</v>
      </c>
      <c r="M77" s="3">
        <f t="shared" si="4"/>
        <v>6.58269511072494</v>
      </c>
      <c r="N77" s="3">
        <f t="shared" si="4"/>
        <v>1.29320522358768</v>
      </c>
      <c r="O77" s="3">
        <f t="shared" si="4"/>
        <v>0.280422831326661</v>
      </c>
      <c r="P77" s="3">
        <f t="shared" si="4"/>
        <v>1.00725070478267</v>
      </c>
      <c r="Q77" s="3">
        <f t="shared" si="4"/>
        <v>0.637160706374332</v>
      </c>
      <c r="R77" s="3">
        <f t="shared" si="4"/>
        <v>0.971523158544312</v>
      </c>
      <c r="S77" s="3">
        <f t="shared" si="4"/>
        <v>100.55773076411</v>
      </c>
      <c r="T77" s="3">
        <f t="shared" si="4"/>
        <v>29.1626048006507</v>
      </c>
      <c r="U77" s="3">
        <f t="shared" si="4"/>
        <v>13.1152038228794</v>
      </c>
      <c r="V77" s="3" t="e">
        <f t="shared" si="4"/>
        <v>#DIV/0!</v>
      </c>
      <c r="W77" s="3">
        <f t="shared" si="4"/>
        <v>23.7782433468807</v>
      </c>
      <c r="X77" s="3">
        <f t="shared" si="4"/>
        <v>2.35014064718904</v>
      </c>
      <c r="Y77" s="3">
        <f t="shared" si="4"/>
        <v>1.51641385295831</v>
      </c>
      <c r="Z77" s="3">
        <f t="shared" si="4"/>
        <v>2.1929462220917</v>
      </c>
      <c r="AA77" s="3">
        <f t="shared" si="4"/>
        <v>0.464095758315203</v>
      </c>
      <c r="AB77" s="3">
        <f t="shared" si="4"/>
        <v>0.939078338512395</v>
      </c>
      <c r="AC77" s="3">
        <f t="shared" si="4"/>
        <v>1.30807959791062</v>
      </c>
      <c r="AD77" s="3">
        <f t="shared" si="4"/>
        <v>0.392203326530675</v>
      </c>
      <c r="AE77" s="3">
        <f t="shared" si="4"/>
        <v>1.71803643246391</v>
      </c>
      <c r="AF77" s="3">
        <f t="shared" si="4"/>
        <v>2.35039236541523</v>
      </c>
      <c r="AG77" s="3">
        <f t="shared" si="4"/>
        <v>5.54861673855014</v>
      </c>
      <c r="AH77" s="2">
        <v>10</v>
      </c>
    </row>
    <row r="78" spans="2:34">
      <c r="B78" s="3">
        <f t="shared" si="7"/>
        <v>2.4</v>
      </c>
      <c r="C78" s="3">
        <f t="shared" si="5"/>
        <v>0.040799765652695</v>
      </c>
      <c r="D78" s="3">
        <f t="shared" si="5"/>
        <v>3.82307234452616</v>
      </c>
      <c r="E78" s="3">
        <f t="shared" si="5"/>
        <v>-0.0463817559087255</v>
      </c>
      <c r="F78" s="3">
        <f t="shared" si="5"/>
        <v>3.78427397701724</v>
      </c>
      <c r="G78" s="3">
        <f t="shared" si="5"/>
        <v>4.05051726646736</v>
      </c>
      <c r="H78" s="3">
        <f t="shared" si="6"/>
        <v>4.01317088446646</v>
      </c>
      <c r="I78" s="3">
        <f t="shared" si="6"/>
        <v>4.25414825052153</v>
      </c>
      <c r="J78" s="3">
        <f t="shared" si="6"/>
        <v>2.33166749767435</v>
      </c>
      <c r="K78" s="3">
        <f t="shared" si="4"/>
        <v>6.95938941587779</v>
      </c>
      <c r="L78" s="3">
        <f t="shared" si="4"/>
        <v>8.88420997963834</v>
      </c>
      <c r="M78" s="3">
        <f t="shared" ref="M78:AG90" si="8">M77+(((M$32+0.1)-(M$31-0.1))/50)</f>
        <v>7.18872114506133</v>
      </c>
      <c r="N78" s="3">
        <f t="shared" si="8"/>
        <v>1.39324669699619</v>
      </c>
      <c r="O78" s="3">
        <f t="shared" si="8"/>
        <v>0.31500672508363</v>
      </c>
      <c r="P78" s="3">
        <f t="shared" si="8"/>
        <v>1.10790985976291</v>
      </c>
      <c r="Q78" s="3">
        <f t="shared" si="8"/>
        <v>0.704175316044726</v>
      </c>
      <c r="R78" s="3">
        <f t="shared" si="8"/>
        <v>1.06893435477561</v>
      </c>
      <c r="S78" s="3">
        <f t="shared" si="8"/>
        <v>109.708433560847</v>
      </c>
      <c r="T78" s="3">
        <f t="shared" si="8"/>
        <v>31.8228416007098</v>
      </c>
      <c r="U78" s="3">
        <f t="shared" si="8"/>
        <v>14.3165859885957</v>
      </c>
      <c r="V78" s="3" t="e">
        <f t="shared" si="8"/>
        <v>#DIV/0!</v>
      </c>
      <c r="W78" s="3">
        <f t="shared" si="8"/>
        <v>25.7865336361617</v>
      </c>
      <c r="X78" s="3">
        <f t="shared" si="8"/>
        <v>2.51684057872469</v>
      </c>
      <c r="Y78" s="3">
        <f t="shared" si="8"/>
        <v>1.65881511231816</v>
      </c>
      <c r="Z78" s="3">
        <f t="shared" si="8"/>
        <v>2.35479363249409</v>
      </c>
      <c r="AA78" s="3">
        <f t="shared" si="8"/>
        <v>0.504380488820874</v>
      </c>
      <c r="AB78" s="3">
        <f t="shared" si="8"/>
        <v>1.03354000564989</v>
      </c>
      <c r="AC78" s="3">
        <f t="shared" si="8"/>
        <v>1.43608683408431</v>
      </c>
      <c r="AD78" s="3">
        <f t="shared" si="8"/>
        <v>0.43694908348801</v>
      </c>
      <c r="AE78" s="3">
        <f t="shared" si="8"/>
        <v>1.83254933323245</v>
      </c>
      <c r="AF78" s="3">
        <f t="shared" si="8"/>
        <v>2.51711518042598</v>
      </c>
      <c r="AG78" s="3">
        <f t="shared" si="8"/>
        <v>5.94537708593786</v>
      </c>
      <c r="AH78" s="2">
        <v>10</v>
      </c>
    </row>
    <row r="79" spans="2:34">
      <c r="B79" s="3">
        <f t="shared" si="7"/>
        <v>2.6</v>
      </c>
      <c r="C79" s="3">
        <f t="shared" si="5"/>
        <v>0.0492979589121614</v>
      </c>
      <c r="D79" s="3">
        <f t="shared" si="5"/>
        <v>4.05548688769683</v>
      </c>
      <c r="E79" s="3">
        <f t="shared" si="5"/>
        <v>-0.0419616814235517</v>
      </c>
      <c r="F79" s="3">
        <f t="shared" si="5"/>
        <v>3.99986601635397</v>
      </c>
      <c r="G79" s="3">
        <f t="shared" si="5"/>
        <v>4.2789976510054</v>
      </c>
      <c r="H79" s="3">
        <f t="shared" si="6"/>
        <v>4.21317088446646</v>
      </c>
      <c r="I79" s="3">
        <f t="shared" si="6"/>
        <v>4.45414825052153</v>
      </c>
      <c r="J79" s="3">
        <f t="shared" si="6"/>
        <v>2.53166749767435</v>
      </c>
      <c r="K79" s="3">
        <f t="shared" ref="K79:O94" si="9">K78+(((K$32+0.1)-(K$31-0.1))/50)</f>
        <v>7.3703197047101</v>
      </c>
      <c r="L79" s="3">
        <f t="shared" si="9"/>
        <v>9.38704118269665</v>
      </c>
      <c r="M79" s="3">
        <f t="shared" si="8"/>
        <v>7.79474717939773</v>
      </c>
      <c r="N79" s="3">
        <f t="shared" si="8"/>
        <v>1.49328817040469</v>
      </c>
      <c r="O79" s="3">
        <f t="shared" si="8"/>
        <v>0.349590618840599</v>
      </c>
      <c r="P79" s="3">
        <f t="shared" si="8"/>
        <v>1.20856901474315</v>
      </c>
      <c r="Q79" s="3">
        <f t="shared" si="8"/>
        <v>0.77118992571512</v>
      </c>
      <c r="R79" s="3">
        <f t="shared" si="8"/>
        <v>1.16634555100691</v>
      </c>
      <c r="S79" s="3">
        <f t="shared" si="8"/>
        <v>118.859136357584</v>
      </c>
      <c r="T79" s="3">
        <f t="shared" si="8"/>
        <v>34.483078400769</v>
      </c>
      <c r="U79" s="3">
        <f t="shared" si="8"/>
        <v>15.517968154312</v>
      </c>
      <c r="V79" s="3" t="e">
        <f t="shared" si="8"/>
        <v>#DIV/0!</v>
      </c>
      <c r="W79" s="3">
        <f t="shared" si="8"/>
        <v>27.7948239254428</v>
      </c>
      <c r="X79" s="3">
        <f t="shared" si="8"/>
        <v>2.68354051026033</v>
      </c>
      <c r="Y79" s="3">
        <f t="shared" si="8"/>
        <v>1.801216371678</v>
      </c>
      <c r="Z79" s="3">
        <f t="shared" si="8"/>
        <v>2.51664104289648</v>
      </c>
      <c r="AA79" s="3">
        <f t="shared" si="8"/>
        <v>0.544665219326545</v>
      </c>
      <c r="AB79" s="3">
        <f t="shared" si="8"/>
        <v>1.12800167278738</v>
      </c>
      <c r="AC79" s="3">
        <f t="shared" si="8"/>
        <v>1.564094070258</v>
      </c>
      <c r="AD79" s="3">
        <f t="shared" si="8"/>
        <v>0.481694840445344</v>
      </c>
      <c r="AE79" s="3">
        <f t="shared" si="8"/>
        <v>1.94706223400098</v>
      </c>
      <c r="AF79" s="3">
        <f t="shared" si="8"/>
        <v>2.68383799543674</v>
      </c>
      <c r="AG79" s="3">
        <f t="shared" si="8"/>
        <v>6.34213743332558</v>
      </c>
      <c r="AH79" s="2">
        <v>10</v>
      </c>
    </row>
    <row r="80" spans="2:34">
      <c r="B80" s="3">
        <f t="shared" si="7"/>
        <v>2.8</v>
      </c>
      <c r="C80" s="3">
        <f t="shared" si="5"/>
        <v>0.0577961521716278</v>
      </c>
      <c r="D80" s="3">
        <f t="shared" si="5"/>
        <v>4.28790143086749</v>
      </c>
      <c r="E80" s="3">
        <f t="shared" si="5"/>
        <v>-0.037541606938378</v>
      </c>
      <c r="F80" s="3">
        <f t="shared" si="5"/>
        <v>4.21545805569071</v>
      </c>
      <c r="G80" s="3">
        <f t="shared" si="5"/>
        <v>4.50747803554345</v>
      </c>
      <c r="H80" s="3">
        <f t="shared" si="6"/>
        <v>4.41317088446646</v>
      </c>
      <c r="I80" s="3">
        <f t="shared" si="6"/>
        <v>4.65414825052153</v>
      </c>
      <c r="J80" s="3">
        <f t="shared" si="6"/>
        <v>2.73166749767435</v>
      </c>
      <c r="K80" s="3">
        <f t="shared" si="9"/>
        <v>7.7812499935424</v>
      </c>
      <c r="L80" s="3">
        <f t="shared" si="9"/>
        <v>9.88987238575497</v>
      </c>
      <c r="M80" s="3">
        <f t="shared" si="8"/>
        <v>8.40077321373412</v>
      </c>
      <c r="N80" s="3">
        <f t="shared" si="8"/>
        <v>1.5933296438132</v>
      </c>
      <c r="O80" s="3">
        <f t="shared" si="8"/>
        <v>0.384174512597568</v>
      </c>
      <c r="P80" s="3">
        <f t="shared" si="8"/>
        <v>1.30922816972339</v>
      </c>
      <c r="Q80" s="3">
        <f t="shared" si="8"/>
        <v>0.838204535385513</v>
      </c>
      <c r="R80" s="3">
        <f t="shared" si="8"/>
        <v>1.26375674723822</v>
      </c>
      <c r="S80" s="3">
        <f t="shared" si="8"/>
        <v>128.009839154322</v>
      </c>
      <c r="T80" s="3">
        <f t="shared" si="8"/>
        <v>37.1433152008281</v>
      </c>
      <c r="U80" s="3">
        <f t="shared" si="8"/>
        <v>16.7193503200283</v>
      </c>
      <c r="V80" s="3" t="e">
        <f t="shared" si="8"/>
        <v>#DIV/0!</v>
      </c>
      <c r="W80" s="3">
        <f t="shared" si="8"/>
        <v>29.8031142147238</v>
      </c>
      <c r="X80" s="3">
        <f t="shared" si="8"/>
        <v>2.85024044179598</v>
      </c>
      <c r="Y80" s="3">
        <f t="shared" si="8"/>
        <v>1.94361763103785</v>
      </c>
      <c r="Z80" s="3">
        <f t="shared" si="8"/>
        <v>2.67848845329886</v>
      </c>
      <c r="AA80" s="3">
        <f t="shared" si="8"/>
        <v>0.584949949832215</v>
      </c>
      <c r="AB80" s="3">
        <f t="shared" si="8"/>
        <v>1.22246333992487</v>
      </c>
      <c r="AC80" s="3">
        <f t="shared" si="8"/>
        <v>1.69210130643169</v>
      </c>
      <c r="AD80" s="3">
        <f t="shared" si="8"/>
        <v>0.526440597402678</v>
      </c>
      <c r="AE80" s="3">
        <f t="shared" si="8"/>
        <v>2.06157513476951</v>
      </c>
      <c r="AF80" s="3">
        <f t="shared" si="8"/>
        <v>2.8505608104475</v>
      </c>
      <c r="AG80" s="3">
        <f t="shared" si="8"/>
        <v>6.7388977807133</v>
      </c>
      <c r="AH80" s="2">
        <v>10</v>
      </c>
    </row>
    <row r="81" spans="2:34">
      <c r="B81" s="3">
        <f t="shared" si="7"/>
        <v>3</v>
      </c>
      <c r="C81" s="3">
        <f t="shared" si="5"/>
        <v>0.0662943454310942</v>
      </c>
      <c r="D81" s="3">
        <f t="shared" si="5"/>
        <v>4.52031597403816</v>
      </c>
      <c r="E81" s="3">
        <f t="shared" si="5"/>
        <v>-0.0331215324532042</v>
      </c>
      <c r="F81" s="3">
        <f t="shared" si="5"/>
        <v>4.43105009502744</v>
      </c>
      <c r="G81" s="3">
        <f t="shared" si="5"/>
        <v>4.7359584200815</v>
      </c>
      <c r="H81" s="3">
        <f t="shared" si="6"/>
        <v>4.61317088446646</v>
      </c>
      <c r="I81" s="3">
        <f t="shared" si="6"/>
        <v>4.85414825052153</v>
      </c>
      <c r="J81" s="3">
        <f t="shared" si="6"/>
        <v>2.93166749767435</v>
      </c>
      <c r="K81" s="3">
        <f t="shared" si="9"/>
        <v>8.1921802823747</v>
      </c>
      <c r="L81" s="3">
        <f t="shared" si="9"/>
        <v>10.3927035888133</v>
      </c>
      <c r="M81" s="3">
        <f t="shared" si="8"/>
        <v>9.00679924807052</v>
      </c>
      <c r="N81" s="3">
        <f t="shared" si="8"/>
        <v>1.6933711172217</v>
      </c>
      <c r="O81" s="3">
        <f t="shared" si="8"/>
        <v>0.418758406354537</v>
      </c>
      <c r="P81" s="3">
        <f t="shared" si="8"/>
        <v>1.40988732470363</v>
      </c>
      <c r="Q81" s="3">
        <f t="shared" si="8"/>
        <v>0.905219145055907</v>
      </c>
      <c r="R81" s="3">
        <f t="shared" si="8"/>
        <v>1.36116794346952</v>
      </c>
      <c r="S81" s="3">
        <f t="shared" si="8"/>
        <v>137.160541951059</v>
      </c>
      <c r="T81" s="3">
        <f t="shared" si="8"/>
        <v>39.8035520008873</v>
      </c>
      <c r="U81" s="3">
        <f t="shared" si="8"/>
        <v>17.9207324857446</v>
      </c>
      <c r="V81" s="3" t="e">
        <f t="shared" si="8"/>
        <v>#DIV/0!</v>
      </c>
      <c r="W81" s="3">
        <f t="shared" si="8"/>
        <v>31.8114045040048</v>
      </c>
      <c r="X81" s="3">
        <f t="shared" si="8"/>
        <v>3.01694037333163</v>
      </c>
      <c r="Y81" s="3">
        <f t="shared" si="8"/>
        <v>2.08601889039769</v>
      </c>
      <c r="Z81" s="3">
        <f t="shared" si="8"/>
        <v>2.84033586370125</v>
      </c>
      <c r="AA81" s="3">
        <f t="shared" si="8"/>
        <v>0.625234680337886</v>
      </c>
      <c r="AB81" s="3">
        <f t="shared" si="8"/>
        <v>1.31692500706236</v>
      </c>
      <c r="AC81" s="3">
        <f t="shared" si="8"/>
        <v>1.82010854260539</v>
      </c>
      <c r="AD81" s="3">
        <f t="shared" si="8"/>
        <v>0.571186354360012</v>
      </c>
      <c r="AE81" s="3">
        <f t="shared" si="8"/>
        <v>2.17608803553804</v>
      </c>
      <c r="AF81" s="3">
        <f t="shared" si="8"/>
        <v>3.01728362545825</v>
      </c>
      <c r="AG81" s="3">
        <f t="shared" si="8"/>
        <v>7.13565812810103</v>
      </c>
      <c r="AH81" s="2">
        <v>10</v>
      </c>
    </row>
    <row r="82" spans="2:34">
      <c r="B82" s="3">
        <f t="shared" si="7"/>
        <v>3.2</v>
      </c>
      <c r="C82" s="3">
        <f t="shared" si="5"/>
        <v>0.0747925386905606</v>
      </c>
      <c r="D82" s="3">
        <f t="shared" si="5"/>
        <v>4.75273051720883</v>
      </c>
      <c r="E82" s="3">
        <f t="shared" si="5"/>
        <v>-0.0287014579680305</v>
      </c>
      <c r="F82" s="3">
        <f t="shared" si="5"/>
        <v>4.64664213436417</v>
      </c>
      <c r="G82" s="3">
        <f t="shared" si="5"/>
        <v>4.96443880461954</v>
      </c>
      <c r="H82" s="3">
        <f t="shared" si="6"/>
        <v>4.81317088446646</v>
      </c>
      <c r="I82" s="3">
        <f t="shared" si="6"/>
        <v>5.05414825052153</v>
      </c>
      <c r="J82" s="3">
        <f t="shared" si="6"/>
        <v>3.13166749767435</v>
      </c>
      <c r="K82" s="3">
        <f t="shared" si="9"/>
        <v>8.603110571207</v>
      </c>
      <c r="L82" s="3">
        <f t="shared" si="9"/>
        <v>10.8955347918716</v>
      </c>
      <c r="M82" s="3">
        <f t="shared" si="8"/>
        <v>9.61282528240691</v>
      </c>
      <c r="N82" s="3">
        <f t="shared" si="8"/>
        <v>1.79341259063021</v>
      </c>
      <c r="O82" s="3">
        <f t="shared" si="8"/>
        <v>0.453342300111506</v>
      </c>
      <c r="P82" s="3">
        <f t="shared" si="8"/>
        <v>1.51054647968388</v>
      </c>
      <c r="Q82" s="3">
        <f t="shared" si="8"/>
        <v>0.972233754726301</v>
      </c>
      <c r="R82" s="3">
        <f t="shared" si="8"/>
        <v>1.45857913970082</v>
      </c>
      <c r="S82" s="3">
        <f t="shared" si="8"/>
        <v>146.311244747796</v>
      </c>
      <c r="T82" s="3">
        <f t="shared" si="8"/>
        <v>42.4637888009465</v>
      </c>
      <c r="U82" s="3">
        <f t="shared" si="8"/>
        <v>19.1221146514609</v>
      </c>
      <c r="V82" s="3" t="e">
        <f t="shared" si="8"/>
        <v>#DIV/0!</v>
      </c>
      <c r="W82" s="3">
        <f t="shared" si="8"/>
        <v>33.8196947932859</v>
      </c>
      <c r="X82" s="3">
        <f t="shared" si="8"/>
        <v>3.18364030486728</v>
      </c>
      <c r="Y82" s="3">
        <f t="shared" si="8"/>
        <v>2.22842014975754</v>
      </c>
      <c r="Z82" s="3">
        <f t="shared" si="8"/>
        <v>3.00218327410363</v>
      </c>
      <c r="AA82" s="3">
        <f t="shared" si="8"/>
        <v>0.665519410843557</v>
      </c>
      <c r="AB82" s="3">
        <f t="shared" si="8"/>
        <v>1.41138667419985</v>
      </c>
      <c r="AC82" s="3">
        <f t="shared" si="8"/>
        <v>1.94811577877908</v>
      </c>
      <c r="AD82" s="3">
        <f t="shared" si="8"/>
        <v>0.615932111317346</v>
      </c>
      <c r="AE82" s="3">
        <f t="shared" si="8"/>
        <v>2.29060093630657</v>
      </c>
      <c r="AF82" s="3">
        <f t="shared" si="8"/>
        <v>3.18400644046901</v>
      </c>
      <c r="AG82" s="3">
        <f t="shared" si="8"/>
        <v>7.53241847548875</v>
      </c>
      <c r="AH82" s="2">
        <v>10</v>
      </c>
    </row>
    <row r="83" spans="2:34">
      <c r="B83" s="3">
        <f t="shared" si="7"/>
        <v>3.4</v>
      </c>
      <c r="C83" s="3">
        <f t="shared" si="5"/>
        <v>0.083290731950027</v>
      </c>
      <c r="D83" s="3">
        <f t="shared" si="5"/>
        <v>4.9851450603795</v>
      </c>
      <c r="E83" s="3">
        <f t="shared" si="5"/>
        <v>-0.0242813834828567</v>
      </c>
      <c r="F83" s="3">
        <f t="shared" si="5"/>
        <v>4.86223417370091</v>
      </c>
      <c r="G83" s="3">
        <f t="shared" si="5"/>
        <v>5.19291918915759</v>
      </c>
      <c r="H83" s="3">
        <f t="shared" si="6"/>
        <v>5.01317088446647</v>
      </c>
      <c r="I83" s="3">
        <f t="shared" si="6"/>
        <v>5.25414825052153</v>
      </c>
      <c r="J83" s="3">
        <f t="shared" si="6"/>
        <v>3.33166749767435</v>
      </c>
      <c r="K83" s="3">
        <f t="shared" si="9"/>
        <v>9.0140408600393</v>
      </c>
      <c r="L83" s="3">
        <f t="shared" si="9"/>
        <v>11.3983659949299</v>
      </c>
      <c r="M83" s="3">
        <f t="shared" si="8"/>
        <v>10.2188513167433</v>
      </c>
      <c r="N83" s="3">
        <f t="shared" si="8"/>
        <v>1.89345406403871</v>
      </c>
      <c r="O83" s="3">
        <f t="shared" si="8"/>
        <v>0.487926193868475</v>
      </c>
      <c r="P83" s="3">
        <f t="shared" si="8"/>
        <v>1.61120563466412</v>
      </c>
      <c r="Q83" s="3">
        <f t="shared" si="8"/>
        <v>1.03924836439669</v>
      </c>
      <c r="R83" s="3">
        <f t="shared" si="8"/>
        <v>1.55599033593212</v>
      </c>
      <c r="S83" s="3">
        <f t="shared" si="8"/>
        <v>155.461947544534</v>
      </c>
      <c r="T83" s="3">
        <f t="shared" si="8"/>
        <v>45.1240256010056</v>
      </c>
      <c r="U83" s="3">
        <f t="shared" si="8"/>
        <v>20.3234968171772</v>
      </c>
      <c r="V83" s="3" t="e">
        <f t="shared" si="8"/>
        <v>#DIV/0!</v>
      </c>
      <c r="W83" s="3">
        <f t="shared" si="8"/>
        <v>35.8279850825669</v>
      </c>
      <c r="X83" s="3">
        <f t="shared" si="8"/>
        <v>3.35034023640293</v>
      </c>
      <c r="Y83" s="3">
        <f t="shared" si="8"/>
        <v>2.37082140911739</v>
      </c>
      <c r="Z83" s="3">
        <f t="shared" si="8"/>
        <v>3.16403068450602</v>
      </c>
      <c r="AA83" s="3">
        <f t="shared" si="8"/>
        <v>0.705804141349227</v>
      </c>
      <c r="AB83" s="3">
        <f t="shared" si="8"/>
        <v>1.50584834133734</v>
      </c>
      <c r="AC83" s="3">
        <f t="shared" si="8"/>
        <v>2.07612301495277</v>
      </c>
      <c r="AD83" s="3">
        <f t="shared" si="8"/>
        <v>0.66067786827468</v>
      </c>
      <c r="AE83" s="3">
        <f t="shared" si="8"/>
        <v>2.4051138370751</v>
      </c>
      <c r="AF83" s="3">
        <f t="shared" si="8"/>
        <v>3.35072925547977</v>
      </c>
      <c r="AG83" s="3">
        <f t="shared" si="8"/>
        <v>7.92917882287647</v>
      </c>
      <c r="AH83" s="2">
        <v>10</v>
      </c>
    </row>
    <row r="84" spans="2:34">
      <c r="B84" s="3">
        <f t="shared" si="7"/>
        <v>3.6</v>
      </c>
      <c r="C84" s="3">
        <f t="shared" ref="C84:G99" si="10">C83+(((C$32+0.1)-(C$31-0.1))/50)</f>
        <v>0.0917889252094934</v>
      </c>
      <c r="D84" s="3">
        <f t="shared" si="10"/>
        <v>5.21755960355017</v>
      </c>
      <c r="E84" s="3">
        <f t="shared" si="10"/>
        <v>-0.019861308997683</v>
      </c>
      <c r="F84" s="3">
        <f t="shared" si="10"/>
        <v>5.07782621303764</v>
      </c>
      <c r="G84" s="3">
        <f t="shared" si="10"/>
        <v>5.42139957369563</v>
      </c>
      <c r="H84" s="3">
        <f t="shared" ref="H84:J99" si="11">H83+0.2</f>
        <v>5.21317088446647</v>
      </c>
      <c r="I84" s="3">
        <f t="shared" si="11"/>
        <v>5.45414825052153</v>
      </c>
      <c r="J84" s="3">
        <f t="shared" si="11"/>
        <v>3.53166749767435</v>
      </c>
      <c r="K84" s="3">
        <f t="shared" si="9"/>
        <v>9.4249711488716</v>
      </c>
      <c r="L84" s="3">
        <f t="shared" si="9"/>
        <v>11.9011971979882</v>
      </c>
      <c r="M84" s="3">
        <f t="shared" si="8"/>
        <v>10.8248773510797</v>
      </c>
      <c r="N84" s="3">
        <f t="shared" si="8"/>
        <v>1.99349553744722</v>
      </c>
      <c r="O84" s="3">
        <f t="shared" si="8"/>
        <v>0.522510087625445</v>
      </c>
      <c r="P84" s="3">
        <f t="shared" si="8"/>
        <v>1.71186478964436</v>
      </c>
      <c r="Q84" s="3">
        <f t="shared" si="8"/>
        <v>1.10626297406709</v>
      </c>
      <c r="R84" s="3">
        <f t="shared" si="8"/>
        <v>1.65340153216342</v>
      </c>
      <c r="S84" s="3">
        <f t="shared" si="8"/>
        <v>164.612650341271</v>
      </c>
      <c r="T84" s="3">
        <f t="shared" si="8"/>
        <v>47.7842624010648</v>
      </c>
      <c r="U84" s="3">
        <f t="shared" si="8"/>
        <v>21.5248789828935</v>
      </c>
      <c r="V84" s="3" t="e">
        <f t="shared" si="8"/>
        <v>#DIV/0!</v>
      </c>
      <c r="W84" s="3">
        <f t="shared" si="8"/>
        <v>37.836275371848</v>
      </c>
      <c r="X84" s="3">
        <f t="shared" si="8"/>
        <v>3.51704016793858</v>
      </c>
      <c r="Y84" s="3">
        <f t="shared" si="8"/>
        <v>2.51322266847723</v>
      </c>
      <c r="Z84" s="3">
        <f t="shared" si="8"/>
        <v>3.32587809490841</v>
      </c>
      <c r="AA84" s="3">
        <f t="shared" si="8"/>
        <v>0.746088871854898</v>
      </c>
      <c r="AB84" s="3">
        <f t="shared" si="8"/>
        <v>1.60031000847483</v>
      </c>
      <c r="AC84" s="3">
        <f t="shared" si="8"/>
        <v>2.20413025112646</v>
      </c>
      <c r="AD84" s="3">
        <f t="shared" si="8"/>
        <v>0.705423625232015</v>
      </c>
      <c r="AE84" s="3">
        <f t="shared" si="8"/>
        <v>2.51962673784363</v>
      </c>
      <c r="AF84" s="3">
        <f t="shared" si="8"/>
        <v>3.51745207049053</v>
      </c>
      <c r="AG84" s="3">
        <f t="shared" si="8"/>
        <v>8.32593917026419</v>
      </c>
      <c r="AH84" s="2">
        <v>10</v>
      </c>
    </row>
    <row r="85" spans="2:34">
      <c r="B85" s="3">
        <f t="shared" si="7"/>
        <v>3.8</v>
      </c>
      <c r="C85" s="3">
        <f t="shared" si="10"/>
        <v>0.10028711846896</v>
      </c>
      <c r="D85" s="3">
        <f t="shared" si="10"/>
        <v>5.44997414672083</v>
      </c>
      <c r="E85" s="3">
        <f t="shared" si="10"/>
        <v>-0.0154412345125092</v>
      </c>
      <c r="F85" s="3">
        <f t="shared" si="10"/>
        <v>5.29341825237437</v>
      </c>
      <c r="G85" s="3">
        <f t="shared" si="10"/>
        <v>5.64987995823368</v>
      </c>
      <c r="H85" s="3">
        <f t="shared" si="11"/>
        <v>5.41317088446647</v>
      </c>
      <c r="I85" s="3">
        <f t="shared" si="11"/>
        <v>5.65414825052153</v>
      </c>
      <c r="J85" s="3">
        <f t="shared" si="11"/>
        <v>3.73166749767435</v>
      </c>
      <c r="K85" s="3">
        <f t="shared" si="9"/>
        <v>9.8359014377039</v>
      </c>
      <c r="L85" s="3">
        <f t="shared" si="9"/>
        <v>12.4040284010465</v>
      </c>
      <c r="M85" s="3">
        <f t="shared" si="8"/>
        <v>11.4309033854161</v>
      </c>
      <c r="N85" s="3">
        <f t="shared" si="8"/>
        <v>2.09353701085572</v>
      </c>
      <c r="O85" s="3">
        <f t="shared" si="8"/>
        <v>0.557093981382414</v>
      </c>
      <c r="P85" s="3">
        <f t="shared" si="8"/>
        <v>1.8125239446246</v>
      </c>
      <c r="Q85" s="3">
        <f t="shared" si="8"/>
        <v>1.17327758373748</v>
      </c>
      <c r="R85" s="3">
        <f t="shared" si="8"/>
        <v>1.75081272839472</v>
      </c>
      <c r="S85" s="3">
        <f t="shared" si="8"/>
        <v>173.763353138008</v>
      </c>
      <c r="T85" s="3">
        <f t="shared" si="8"/>
        <v>50.4444992011239</v>
      </c>
      <c r="U85" s="3">
        <f t="shared" si="8"/>
        <v>22.7262611486098</v>
      </c>
      <c r="V85" s="3" t="e">
        <f t="shared" si="8"/>
        <v>#DIV/0!</v>
      </c>
      <c r="W85" s="3">
        <f t="shared" si="8"/>
        <v>39.844565661129</v>
      </c>
      <c r="X85" s="3">
        <f t="shared" si="8"/>
        <v>3.68374009947423</v>
      </c>
      <c r="Y85" s="3">
        <f t="shared" si="8"/>
        <v>2.65562392783708</v>
      </c>
      <c r="Z85" s="3">
        <f t="shared" si="8"/>
        <v>3.48772550531079</v>
      </c>
      <c r="AA85" s="3">
        <f t="shared" si="8"/>
        <v>0.786373602360569</v>
      </c>
      <c r="AB85" s="3">
        <f t="shared" si="8"/>
        <v>1.69477167561232</v>
      </c>
      <c r="AC85" s="3">
        <f t="shared" si="8"/>
        <v>2.33213748730015</v>
      </c>
      <c r="AD85" s="3">
        <f t="shared" si="8"/>
        <v>0.750169382189349</v>
      </c>
      <c r="AE85" s="3">
        <f t="shared" si="8"/>
        <v>2.63413963861216</v>
      </c>
      <c r="AF85" s="3">
        <f t="shared" si="8"/>
        <v>3.68417488550128</v>
      </c>
      <c r="AG85" s="3">
        <f t="shared" si="8"/>
        <v>8.72269951765191</v>
      </c>
      <c r="AH85" s="2">
        <v>10</v>
      </c>
    </row>
    <row r="86" spans="2:34">
      <c r="B86" s="3">
        <f t="shared" si="7"/>
        <v>4</v>
      </c>
      <c r="C86" s="3">
        <f t="shared" si="10"/>
        <v>0.108785311728426</v>
      </c>
      <c r="D86" s="3">
        <f t="shared" si="10"/>
        <v>5.6823886898915</v>
      </c>
      <c r="E86" s="3">
        <f t="shared" si="10"/>
        <v>-0.0110211600273355</v>
      </c>
      <c r="F86" s="3">
        <f t="shared" si="10"/>
        <v>5.50901029171111</v>
      </c>
      <c r="G86" s="3">
        <f t="shared" si="10"/>
        <v>5.87836034277173</v>
      </c>
      <c r="H86" s="3">
        <f t="shared" si="11"/>
        <v>5.61317088446647</v>
      </c>
      <c r="I86" s="3">
        <f t="shared" si="11"/>
        <v>5.85414825052153</v>
      </c>
      <c r="J86" s="3">
        <f t="shared" si="11"/>
        <v>3.93166749767435</v>
      </c>
      <c r="K86" s="3">
        <f t="shared" si="9"/>
        <v>10.2468317265362</v>
      </c>
      <c r="L86" s="3">
        <f t="shared" si="9"/>
        <v>12.9068596041049</v>
      </c>
      <c r="M86" s="3">
        <f t="shared" si="8"/>
        <v>12.0369294197525</v>
      </c>
      <c r="N86" s="3">
        <f t="shared" si="8"/>
        <v>2.19357848426423</v>
      </c>
      <c r="O86" s="3">
        <f t="shared" si="8"/>
        <v>0.591677875139383</v>
      </c>
      <c r="P86" s="3">
        <f t="shared" si="8"/>
        <v>1.91318309960485</v>
      </c>
      <c r="Q86" s="3">
        <f t="shared" si="8"/>
        <v>1.24029219340788</v>
      </c>
      <c r="R86" s="3">
        <f t="shared" si="8"/>
        <v>1.84822392462602</v>
      </c>
      <c r="S86" s="3">
        <f t="shared" si="8"/>
        <v>182.914055934745</v>
      </c>
      <c r="T86" s="3">
        <f t="shared" si="8"/>
        <v>53.1047360011831</v>
      </c>
      <c r="U86" s="3">
        <f t="shared" si="8"/>
        <v>23.9276433143261</v>
      </c>
      <c r="V86" s="3" t="e">
        <f t="shared" si="8"/>
        <v>#DIV/0!</v>
      </c>
      <c r="W86" s="3">
        <f t="shared" si="8"/>
        <v>41.85285595041</v>
      </c>
      <c r="X86" s="3">
        <f t="shared" si="8"/>
        <v>3.85044003100988</v>
      </c>
      <c r="Y86" s="3">
        <f t="shared" si="8"/>
        <v>2.79802518719692</v>
      </c>
      <c r="Z86" s="3">
        <f t="shared" si="8"/>
        <v>3.64957291571318</v>
      </c>
      <c r="AA86" s="3">
        <f t="shared" si="8"/>
        <v>0.82665833286624</v>
      </c>
      <c r="AB86" s="3">
        <f t="shared" si="8"/>
        <v>1.78923334274981</v>
      </c>
      <c r="AC86" s="3">
        <f t="shared" si="8"/>
        <v>2.46014472347385</v>
      </c>
      <c r="AD86" s="3">
        <f t="shared" si="8"/>
        <v>0.794915139146683</v>
      </c>
      <c r="AE86" s="3">
        <f t="shared" si="8"/>
        <v>2.74865253938069</v>
      </c>
      <c r="AF86" s="3">
        <f t="shared" si="8"/>
        <v>3.85089770051204</v>
      </c>
      <c r="AG86" s="3">
        <f t="shared" si="8"/>
        <v>9.11945986503963</v>
      </c>
      <c r="AH86" s="2">
        <v>10</v>
      </c>
    </row>
    <row r="87" spans="2:34">
      <c r="B87" s="3">
        <f t="shared" si="7"/>
        <v>4.2</v>
      </c>
      <c r="C87" s="3">
        <f t="shared" si="10"/>
        <v>0.117283504987893</v>
      </c>
      <c r="D87" s="3">
        <f t="shared" si="10"/>
        <v>5.91480323306217</v>
      </c>
      <c r="E87" s="3">
        <f t="shared" si="10"/>
        <v>-0.00660108554216175</v>
      </c>
      <c r="F87" s="3">
        <f t="shared" si="10"/>
        <v>5.72460233104784</v>
      </c>
      <c r="G87" s="3">
        <f t="shared" si="10"/>
        <v>6.10684072730977</v>
      </c>
      <c r="H87" s="3">
        <f t="shared" si="11"/>
        <v>5.81317088446647</v>
      </c>
      <c r="I87" s="3">
        <f t="shared" si="11"/>
        <v>6.05414825052153</v>
      </c>
      <c r="J87" s="3">
        <f t="shared" si="11"/>
        <v>4.13166749767435</v>
      </c>
      <c r="K87" s="3">
        <f t="shared" si="9"/>
        <v>10.6577620153685</v>
      </c>
      <c r="L87" s="3">
        <f t="shared" si="9"/>
        <v>13.4096908071632</v>
      </c>
      <c r="M87" s="3">
        <f t="shared" si="8"/>
        <v>12.6429554540889</v>
      </c>
      <c r="N87" s="3">
        <f t="shared" si="8"/>
        <v>2.29361995767274</v>
      </c>
      <c r="O87" s="3">
        <f t="shared" si="8"/>
        <v>0.626261768896352</v>
      </c>
      <c r="P87" s="3">
        <f t="shared" si="8"/>
        <v>2.01384225458509</v>
      </c>
      <c r="Q87" s="3">
        <f t="shared" si="8"/>
        <v>1.30730680307827</v>
      </c>
      <c r="R87" s="3">
        <f t="shared" si="8"/>
        <v>1.94563512085732</v>
      </c>
      <c r="S87" s="3">
        <f t="shared" si="8"/>
        <v>192.064758731483</v>
      </c>
      <c r="T87" s="3">
        <f t="shared" si="8"/>
        <v>55.7649728012422</v>
      </c>
      <c r="U87" s="3">
        <f t="shared" si="8"/>
        <v>25.1290254800424</v>
      </c>
      <c r="V87" s="3" t="e">
        <f t="shared" si="8"/>
        <v>#DIV/0!</v>
      </c>
      <c r="W87" s="3">
        <f t="shared" si="8"/>
        <v>43.8611462396911</v>
      </c>
      <c r="X87" s="3">
        <f t="shared" si="8"/>
        <v>4.01713996254553</v>
      </c>
      <c r="Y87" s="3">
        <f t="shared" si="8"/>
        <v>2.94042644655677</v>
      </c>
      <c r="Z87" s="3">
        <f t="shared" si="8"/>
        <v>3.81142032611557</v>
      </c>
      <c r="AA87" s="3">
        <f t="shared" si="8"/>
        <v>0.86694306337191</v>
      </c>
      <c r="AB87" s="3">
        <f t="shared" si="8"/>
        <v>1.8836950098873</v>
      </c>
      <c r="AC87" s="3">
        <f t="shared" si="8"/>
        <v>2.58815195964754</v>
      </c>
      <c r="AD87" s="3">
        <f t="shared" si="8"/>
        <v>0.839660896104017</v>
      </c>
      <c r="AE87" s="3">
        <f t="shared" si="8"/>
        <v>2.86316544014922</v>
      </c>
      <c r="AF87" s="3">
        <f t="shared" si="8"/>
        <v>4.0176205155228</v>
      </c>
      <c r="AG87" s="3">
        <f t="shared" si="8"/>
        <v>9.51622021242735</v>
      </c>
      <c r="AH87" s="2">
        <v>10</v>
      </c>
    </row>
    <row r="88" spans="2:34">
      <c r="B88" s="3">
        <f t="shared" si="7"/>
        <v>4.4</v>
      </c>
      <c r="C88" s="3">
        <f t="shared" si="10"/>
        <v>0.125781698247359</v>
      </c>
      <c r="D88" s="3">
        <f t="shared" si="10"/>
        <v>6.14721777623284</v>
      </c>
      <c r="E88" s="3">
        <f t="shared" si="10"/>
        <v>-0.002181011056988</v>
      </c>
      <c r="F88" s="3">
        <f t="shared" si="10"/>
        <v>5.94019437038457</v>
      </c>
      <c r="G88" s="3">
        <f t="shared" si="10"/>
        <v>6.33532111184782</v>
      </c>
      <c r="H88" s="3">
        <f t="shared" si="11"/>
        <v>6.01317088446647</v>
      </c>
      <c r="I88" s="3">
        <f t="shared" si="11"/>
        <v>6.25414825052153</v>
      </c>
      <c r="J88" s="3">
        <f t="shared" si="11"/>
        <v>4.33166749767435</v>
      </c>
      <c r="K88" s="3">
        <f t="shared" si="9"/>
        <v>11.0686923042008</v>
      </c>
      <c r="L88" s="3">
        <f t="shared" si="9"/>
        <v>13.9125220102215</v>
      </c>
      <c r="M88" s="3">
        <f t="shared" si="8"/>
        <v>13.2489814884253</v>
      </c>
      <c r="N88" s="3">
        <f t="shared" si="8"/>
        <v>2.39366143108124</v>
      </c>
      <c r="O88" s="3">
        <f t="shared" si="8"/>
        <v>0.660845662653321</v>
      </c>
      <c r="P88" s="3">
        <f t="shared" si="8"/>
        <v>2.11450140956533</v>
      </c>
      <c r="Q88" s="3">
        <f t="shared" si="8"/>
        <v>1.37432141274866</v>
      </c>
      <c r="R88" s="3">
        <f t="shared" si="8"/>
        <v>2.04304631708862</v>
      </c>
      <c r="S88" s="3">
        <f t="shared" si="8"/>
        <v>201.21546152822</v>
      </c>
      <c r="T88" s="3">
        <f t="shared" si="8"/>
        <v>58.4252096013014</v>
      </c>
      <c r="U88" s="3">
        <f t="shared" si="8"/>
        <v>26.3304076457587</v>
      </c>
      <c r="V88" s="3" t="e">
        <f t="shared" si="8"/>
        <v>#DIV/0!</v>
      </c>
      <c r="W88" s="3">
        <f t="shared" si="8"/>
        <v>45.8694365289721</v>
      </c>
      <c r="X88" s="3">
        <f t="shared" si="8"/>
        <v>4.18383989408118</v>
      </c>
      <c r="Y88" s="3">
        <f t="shared" si="8"/>
        <v>3.08282770591662</v>
      </c>
      <c r="Z88" s="3">
        <f t="shared" si="8"/>
        <v>3.97326773651795</v>
      </c>
      <c r="AA88" s="3">
        <f t="shared" si="8"/>
        <v>0.907227793877581</v>
      </c>
      <c r="AB88" s="3">
        <f t="shared" si="8"/>
        <v>1.97815667702479</v>
      </c>
      <c r="AC88" s="3">
        <f t="shared" si="8"/>
        <v>2.71615919582123</v>
      </c>
      <c r="AD88" s="3">
        <f t="shared" si="8"/>
        <v>0.884406653061351</v>
      </c>
      <c r="AE88" s="3">
        <f t="shared" si="8"/>
        <v>2.97767834091775</v>
      </c>
      <c r="AF88" s="3">
        <f t="shared" si="8"/>
        <v>4.18434333053355</v>
      </c>
      <c r="AG88" s="3">
        <f t="shared" si="8"/>
        <v>9.91298055981507</v>
      </c>
      <c r="AH88" s="2">
        <v>10</v>
      </c>
    </row>
    <row r="89" spans="2:34">
      <c r="B89" s="3">
        <f t="shared" si="7"/>
        <v>4.6</v>
      </c>
      <c r="C89" s="3">
        <f t="shared" si="10"/>
        <v>0.134279891506825</v>
      </c>
      <c r="D89" s="3">
        <f t="shared" si="10"/>
        <v>6.3796323194035</v>
      </c>
      <c r="E89" s="3">
        <f t="shared" si="10"/>
        <v>0.00223906342818575</v>
      </c>
      <c r="F89" s="3">
        <f t="shared" si="10"/>
        <v>6.1557864097213</v>
      </c>
      <c r="G89" s="3">
        <f t="shared" si="10"/>
        <v>6.56380149638586</v>
      </c>
      <c r="H89" s="3">
        <f t="shared" si="11"/>
        <v>6.21317088446647</v>
      </c>
      <c r="I89" s="3">
        <f t="shared" si="11"/>
        <v>6.45414825052153</v>
      </c>
      <c r="J89" s="3">
        <f t="shared" si="11"/>
        <v>4.53166749767435</v>
      </c>
      <c r="K89" s="3">
        <f t="shared" si="9"/>
        <v>11.4796225930331</v>
      </c>
      <c r="L89" s="3">
        <f t="shared" si="9"/>
        <v>14.4153532132798</v>
      </c>
      <c r="M89" s="3">
        <f t="shared" si="8"/>
        <v>13.8550075227617</v>
      </c>
      <c r="N89" s="3">
        <f t="shared" si="8"/>
        <v>2.49370290448975</v>
      </c>
      <c r="O89" s="3">
        <f t="shared" si="8"/>
        <v>0.69542955641029</v>
      </c>
      <c r="P89" s="3">
        <f t="shared" si="8"/>
        <v>2.21516056454557</v>
      </c>
      <c r="Q89" s="3">
        <f t="shared" si="8"/>
        <v>1.44133602241906</v>
      </c>
      <c r="R89" s="3">
        <f t="shared" si="8"/>
        <v>2.14045751331993</v>
      </c>
      <c r="S89" s="3">
        <f t="shared" si="8"/>
        <v>210.366164324957</v>
      </c>
      <c r="T89" s="3">
        <f t="shared" si="8"/>
        <v>61.0854464013605</v>
      </c>
      <c r="U89" s="3">
        <f t="shared" si="8"/>
        <v>27.531789811475</v>
      </c>
      <c r="V89" s="3" t="e">
        <f t="shared" si="8"/>
        <v>#DIV/0!</v>
      </c>
      <c r="W89" s="3">
        <f t="shared" si="8"/>
        <v>47.8777268182531</v>
      </c>
      <c r="X89" s="3">
        <f t="shared" si="8"/>
        <v>4.35053982561682</v>
      </c>
      <c r="Y89" s="3">
        <f t="shared" si="8"/>
        <v>3.22522896527646</v>
      </c>
      <c r="Z89" s="3">
        <f t="shared" si="8"/>
        <v>4.13511514692034</v>
      </c>
      <c r="AA89" s="3">
        <f t="shared" si="8"/>
        <v>0.947512524383252</v>
      </c>
      <c r="AB89" s="3">
        <f t="shared" si="8"/>
        <v>2.07261834416228</v>
      </c>
      <c r="AC89" s="3">
        <f t="shared" si="8"/>
        <v>2.84416643199492</v>
      </c>
      <c r="AD89" s="3">
        <f t="shared" si="8"/>
        <v>0.929152410018686</v>
      </c>
      <c r="AE89" s="3">
        <f t="shared" si="8"/>
        <v>3.09219124168628</v>
      </c>
      <c r="AF89" s="3">
        <f t="shared" si="8"/>
        <v>4.35106614554431</v>
      </c>
      <c r="AG89" s="3">
        <f t="shared" si="8"/>
        <v>10.3097409072028</v>
      </c>
      <c r="AH89" s="2">
        <v>10</v>
      </c>
    </row>
    <row r="90" spans="2:34">
      <c r="B90" s="3">
        <f t="shared" si="7"/>
        <v>4.8</v>
      </c>
      <c r="C90" s="3">
        <f t="shared" si="10"/>
        <v>0.142778084766292</v>
      </c>
      <c r="D90" s="3">
        <f t="shared" si="10"/>
        <v>6.61204686257417</v>
      </c>
      <c r="E90" s="3">
        <f t="shared" si="10"/>
        <v>0.00665913791335949</v>
      </c>
      <c r="F90" s="3">
        <f t="shared" si="10"/>
        <v>6.37137844905804</v>
      </c>
      <c r="G90" s="3">
        <f t="shared" si="10"/>
        <v>6.79228188092391</v>
      </c>
      <c r="H90" s="3">
        <f t="shared" si="11"/>
        <v>6.41317088446647</v>
      </c>
      <c r="I90" s="3">
        <f t="shared" si="11"/>
        <v>6.65414825052153</v>
      </c>
      <c r="J90" s="3">
        <f t="shared" si="11"/>
        <v>4.73166749767435</v>
      </c>
      <c r="K90" s="3">
        <f t="shared" si="9"/>
        <v>11.8905528818654</v>
      </c>
      <c r="L90" s="3">
        <f t="shared" si="9"/>
        <v>14.9181844163381</v>
      </c>
      <c r="M90" s="3">
        <f t="shared" si="8"/>
        <v>14.4610335570981</v>
      </c>
      <c r="N90" s="3">
        <f t="shared" si="8"/>
        <v>2.59374437789825</v>
      </c>
      <c r="O90" s="3">
        <f t="shared" si="8"/>
        <v>0.730013450167259</v>
      </c>
      <c r="P90" s="3">
        <f t="shared" ref="P90:AG104" si="12">P89+(((P$32+0.1)-(P$31-0.1))/50)</f>
        <v>2.31581971952582</v>
      </c>
      <c r="Q90" s="3">
        <f t="shared" si="12"/>
        <v>1.50835063208945</v>
      </c>
      <c r="R90" s="3">
        <f t="shared" si="12"/>
        <v>2.23786870955123</v>
      </c>
      <c r="S90" s="3">
        <f t="shared" si="12"/>
        <v>219.516867121694</v>
      </c>
      <c r="T90" s="3">
        <f t="shared" si="12"/>
        <v>63.7456832014197</v>
      </c>
      <c r="U90" s="3">
        <f t="shared" si="12"/>
        <v>28.7331719771913</v>
      </c>
      <c r="V90" s="3" t="e">
        <f t="shared" si="12"/>
        <v>#DIV/0!</v>
      </c>
      <c r="W90" s="3">
        <f t="shared" si="12"/>
        <v>49.8860171075342</v>
      </c>
      <c r="X90" s="3">
        <f t="shared" si="12"/>
        <v>4.51723975715247</v>
      </c>
      <c r="Y90" s="3">
        <f t="shared" si="12"/>
        <v>3.36763022463631</v>
      </c>
      <c r="Z90" s="3">
        <f t="shared" si="12"/>
        <v>4.29696255732273</v>
      </c>
      <c r="AA90" s="3">
        <f t="shared" si="12"/>
        <v>0.987797254888922</v>
      </c>
      <c r="AB90" s="3">
        <f t="shared" si="12"/>
        <v>2.16708001129977</v>
      </c>
      <c r="AC90" s="3">
        <f t="shared" si="12"/>
        <v>2.97217366816862</v>
      </c>
      <c r="AD90" s="3">
        <f t="shared" si="12"/>
        <v>0.97389816697602</v>
      </c>
      <c r="AE90" s="3">
        <f t="shared" si="12"/>
        <v>3.20670414245481</v>
      </c>
      <c r="AF90" s="3">
        <f t="shared" si="12"/>
        <v>4.51778896055507</v>
      </c>
      <c r="AG90" s="3">
        <f t="shared" si="12"/>
        <v>10.7065012545905</v>
      </c>
      <c r="AH90" s="2">
        <v>10</v>
      </c>
    </row>
    <row r="91" spans="2:34">
      <c r="B91" s="3">
        <f t="shared" si="7"/>
        <v>5</v>
      </c>
      <c r="C91" s="3">
        <f t="shared" si="10"/>
        <v>0.151276278025758</v>
      </c>
      <c r="D91" s="3">
        <f t="shared" si="10"/>
        <v>6.84446140574484</v>
      </c>
      <c r="E91" s="3">
        <f t="shared" si="10"/>
        <v>0.0110792123985332</v>
      </c>
      <c r="F91" s="3">
        <f t="shared" si="10"/>
        <v>6.58697048839477</v>
      </c>
      <c r="G91" s="3">
        <f t="shared" si="10"/>
        <v>7.02076226546196</v>
      </c>
      <c r="H91" s="3">
        <f t="shared" si="11"/>
        <v>6.61317088446647</v>
      </c>
      <c r="I91" s="3">
        <f t="shared" si="11"/>
        <v>6.85414825052153</v>
      </c>
      <c r="J91" s="3">
        <f t="shared" si="11"/>
        <v>4.93166749767435</v>
      </c>
      <c r="K91" s="3">
        <f t="shared" si="9"/>
        <v>12.3014831706977</v>
      </c>
      <c r="L91" s="3">
        <f t="shared" si="9"/>
        <v>15.4210156193964</v>
      </c>
      <c r="M91" s="3">
        <f t="shared" si="9"/>
        <v>15.0670595914345</v>
      </c>
      <c r="N91" s="3">
        <f t="shared" si="9"/>
        <v>2.69378585130676</v>
      </c>
      <c r="O91" s="3">
        <f t="shared" si="9"/>
        <v>0.764597343924229</v>
      </c>
      <c r="P91" s="3">
        <f t="shared" si="12"/>
        <v>2.41647887450606</v>
      </c>
      <c r="Q91" s="3">
        <f t="shared" si="12"/>
        <v>1.57536524175985</v>
      </c>
      <c r="R91" s="3">
        <f t="shared" si="12"/>
        <v>2.33527990578253</v>
      </c>
      <c r="S91" s="3">
        <f t="shared" si="12"/>
        <v>228.667569918432</v>
      </c>
      <c r="T91" s="3">
        <f t="shared" si="12"/>
        <v>66.4059200014788</v>
      </c>
      <c r="U91" s="3">
        <f t="shared" si="12"/>
        <v>29.9345541429076</v>
      </c>
      <c r="V91" s="3" t="e">
        <f t="shared" si="12"/>
        <v>#DIV/0!</v>
      </c>
      <c r="W91" s="3">
        <f t="shared" si="12"/>
        <v>51.8943073968152</v>
      </c>
      <c r="X91" s="3">
        <f t="shared" si="12"/>
        <v>4.68393968868812</v>
      </c>
      <c r="Y91" s="3">
        <f t="shared" si="12"/>
        <v>3.51003148399615</v>
      </c>
      <c r="Z91" s="3">
        <f t="shared" si="12"/>
        <v>4.45880996772511</v>
      </c>
      <c r="AA91" s="3">
        <f t="shared" si="12"/>
        <v>1.02808198539459</v>
      </c>
      <c r="AB91" s="3">
        <f t="shared" si="12"/>
        <v>2.26154167843726</v>
      </c>
      <c r="AC91" s="3">
        <f t="shared" si="12"/>
        <v>3.10018090434231</v>
      </c>
      <c r="AD91" s="3">
        <f t="shared" si="12"/>
        <v>1.01864392393335</v>
      </c>
      <c r="AE91" s="3">
        <f t="shared" si="12"/>
        <v>3.32121704322334</v>
      </c>
      <c r="AF91" s="3">
        <f t="shared" si="12"/>
        <v>4.68451177556582</v>
      </c>
      <c r="AG91" s="3">
        <f t="shared" si="12"/>
        <v>11.1032616019782</v>
      </c>
      <c r="AH91" s="2">
        <v>10</v>
      </c>
    </row>
    <row r="92" spans="2:34">
      <c r="B92" s="3">
        <f t="shared" si="7"/>
        <v>5.2</v>
      </c>
      <c r="C92" s="3">
        <f t="shared" si="10"/>
        <v>0.159774471285224</v>
      </c>
      <c r="D92" s="3">
        <f t="shared" si="10"/>
        <v>7.07687594891551</v>
      </c>
      <c r="E92" s="3">
        <f t="shared" si="10"/>
        <v>0.015499286883707</v>
      </c>
      <c r="F92" s="3">
        <f t="shared" si="10"/>
        <v>6.8025625277315</v>
      </c>
      <c r="G92" s="3">
        <f t="shared" si="10"/>
        <v>7.24924265</v>
      </c>
      <c r="H92" s="3">
        <f t="shared" si="11"/>
        <v>6.81317088446647</v>
      </c>
      <c r="I92" s="3">
        <f t="shared" si="11"/>
        <v>7.05414825052153</v>
      </c>
      <c r="J92" s="3">
        <f t="shared" si="11"/>
        <v>5.13166749767435</v>
      </c>
      <c r="K92" s="3">
        <f t="shared" si="9"/>
        <v>12.71241345953</v>
      </c>
      <c r="L92" s="3">
        <f t="shared" si="9"/>
        <v>15.9238468224547</v>
      </c>
      <c r="M92" s="3">
        <f t="shared" si="9"/>
        <v>15.6730856257709</v>
      </c>
      <c r="N92" s="3">
        <f t="shared" si="9"/>
        <v>2.79382732471527</v>
      </c>
      <c r="O92" s="3">
        <f t="shared" si="9"/>
        <v>0.799181237681198</v>
      </c>
      <c r="P92" s="3">
        <f t="shared" si="12"/>
        <v>2.5171380294863</v>
      </c>
      <c r="Q92" s="3">
        <f t="shared" si="12"/>
        <v>1.64237985143024</v>
      </c>
      <c r="R92" s="3">
        <f t="shared" si="12"/>
        <v>2.43269110201383</v>
      </c>
      <c r="S92" s="3">
        <f t="shared" si="12"/>
        <v>237.818272715169</v>
      </c>
      <c r="T92" s="3">
        <f t="shared" si="12"/>
        <v>69.066156801538</v>
      </c>
      <c r="U92" s="3">
        <f t="shared" si="12"/>
        <v>31.1359363086239</v>
      </c>
      <c r="V92" s="3" t="e">
        <f t="shared" si="12"/>
        <v>#DIV/0!</v>
      </c>
      <c r="W92" s="3">
        <f t="shared" si="12"/>
        <v>53.9025976860962</v>
      </c>
      <c r="X92" s="3">
        <f t="shared" si="12"/>
        <v>4.85063962022377</v>
      </c>
      <c r="Y92" s="3">
        <f t="shared" si="12"/>
        <v>3.652432743356</v>
      </c>
      <c r="Z92" s="3">
        <f t="shared" si="12"/>
        <v>4.6206573781275</v>
      </c>
      <c r="AA92" s="3">
        <f t="shared" si="12"/>
        <v>1.06836671590026</v>
      </c>
      <c r="AB92" s="3">
        <f t="shared" si="12"/>
        <v>2.35600334557475</v>
      </c>
      <c r="AC92" s="3">
        <f t="shared" si="12"/>
        <v>3.228188140516</v>
      </c>
      <c r="AD92" s="3">
        <f t="shared" si="12"/>
        <v>1.06338968089069</v>
      </c>
      <c r="AE92" s="3">
        <f t="shared" si="12"/>
        <v>3.43572994399187</v>
      </c>
      <c r="AF92" s="3">
        <f t="shared" si="12"/>
        <v>4.85123459057658</v>
      </c>
      <c r="AG92" s="3">
        <f t="shared" si="12"/>
        <v>11.500021949366</v>
      </c>
      <c r="AH92" s="2">
        <v>10</v>
      </c>
    </row>
    <row r="93" spans="2:34">
      <c r="B93" s="3">
        <f t="shared" si="7"/>
        <v>5.4</v>
      </c>
      <c r="C93" s="3">
        <f t="shared" si="10"/>
        <v>0.168272664544691</v>
      </c>
      <c r="D93" s="3">
        <f t="shared" si="10"/>
        <v>7.30929049208618</v>
      </c>
      <c r="E93" s="3">
        <f t="shared" si="10"/>
        <v>0.0199193613688807</v>
      </c>
      <c r="F93" s="3">
        <f t="shared" si="10"/>
        <v>7.01815456706824</v>
      </c>
      <c r="G93" s="3">
        <f t="shared" si="10"/>
        <v>7.47772303453805</v>
      </c>
      <c r="H93" s="3">
        <f t="shared" si="11"/>
        <v>7.01317088446647</v>
      </c>
      <c r="I93" s="3">
        <f t="shared" si="11"/>
        <v>7.25414825052153</v>
      </c>
      <c r="J93" s="3">
        <f t="shared" si="11"/>
        <v>5.33166749767435</v>
      </c>
      <c r="K93" s="3">
        <f t="shared" si="9"/>
        <v>13.1233437483623</v>
      </c>
      <c r="L93" s="3">
        <f t="shared" si="9"/>
        <v>16.426678025513</v>
      </c>
      <c r="M93" s="3">
        <f t="shared" si="9"/>
        <v>16.2791116601073</v>
      </c>
      <c r="N93" s="3">
        <f t="shared" si="9"/>
        <v>2.89386879812377</v>
      </c>
      <c r="O93" s="3">
        <f t="shared" si="9"/>
        <v>0.833765131438167</v>
      </c>
      <c r="P93" s="3">
        <f t="shared" si="12"/>
        <v>2.61779718446654</v>
      </c>
      <c r="Q93" s="3">
        <f t="shared" si="12"/>
        <v>1.70939446110063</v>
      </c>
      <c r="R93" s="3">
        <f t="shared" si="12"/>
        <v>2.53010229824513</v>
      </c>
      <c r="S93" s="3">
        <f t="shared" si="12"/>
        <v>246.968975511906</v>
      </c>
      <c r="T93" s="3">
        <f t="shared" si="12"/>
        <v>71.7263936015971</v>
      </c>
      <c r="U93" s="3">
        <f t="shared" si="12"/>
        <v>32.3373184743402</v>
      </c>
      <c r="V93" s="3" t="e">
        <f t="shared" si="12"/>
        <v>#DIV/0!</v>
      </c>
      <c r="W93" s="3">
        <f t="shared" si="12"/>
        <v>55.9108879753773</v>
      </c>
      <c r="X93" s="3">
        <f t="shared" si="12"/>
        <v>5.01733955175942</v>
      </c>
      <c r="Y93" s="3">
        <f t="shared" si="12"/>
        <v>3.79483400271585</v>
      </c>
      <c r="Z93" s="3">
        <f t="shared" si="12"/>
        <v>4.78250478852989</v>
      </c>
      <c r="AA93" s="3">
        <f t="shared" si="12"/>
        <v>1.10865144640593</v>
      </c>
      <c r="AB93" s="3">
        <f t="shared" si="12"/>
        <v>2.45046501271224</v>
      </c>
      <c r="AC93" s="3">
        <f t="shared" si="12"/>
        <v>3.35619537668969</v>
      </c>
      <c r="AD93" s="3">
        <f t="shared" si="12"/>
        <v>1.10813543784802</v>
      </c>
      <c r="AE93" s="3">
        <f t="shared" si="12"/>
        <v>3.5502428447604</v>
      </c>
      <c r="AF93" s="3">
        <f t="shared" si="12"/>
        <v>5.01795740558734</v>
      </c>
      <c r="AG93" s="3">
        <f t="shared" si="12"/>
        <v>11.8967822967537</v>
      </c>
      <c r="AH93" s="2">
        <v>10</v>
      </c>
    </row>
    <row r="94" spans="2:34">
      <c r="B94" s="3">
        <f t="shared" si="7"/>
        <v>5.6</v>
      </c>
      <c r="C94" s="3">
        <f t="shared" si="10"/>
        <v>0.176770857804157</v>
      </c>
      <c r="D94" s="3">
        <f t="shared" si="10"/>
        <v>7.54170503525684</v>
      </c>
      <c r="E94" s="3">
        <f t="shared" si="10"/>
        <v>0.0243394358540545</v>
      </c>
      <c r="F94" s="3">
        <f t="shared" si="10"/>
        <v>7.23374660640497</v>
      </c>
      <c r="G94" s="3">
        <f t="shared" si="10"/>
        <v>7.70620341907609</v>
      </c>
      <c r="H94" s="3">
        <f t="shared" si="11"/>
        <v>7.21317088446647</v>
      </c>
      <c r="I94" s="3">
        <f t="shared" si="11"/>
        <v>7.45414825052153</v>
      </c>
      <c r="J94" s="3">
        <f t="shared" si="11"/>
        <v>5.53166749767435</v>
      </c>
      <c r="K94" s="3">
        <f t="shared" si="9"/>
        <v>13.5342740371946</v>
      </c>
      <c r="L94" s="3">
        <f t="shared" si="9"/>
        <v>16.9295092285714</v>
      </c>
      <c r="M94" s="3">
        <f t="shared" si="9"/>
        <v>16.8851376944437</v>
      </c>
      <c r="N94" s="3">
        <f t="shared" si="9"/>
        <v>2.99391027153228</v>
      </c>
      <c r="O94" s="3">
        <f t="shared" si="9"/>
        <v>0.868349025195136</v>
      </c>
      <c r="P94" s="3">
        <f t="shared" si="12"/>
        <v>2.71845633944678</v>
      </c>
      <c r="Q94" s="3">
        <f t="shared" si="12"/>
        <v>1.77640907077103</v>
      </c>
      <c r="R94" s="3">
        <f t="shared" si="12"/>
        <v>2.62751349447643</v>
      </c>
      <c r="S94" s="3">
        <f t="shared" si="12"/>
        <v>256.119678308644</v>
      </c>
      <c r="T94" s="3">
        <f t="shared" si="12"/>
        <v>74.3866304016563</v>
      </c>
      <c r="U94" s="3">
        <f t="shared" si="12"/>
        <v>33.5387006400565</v>
      </c>
      <c r="V94" s="3" t="e">
        <f t="shared" si="12"/>
        <v>#DIV/0!</v>
      </c>
      <c r="W94" s="3">
        <f t="shared" si="12"/>
        <v>57.9191782646583</v>
      </c>
      <c r="X94" s="3">
        <f t="shared" si="12"/>
        <v>5.18403948329507</v>
      </c>
      <c r="Y94" s="3">
        <f t="shared" si="12"/>
        <v>3.93723526207569</v>
      </c>
      <c r="Z94" s="3">
        <f t="shared" si="12"/>
        <v>4.94435219893227</v>
      </c>
      <c r="AA94" s="3">
        <f t="shared" si="12"/>
        <v>1.14893617691161</v>
      </c>
      <c r="AB94" s="3">
        <f t="shared" si="12"/>
        <v>2.54492667984973</v>
      </c>
      <c r="AC94" s="3">
        <f t="shared" si="12"/>
        <v>3.48420261286339</v>
      </c>
      <c r="AD94" s="3">
        <f t="shared" si="12"/>
        <v>1.15288119480536</v>
      </c>
      <c r="AE94" s="3">
        <f t="shared" si="12"/>
        <v>3.66475574552893</v>
      </c>
      <c r="AF94" s="3">
        <f t="shared" si="12"/>
        <v>5.18468022059809</v>
      </c>
      <c r="AG94" s="3">
        <f t="shared" si="12"/>
        <v>12.2935426441414</v>
      </c>
      <c r="AH94" s="2">
        <v>10</v>
      </c>
    </row>
    <row r="95" spans="2:34">
      <c r="B95" s="3">
        <f t="shared" si="7"/>
        <v>5.8</v>
      </c>
      <c r="C95" s="3">
        <f t="shared" si="10"/>
        <v>0.185269051063624</v>
      </c>
      <c r="D95" s="3">
        <f t="shared" si="10"/>
        <v>7.77411957842751</v>
      </c>
      <c r="E95" s="3">
        <f t="shared" si="10"/>
        <v>0.0287595103392282</v>
      </c>
      <c r="F95" s="3">
        <f t="shared" si="10"/>
        <v>7.4493386457417</v>
      </c>
      <c r="G95" s="3">
        <f t="shared" si="10"/>
        <v>7.93468380361414</v>
      </c>
      <c r="H95" s="3">
        <f t="shared" si="11"/>
        <v>7.41317088446647</v>
      </c>
      <c r="I95" s="3">
        <f t="shared" si="11"/>
        <v>7.65414825052153</v>
      </c>
      <c r="J95" s="3">
        <f t="shared" si="11"/>
        <v>5.73166749767435</v>
      </c>
      <c r="K95" s="3">
        <f t="shared" ref="K95:R110" si="13">K94+(((K$32+0.1)-(K$31-0.1))/50)</f>
        <v>13.9452043260269</v>
      </c>
      <c r="L95" s="3">
        <f t="shared" si="13"/>
        <v>17.4323404316297</v>
      </c>
      <c r="M95" s="3">
        <f t="shared" si="13"/>
        <v>17.49116372878</v>
      </c>
      <c r="N95" s="3">
        <f t="shared" si="13"/>
        <v>3.09395174494078</v>
      </c>
      <c r="O95" s="3">
        <f t="shared" si="13"/>
        <v>0.902932918952105</v>
      </c>
      <c r="P95" s="3">
        <f t="shared" si="12"/>
        <v>2.81911549442703</v>
      </c>
      <c r="Q95" s="3">
        <f t="shared" si="12"/>
        <v>1.84342368044142</v>
      </c>
      <c r="R95" s="3">
        <f t="shared" si="12"/>
        <v>2.72492469070773</v>
      </c>
      <c r="S95" s="3">
        <f t="shared" si="12"/>
        <v>265.270381105381</v>
      </c>
      <c r="T95" s="3">
        <f t="shared" si="12"/>
        <v>77.0468672017154</v>
      </c>
      <c r="U95" s="3">
        <f t="shared" si="12"/>
        <v>34.7400828057728</v>
      </c>
      <c r="V95" s="3" t="e">
        <f t="shared" si="12"/>
        <v>#DIV/0!</v>
      </c>
      <c r="W95" s="3">
        <f t="shared" si="12"/>
        <v>59.9274685539393</v>
      </c>
      <c r="X95" s="3">
        <f t="shared" si="12"/>
        <v>5.35073941483072</v>
      </c>
      <c r="Y95" s="3">
        <f t="shared" si="12"/>
        <v>4.07963652143554</v>
      </c>
      <c r="Z95" s="3">
        <f t="shared" si="12"/>
        <v>5.10619960933466</v>
      </c>
      <c r="AA95" s="3">
        <f t="shared" si="12"/>
        <v>1.18922090741728</v>
      </c>
      <c r="AB95" s="3">
        <f t="shared" si="12"/>
        <v>2.63938834698722</v>
      </c>
      <c r="AC95" s="3">
        <f t="shared" si="12"/>
        <v>3.61220984903708</v>
      </c>
      <c r="AD95" s="3">
        <f t="shared" si="12"/>
        <v>1.19762695176269</v>
      </c>
      <c r="AE95" s="3">
        <f t="shared" si="12"/>
        <v>3.77926864629746</v>
      </c>
      <c r="AF95" s="3">
        <f t="shared" si="12"/>
        <v>5.35140303560885</v>
      </c>
      <c r="AG95" s="3">
        <f t="shared" si="12"/>
        <v>12.6903029915291</v>
      </c>
      <c r="AH95" s="2">
        <v>10</v>
      </c>
    </row>
    <row r="96" spans="2:34">
      <c r="B96" s="3">
        <f t="shared" si="7"/>
        <v>6</v>
      </c>
      <c r="C96" s="3">
        <f t="shared" si="10"/>
        <v>0.19376724432309</v>
      </c>
      <c r="D96" s="3">
        <f t="shared" si="10"/>
        <v>8.00653412159818</v>
      </c>
      <c r="E96" s="3">
        <f t="shared" si="10"/>
        <v>0.033179584824402</v>
      </c>
      <c r="F96" s="3">
        <f t="shared" si="10"/>
        <v>7.66493068507844</v>
      </c>
      <c r="G96" s="3">
        <f t="shared" si="10"/>
        <v>8.16316418815219</v>
      </c>
      <c r="H96" s="3">
        <f t="shared" si="11"/>
        <v>7.61317088446647</v>
      </c>
      <c r="I96" s="3">
        <f t="shared" si="11"/>
        <v>7.85414825052153</v>
      </c>
      <c r="J96" s="3">
        <f t="shared" si="11"/>
        <v>5.93166749767435</v>
      </c>
      <c r="K96" s="3">
        <f t="shared" si="13"/>
        <v>14.3561346148592</v>
      </c>
      <c r="L96" s="3">
        <f t="shared" si="13"/>
        <v>17.935171634688</v>
      </c>
      <c r="M96" s="3">
        <f t="shared" si="13"/>
        <v>18.0971897631164</v>
      </c>
      <c r="N96" s="3">
        <f t="shared" si="13"/>
        <v>3.19399321834929</v>
      </c>
      <c r="O96" s="3">
        <f t="shared" si="13"/>
        <v>0.937516812709074</v>
      </c>
      <c r="P96" s="3">
        <f t="shared" si="12"/>
        <v>2.91977464940727</v>
      </c>
      <c r="Q96" s="3">
        <f t="shared" si="12"/>
        <v>1.91043829011182</v>
      </c>
      <c r="R96" s="3">
        <f t="shared" si="12"/>
        <v>2.82233588693903</v>
      </c>
      <c r="S96" s="3">
        <f t="shared" si="12"/>
        <v>274.421083902118</v>
      </c>
      <c r="T96" s="3">
        <f t="shared" si="12"/>
        <v>79.7071040017746</v>
      </c>
      <c r="U96" s="3">
        <f t="shared" si="12"/>
        <v>35.9414649714891</v>
      </c>
      <c r="V96" s="3" t="e">
        <f t="shared" si="12"/>
        <v>#DIV/0!</v>
      </c>
      <c r="W96" s="3">
        <f t="shared" si="12"/>
        <v>61.9357588432204</v>
      </c>
      <c r="X96" s="3">
        <f t="shared" si="12"/>
        <v>5.51743934636637</v>
      </c>
      <c r="Y96" s="3">
        <f t="shared" si="12"/>
        <v>4.22203778079539</v>
      </c>
      <c r="Z96" s="3">
        <f t="shared" si="12"/>
        <v>5.26804701973705</v>
      </c>
      <c r="AA96" s="3">
        <f t="shared" si="12"/>
        <v>1.22950563792295</v>
      </c>
      <c r="AB96" s="3">
        <f t="shared" si="12"/>
        <v>2.73385001412471</v>
      </c>
      <c r="AC96" s="3">
        <f t="shared" si="12"/>
        <v>3.74021708521077</v>
      </c>
      <c r="AD96" s="3">
        <f t="shared" si="12"/>
        <v>1.24237270872002</v>
      </c>
      <c r="AE96" s="3">
        <f t="shared" si="12"/>
        <v>3.89378154706599</v>
      </c>
      <c r="AF96" s="3">
        <f t="shared" si="12"/>
        <v>5.51812585061961</v>
      </c>
      <c r="AG96" s="3">
        <f t="shared" si="12"/>
        <v>13.0870633389168</v>
      </c>
      <c r="AH96" s="2">
        <v>10</v>
      </c>
    </row>
    <row r="97" spans="2:34">
      <c r="B97" s="3">
        <f t="shared" si="7"/>
        <v>6.2</v>
      </c>
      <c r="C97" s="3">
        <f t="shared" si="10"/>
        <v>0.202265437582556</v>
      </c>
      <c r="D97" s="3">
        <f t="shared" si="10"/>
        <v>8.23894866476885</v>
      </c>
      <c r="E97" s="3">
        <f t="shared" si="10"/>
        <v>0.0375996593095757</v>
      </c>
      <c r="F97" s="3">
        <f t="shared" si="10"/>
        <v>7.88052272441517</v>
      </c>
      <c r="G97" s="3">
        <f t="shared" si="10"/>
        <v>8.39164457269023</v>
      </c>
      <c r="H97" s="3">
        <f t="shared" si="11"/>
        <v>7.81317088446647</v>
      </c>
      <c r="I97" s="3">
        <f t="shared" si="11"/>
        <v>8.05414825052153</v>
      </c>
      <c r="J97" s="3">
        <f t="shared" si="11"/>
        <v>6.13166749767435</v>
      </c>
      <c r="K97" s="3">
        <f t="shared" si="13"/>
        <v>14.7670649036915</v>
      </c>
      <c r="L97" s="3">
        <f t="shared" si="13"/>
        <v>18.4380028377463</v>
      </c>
      <c r="M97" s="3">
        <f t="shared" si="13"/>
        <v>18.7032157974528</v>
      </c>
      <c r="N97" s="3">
        <f t="shared" si="13"/>
        <v>3.29403469175779</v>
      </c>
      <c r="O97" s="3">
        <f t="shared" si="13"/>
        <v>0.972100706466043</v>
      </c>
      <c r="P97" s="3">
        <f t="shared" si="12"/>
        <v>3.02043380438751</v>
      </c>
      <c r="Q97" s="3">
        <f t="shared" si="12"/>
        <v>1.97745289978221</v>
      </c>
      <c r="R97" s="3">
        <f t="shared" si="12"/>
        <v>2.91974708317033</v>
      </c>
      <c r="S97" s="3">
        <f t="shared" si="12"/>
        <v>283.571786698855</v>
      </c>
      <c r="T97" s="3">
        <f t="shared" si="12"/>
        <v>82.3673408018337</v>
      </c>
      <c r="U97" s="3">
        <f t="shared" si="12"/>
        <v>37.1428471372054</v>
      </c>
      <c r="V97" s="3" t="e">
        <f t="shared" si="12"/>
        <v>#DIV/0!</v>
      </c>
      <c r="W97" s="3">
        <f t="shared" si="12"/>
        <v>63.9440491325014</v>
      </c>
      <c r="X97" s="3">
        <f t="shared" si="12"/>
        <v>5.68413927790202</v>
      </c>
      <c r="Y97" s="3">
        <f t="shared" si="12"/>
        <v>4.36443904015523</v>
      </c>
      <c r="Z97" s="3">
        <f t="shared" si="12"/>
        <v>5.42989443013943</v>
      </c>
      <c r="AA97" s="3">
        <f t="shared" si="12"/>
        <v>1.26979036842862</v>
      </c>
      <c r="AB97" s="3">
        <f t="shared" si="12"/>
        <v>2.8283116812622</v>
      </c>
      <c r="AC97" s="3">
        <f t="shared" si="12"/>
        <v>3.86822432138446</v>
      </c>
      <c r="AD97" s="3">
        <f t="shared" si="12"/>
        <v>1.28711846567736</v>
      </c>
      <c r="AE97" s="3">
        <f t="shared" si="12"/>
        <v>4.00829444783452</v>
      </c>
      <c r="AF97" s="3">
        <f t="shared" si="12"/>
        <v>5.68484866563036</v>
      </c>
      <c r="AG97" s="3">
        <f t="shared" si="12"/>
        <v>13.4838236863046</v>
      </c>
      <c r="AH97" s="2">
        <v>10</v>
      </c>
    </row>
    <row r="98" spans="2:34">
      <c r="B98" s="3">
        <f t="shared" si="7"/>
        <v>6.4</v>
      </c>
      <c r="C98" s="3">
        <f t="shared" si="10"/>
        <v>0.210763630842023</v>
      </c>
      <c r="D98" s="3">
        <f t="shared" si="10"/>
        <v>8.47136320793952</v>
      </c>
      <c r="E98" s="3">
        <f t="shared" si="10"/>
        <v>0.0420197337947495</v>
      </c>
      <c r="F98" s="3">
        <f t="shared" si="10"/>
        <v>8.0961147637519</v>
      </c>
      <c r="G98" s="3">
        <f t="shared" si="10"/>
        <v>8.62012495722828</v>
      </c>
      <c r="H98" s="3">
        <f t="shared" si="11"/>
        <v>8.01317088446647</v>
      </c>
      <c r="I98" s="3">
        <f t="shared" si="11"/>
        <v>8.25414825052153</v>
      </c>
      <c r="J98" s="3">
        <f t="shared" si="11"/>
        <v>6.33166749767435</v>
      </c>
      <c r="K98" s="3">
        <f t="shared" si="13"/>
        <v>15.1779951925238</v>
      </c>
      <c r="L98" s="3">
        <f t="shared" si="13"/>
        <v>18.9408340408046</v>
      </c>
      <c r="M98" s="3">
        <f t="shared" si="13"/>
        <v>19.3092418317892</v>
      </c>
      <c r="N98" s="3">
        <f t="shared" si="13"/>
        <v>3.3940761651663</v>
      </c>
      <c r="O98" s="3">
        <f t="shared" si="13"/>
        <v>1.00668460022301</v>
      </c>
      <c r="P98" s="3">
        <f t="shared" si="12"/>
        <v>3.12109295936775</v>
      </c>
      <c r="Q98" s="3">
        <f t="shared" si="12"/>
        <v>2.0444675094526</v>
      </c>
      <c r="R98" s="3">
        <f t="shared" si="12"/>
        <v>3.01715827940164</v>
      </c>
      <c r="S98" s="3">
        <f t="shared" si="12"/>
        <v>292.722489495593</v>
      </c>
      <c r="T98" s="3">
        <f t="shared" si="12"/>
        <v>85.0275776018929</v>
      </c>
      <c r="U98" s="3">
        <f t="shared" si="12"/>
        <v>38.3442293029217</v>
      </c>
      <c r="V98" s="3" t="e">
        <f t="shared" si="12"/>
        <v>#DIV/0!</v>
      </c>
      <c r="W98" s="3">
        <f t="shared" si="12"/>
        <v>65.9523394217825</v>
      </c>
      <c r="X98" s="3">
        <f t="shared" si="12"/>
        <v>5.85083920943767</v>
      </c>
      <c r="Y98" s="3">
        <f t="shared" si="12"/>
        <v>4.50684029951508</v>
      </c>
      <c r="Z98" s="3">
        <f t="shared" si="12"/>
        <v>5.59174184054182</v>
      </c>
      <c r="AA98" s="3">
        <f t="shared" si="12"/>
        <v>1.31007509893429</v>
      </c>
      <c r="AB98" s="3">
        <f t="shared" si="12"/>
        <v>2.92277334839969</v>
      </c>
      <c r="AC98" s="3">
        <f t="shared" si="12"/>
        <v>3.99623155755815</v>
      </c>
      <c r="AD98" s="3">
        <f t="shared" si="12"/>
        <v>1.33186422263469</v>
      </c>
      <c r="AE98" s="3">
        <f t="shared" si="12"/>
        <v>4.12280734860305</v>
      </c>
      <c r="AF98" s="3">
        <f t="shared" si="12"/>
        <v>5.85157148064112</v>
      </c>
      <c r="AG98" s="3">
        <f t="shared" si="12"/>
        <v>13.8805840336923</v>
      </c>
      <c r="AH98" s="2">
        <v>10</v>
      </c>
    </row>
    <row r="99" spans="2:34">
      <c r="B99" s="3">
        <f t="shared" si="7"/>
        <v>6.6</v>
      </c>
      <c r="C99" s="3">
        <f t="shared" si="10"/>
        <v>0.219261824101489</v>
      </c>
      <c r="D99" s="3">
        <f t="shared" si="10"/>
        <v>8.70377775111018</v>
      </c>
      <c r="E99" s="3">
        <f t="shared" si="10"/>
        <v>0.0464398082799232</v>
      </c>
      <c r="F99" s="3">
        <f t="shared" si="10"/>
        <v>8.31170680308863</v>
      </c>
      <c r="G99" s="3">
        <f t="shared" si="10"/>
        <v>8.84860534176633</v>
      </c>
      <c r="H99" s="3">
        <f t="shared" si="11"/>
        <v>8.21317088446647</v>
      </c>
      <c r="I99" s="3">
        <f t="shared" si="11"/>
        <v>8.45414825052153</v>
      </c>
      <c r="J99" s="3">
        <f t="shared" si="11"/>
        <v>6.53166749767435</v>
      </c>
      <c r="K99" s="3">
        <f t="shared" si="13"/>
        <v>15.5889254813561</v>
      </c>
      <c r="L99" s="3">
        <f t="shared" si="13"/>
        <v>19.4436652438629</v>
      </c>
      <c r="M99" s="3">
        <f t="shared" si="13"/>
        <v>19.9152678661256</v>
      </c>
      <c r="N99" s="3">
        <f t="shared" si="13"/>
        <v>3.49411763857481</v>
      </c>
      <c r="O99" s="3">
        <f t="shared" si="13"/>
        <v>1.04126849397998</v>
      </c>
      <c r="P99" s="3">
        <f t="shared" si="12"/>
        <v>3.221752114348</v>
      </c>
      <c r="Q99" s="3">
        <f t="shared" si="12"/>
        <v>2.111482119123</v>
      </c>
      <c r="R99" s="3">
        <f t="shared" si="12"/>
        <v>3.11456947563294</v>
      </c>
      <c r="S99" s="3">
        <f t="shared" si="12"/>
        <v>301.87319229233</v>
      </c>
      <c r="T99" s="3">
        <f t="shared" si="12"/>
        <v>87.6878144019521</v>
      </c>
      <c r="U99" s="3">
        <f t="shared" si="12"/>
        <v>39.545611468638</v>
      </c>
      <c r="V99" s="3" t="e">
        <f t="shared" si="12"/>
        <v>#DIV/0!</v>
      </c>
      <c r="W99" s="3">
        <f t="shared" si="12"/>
        <v>67.9606297110635</v>
      </c>
      <c r="X99" s="3">
        <f t="shared" si="12"/>
        <v>6.01753914097331</v>
      </c>
      <c r="Y99" s="3">
        <f t="shared" si="12"/>
        <v>4.64924155887492</v>
      </c>
      <c r="Z99" s="3">
        <f t="shared" si="12"/>
        <v>5.75358925094421</v>
      </c>
      <c r="AA99" s="3">
        <f t="shared" si="12"/>
        <v>1.35035982943996</v>
      </c>
      <c r="AB99" s="3">
        <f t="shared" si="12"/>
        <v>3.01723501553719</v>
      </c>
      <c r="AC99" s="3">
        <f t="shared" si="12"/>
        <v>4.12423879373185</v>
      </c>
      <c r="AD99" s="3">
        <f t="shared" si="12"/>
        <v>1.37660997959203</v>
      </c>
      <c r="AE99" s="3">
        <f t="shared" si="12"/>
        <v>4.23732024937158</v>
      </c>
      <c r="AF99" s="3">
        <f t="shared" si="12"/>
        <v>6.01829429565188</v>
      </c>
      <c r="AG99" s="3">
        <f t="shared" si="12"/>
        <v>14.27734438108</v>
      </c>
      <c r="AH99" s="2">
        <v>10</v>
      </c>
    </row>
    <row r="100" spans="2:34">
      <c r="B100" s="3">
        <f t="shared" si="7"/>
        <v>6.8</v>
      </c>
      <c r="C100" s="3">
        <f t="shared" ref="C100:G115" si="14">C99+(((C$32+0.1)-(C$31-0.1))/50)</f>
        <v>0.227760017360955</v>
      </c>
      <c r="D100" s="3">
        <f t="shared" si="14"/>
        <v>8.93619229428085</v>
      </c>
      <c r="E100" s="3">
        <f t="shared" si="14"/>
        <v>0.0508598827650969</v>
      </c>
      <c r="F100" s="3">
        <f t="shared" si="14"/>
        <v>8.52729884242537</v>
      </c>
      <c r="G100" s="3">
        <f t="shared" si="14"/>
        <v>9.07708572630438</v>
      </c>
      <c r="H100" s="3">
        <f t="shared" ref="H100:J115" si="15">H99+0.2</f>
        <v>8.41317088446647</v>
      </c>
      <c r="I100" s="3">
        <f t="shared" si="15"/>
        <v>8.65414825052153</v>
      </c>
      <c r="J100" s="3">
        <f t="shared" si="15"/>
        <v>6.73166749767435</v>
      </c>
      <c r="K100" s="3">
        <f t="shared" si="13"/>
        <v>15.9998557701884</v>
      </c>
      <c r="L100" s="3">
        <f t="shared" si="13"/>
        <v>19.9464964469212</v>
      </c>
      <c r="M100" s="3">
        <f t="shared" si="13"/>
        <v>20.521293900462</v>
      </c>
      <c r="N100" s="3">
        <f t="shared" si="13"/>
        <v>3.59415911198331</v>
      </c>
      <c r="O100" s="3">
        <f t="shared" si="13"/>
        <v>1.07585238773695</v>
      </c>
      <c r="P100" s="3">
        <f t="shared" si="12"/>
        <v>3.32241126932824</v>
      </c>
      <c r="Q100" s="3">
        <f t="shared" si="12"/>
        <v>2.17849672879339</v>
      </c>
      <c r="R100" s="3">
        <f t="shared" si="12"/>
        <v>3.21198067186424</v>
      </c>
      <c r="S100" s="3">
        <f t="shared" si="12"/>
        <v>311.023895089067</v>
      </c>
      <c r="T100" s="3">
        <f t="shared" si="12"/>
        <v>90.3480512020112</v>
      </c>
      <c r="U100" s="3">
        <f t="shared" si="12"/>
        <v>40.7469936343543</v>
      </c>
      <c r="V100" s="3" t="e">
        <f t="shared" si="12"/>
        <v>#DIV/0!</v>
      </c>
      <c r="W100" s="3">
        <f t="shared" si="12"/>
        <v>69.9689200003445</v>
      </c>
      <c r="X100" s="3">
        <f t="shared" si="12"/>
        <v>6.18423907250896</v>
      </c>
      <c r="Y100" s="3">
        <f t="shared" si="12"/>
        <v>4.79164281823477</v>
      </c>
      <c r="Z100" s="3">
        <f t="shared" si="12"/>
        <v>5.91543666134659</v>
      </c>
      <c r="AA100" s="3">
        <f t="shared" si="12"/>
        <v>1.39064455994563</v>
      </c>
      <c r="AB100" s="3">
        <f t="shared" si="12"/>
        <v>3.11169668267468</v>
      </c>
      <c r="AC100" s="3">
        <f t="shared" si="12"/>
        <v>4.25224602990554</v>
      </c>
      <c r="AD100" s="3">
        <f t="shared" si="12"/>
        <v>1.42135573654936</v>
      </c>
      <c r="AE100" s="3">
        <f t="shared" si="12"/>
        <v>4.35183315014011</v>
      </c>
      <c r="AF100" s="3">
        <f t="shared" si="12"/>
        <v>6.18501711066263</v>
      </c>
      <c r="AG100" s="3">
        <f t="shared" si="12"/>
        <v>14.6741047284677</v>
      </c>
      <c r="AH100" s="2">
        <v>10</v>
      </c>
    </row>
    <row r="101" spans="2:34">
      <c r="B101" s="3">
        <f t="shared" si="7"/>
        <v>7</v>
      </c>
      <c r="C101" s="3">
        <f t="shared" si="14"/>
        <v>0.236258210620422</v>
      </c>
      <c r="D101" s="3">
        <f t="shared" si="14"/>
        <v>9.16860683745152</v>
      </c>
      <c r="E101" s="3">
        <f t="shared" si="14"/>
        <v>0.0552799572502707</v>
      </c>
      <c r="F101" s="3">
        <f t="shared" si="14"/>
        <v>8.7428908817621</v>
      </c>
      <c r="G101" s="3">
        <f t="shared" si="14"/>
        <v>9.30556611084242</v>
      </c>
      <c r="H101" s="3">
        <f t="shared" si="15"/>
        <v>8.61317088446646</v>
      </c>
      <c r="I101" s="3">
        <f t="shared" si="15"/>
        <v>8.85414825052153</v>
      </c>
      <c r="J101" s="3">
        <f t="shared" si="15"/>
        <v>6.93166749767435</v>
      </c>
      <c r="K101" s="3">
        <f t="shared" si="13"/>
        <v>16.4107860590207</v>
      </c>
      <c r="L101" s="3">
        <f t="shared" si="13"/>
        <v>20.4493276499796</v>
      </c>
      <c r="M101" s="3">
        <f t="shared" si="13"/>
        <v>21.1273199347984</v>
      </c>
      <c r="N101" s="3">
        <f t="shared" si="13"/>
        <v>3.69420058539182</v>
      </c>
      <c r="O101" s="3">
        <f t="shared" si="13"/>
        <v>1.11043628149392</v>
      </c>
      <c r="P101" s="3">
        <f t="shared" si="12"/>
        <v>3.42307042430848</v>
      </c>
      <c r="Q101" s="3">
        <f t="shared" si="12"/>
        <v>2.24551133846378</v>
      </c>
      <c r="R101" s="3">
        <f t="shared" si="12"/>
        <v>3.30939186809554</v>
      </c>
      <c r="S101" s="3">
        <f t="shared" si="12"/>
        <v>320.174597885805</v>
      </c>
      <c r="T101" s="3">
        <f t="shared" si="12"/>
        <v>93.0082880020704</v>
      </c>
      <c r="U101" s="3">
        <f t="shared" si="12"/>
        <v>41.9483758000707</v>
      </c>
      <c r="V101" s="3" t="e">
        <f t="shared" si="12"/>
        <v>#DIV/0!</v>
      </c>
      <c r="W101" s="3">
        <f t="shared" si="12"/>
        <v>71.9772102896256</v>
      </c>
      <c r="X101" s="3">
        <f t="shared" si="12"/>
        <v>6.35093900404461</v>
      </c>
      <c r="Y101" s="3">
        <f t="shared" si="12"/>
        <v>4.93404407759462</v>
      </c>
      <c r="Z101" s="3">
        <f t="shared" si="12"/>
        <v>6.07728407174898</v>
      </c>
      <c r="AA101" s="3">
        <f t="shared" si="12"/>
        <v>1.4309292904513</v>
      </c>
      <c r="AB101" s="3">
        <f t="shared" si="12"/>
        <v>3.20615834981217</v>
      </c>
      <c r="AC101" s="3">
        <f t="shared" si="12"/>
        <v>4.38025326607923</v>
      </c>
      <c r="AD101" s="3">
        <f t="shared" si="12"/>
        <v>1.4661014935067</v>
      </c>
      <c r="AE101" s="3">
        <f t="shared" si="12"/>
        <v>4.46634605090864</v>
      </c>
      <c r="AF101" s="3">
        <f t="shared" si="12"/>
        <v>6.35173992567339</v>
      </c>
      <c r="AG101" s="3">
        <f t="shared" si="12"/>
        <v>15.0708650758554</v>
      </c>
      <c r="AH101" s="2">
        <v>10</v>
      </c>
    </row>
    <row r="102" spans="2:34">
      <c r="B102" s="3">
        <f t="shared" si="7"/>
        <v>7.2</v>
      </c>
      <c r="C102" s="3">
        <f t="shared" si="14"/>
        <v>0.244756403879888</v>
      </c>
      <c r="D102" s="3">
        <f t="shared" si="14"/>
        <v>9.40102138062219</v>
      </c>
      <c r="E102" s="3">
        <f t="shared" si="14"/>
        <v>0.0597000317354444</v>
      </c>
      <c r="F102" s="3">
        <f t="shared" si="14"/>
        <v>8.95848292109883</v>
      </c>
      <c r="G102" s="3">
        <f t="shared" si="14"/>
        <v>9.53404649538047</v>
      </c>
      <c r="H102" s="3">
        <f t="shared" si="15"/>
        <v>8.81317088446646</v>
      </c>
      <c r="I102" s="3">
        <f t="shared" si="15"/>
        <v>9.05414825052153</v>
      </c>
      <c r="J102" s="3">
        <f t="shared" si="15"/>
        <v>7.13166749767435</v>
      </c>
      <c r="K102" s="3">
        <f t="shared" si="13"/>
        <v>16.821716347853</v>
      </c>
      <c r="L102" s="3">
        <f t="shared" si="13"/>
        <v>20.9521588530379</v>
      </c>
      <c r="M102" s="3">
        <f t="shared" si="13"/>
        <v>21.7333459691348</v>
      </c>
      <c r="N102" s="3">
        <f t="shared" si="13"/>
        <v>3.79424205880032</v>
      </c>
      <c r="O102" s="3">
        <f t="shared" si="13"/>
        <v>1.14502017525089</v>
      </c>
      <c r="P102" s="3">
        <f t="shared" si="12"/>
        <v>3.52372957928872</v>
      </c>
      <c r="Q102" s="3">
        <f t="shared" si="12"/>
        <v>2.31252594813418</v>
      </c>
      <c r="R102" s="3">
        <f t="shared" si="12"/>
        <v>3.40680306432684</v>
      </c>
      <c r="S102" s="3">
        <f t="shared" si="12"/>
        <v>329.325300682542</v>
      </c>
      <c r="T102" s="3">
        <f t="shared" si="12"/>
        <v>95.6685248021295</v>
      </c>
      <c r="U102" s="3">
        <f t="shared" si="12"/>
        <v>43.149757965787</v>
      </c>
      <c r="V102" s="3" t="e">
        <f t="shared" si="12"/>
        <v>#DIV/0!</v>
      </c>
      <c r="W102" s="3">
        <f t="shared" si="12"/>
        <v>73.9855005789066</v>
      </c>
      <c r="X102" s="3">
        <f t="shared" si="12"/>
        <v>6.51763893558026</v>
      </c>
      <c r="Y102" s="3">
        <f t="shared" si="12"/>
        <v>5.07644533695446</v>
      </c>
      <c r="Z102" s="3">
        <f t="shared" si="12"/>
        <v>6.23913148215137</v>
      </c>
      <c r="AA102" s="3">
        <f t="shared" si="12"/>
        <v>1.47121402095697</v>
      </c>
      <c r="AB102" s="3">
        <f t="shared" si="12"/>
        <v>3.30062001694966</v>
      </c>
      <c r="AC102" s="3">
        <f t="shared" si="12"/>
        <v>4.50826050225292</v>
      </c>
      <c r="AD102" s="3">
        <f t="shared" si="12"/>
        <v>1.51084725046403</v>
      </c>
      <c r="AE102" s="3">
        <f t="shared" si="12"/>
        <v>4.58085895167717</v>
      </c>
      <c r="AF102" s="3">
        <f t="shared" si="12"/>
        <v>6.51846274068415</v>
      </c>
      <c r="AG102" s="3">
        <f t="shared" si="12"/>
        <v>15.4676254232432</v>
      </c>
      <c r="AH102" s="2">
        <v>10</v>
      </c>
    </row>
    <row r="103" spans="2:34">
      <c r="B103" s="3">
        <f t="shared" si="7"/>
        <v>7.4</v>
      </c>
      <c r="C103" s="3">
        <f t="shared" si="14"/>
        <v>0.253254597139355</v>
      </c>
      <c r="D103" s="3">
        <f t="shared" si="14"/>
        <v>9.63343592379286</v>
      </c>
      <c r="E103" s="3">
        <f t="shared" si="14"/>
        <v>0.0641201062206182</v>
      </c>
      <c r="F103" s="3">
        <f t="shared" si="14"/>
        <v>9.17407496043556</v>
      </c>
      <c r="G103" s="3">
        <f t="shared" si="14"/>
        <v>9.76252687991852</v>
      </c>
      <c r="H103" s="3">
        <f t="shared" si="15"/>
        <v>9.01317088446646</v>
      </c>
      <c r="I103" s="3">
        <f t="shared" si="15"/>
        <v>9.25414825052153</v>
      </c>
      <c r="J103" s="3">
        <f t="shared" si="15"/>
        <v>7.33166749767435</v>
      </c>
      <c r="K103" s="3">
        <f t="shared" si="13"/>
        <v>17.2326466366853</v>
      </c>
      <c r="L103" s="3">
        <f t="shared" si="13"/>
        <v>21.4549900560962</v>
      </c>
      <c r="M103" s="3">
        <f t="shared" si="13"/>
        <v>22.3393720034712</v>
      </c>
      <c r="N103" s="3">
        <f t="shared" si="13"/>
        <v>3.89428353220883</v>
      </c>
      <c r="O103" s="3">
        <f t="shared" si="13"/>
        <v>1.17960406900786</v>
      </c>
      <c r="P103" s="3">
        <f t="shared" si="12"/>
        <v>3.62438873426896</v>
      </c>
      <c r="Q103" s="3">
        <f t="shared" si="12"/>
        <v>2.37954055780457</v>
      </c>
      <c r="R103" s="3">
        <f t="shared" si="12"/>
        <v>3.50421426055814</v>
      </c>
      <c r="S103" s="3">
        <f t="shared" si="12"/>
        <v>338.476003479279</v>
      </c>
      <c r="T103" s="3">
        <f t="shared" si="12"/>
        <v>98.3287616021887</v>
      </c>
      <c r="U103" s="3">
        <f t="shared" si="12"/>
        <v>44.3511401315033</v>
      </c>
      <c r="V103" s="3" t="e">
        <f t="shared" si="12"/>
        <v>#DIV/0!</v>
      </c>
      <c r="W103" s="3">
        <f t="shared" si="12"/>
        <v>75.9937908681876</v>
      </c>
      <c r="X103" s="3">
        <f t="shared" si="12"/>
        <v>6.68433886711591</v>
      </c>
      <c r="Y103" s="3">
        <f t="shared" si="12"/>
        <v>5.21884659631431</v>
      </c>
      <c r="Z103" s="3">
        <f t="shared" si="12"/>
        <v>6.40097889255375</v>
      </c>
      <c r="AA103" s="3">
        <f t="shared" si="12"/>
        <v>1.51149875146264</v>
      </c>
      <c r="AB103" s="3">
        <f t="shared" si="12"/>
        <v>3.39508168408715</v>
      </c>
      <c r="AC103" s="3">
        <f t="shared" si="12"/>
        <v>4.63626773842662</v>
      </c>
      <c r="AD103" s="3">
        <f t="shared" si="12"/>
        <v>1.55559300742136</v>
      </c>
      <c r="AE103" s="3">
        <f t="shared" si="12"/>
        <v>4.6953718524457</v>
      </c>
      <c r="AF103" s="3">
        <f t="shared" si="12"/>
        <v>6.6851855556949</v>
      </c>
      <c r="AG103" s="3">
        <f t="shared" si="12"/>
        <v>15.8643857706309</v>
      </c>
      <c r="AH103" s="2">
        <v>10</v>
      </c>
    </row>
    <row r="104" spans="2:34">
      <c r="B104" s="3">
        <f t="shared" si="7"/>
        <v>7.6</v>
      </c>
      <c r="C104" s="3">
        <f t="shared" si="14"/>
        <v>0.261752790398821</v>
      </c>
      <c r="D104" s="3">
        <f t="shared" si="14"/>
        <v>9.86585046696352</v>
      </c>
      <c r="E104" s="3">
        <f t="shared" si="14"/>
        <v>0.0685401807057919</v>
      </c>
      <c r="F104" s="3">
        <f t="shared" si="14"/>
        <v>9.38966699977229</v>
      </c>
      <c r="G104" s="3">
        <f t="shared" si="14"/>
        <v>9.99100726445656</v>
      </c>
      <c r="H104" s="3">
        <f t="shared" si="15"/>
        <v>9.21317088446646</v>
      </c>
      <c r="I104" s="3">
        <f t="shared" si="15"/>
        <v>9.45414825052153</v>
      </c>
      <c r="J104" s="3">
        <f t="shared" si="15"/>
        <v>7.53166749767435</v>
      </c>
      <c r="K104" s="3">
        <f t="shared" si="13"/>
        <v>17.6435769255176</v>
      </c>
      <c r="L104" s="3">
        <f t="shared" si="13"/>
        <v>21.9578212591545</v>
      </c>
      <c r="M104" s="3">
        <f t="shared" si="13"/>
        <v>22.9453980378076</v>
      </c>
      <c r="N104" s="3">
        <f t="shared" si="13"/>
        <v>3.99432500561733</v>
      </c>
      <c r="O104" s="3">
        <f t="shared" si="13"/>
        <v>1.21418796276483</v>
      </c>
      <c r="P104" s="3">
        <f t="shared" si="12"/>
        <v>3.72504788924921</v>
      </c>
      <c r="Q104" s="3">
        <f t="shared" si="12"/>
        <v>2.44655516747496</v>
      </c>
      <c r="R104" s="3">
        <f t="shared" si="12"/>
        <v>3.60162545678944</v>
      </c>
      <c r="S104" s="3">
        <f t="shared" ref="S104:AG116" si="16">S103+(((S$32+0.1)-(S$31-0.1))/50)</f>
        <v>347.626706276016</v>
      </c>
      <c r="T104" s="3">
        <f t="shared" si="16"/>
        <v>100.988998402248</v>
      </c>
      <c r="U104" s="3">
        <f t="shared" si="16"/>
        <v>45.5525222972196</v>
      </c>
      <c r="V104" s="3" t="e">
        <f t="shared" si="16"/>
        <v>#DIV/0!</v>
      </c>
      <c r="W104" s="3">
        <f t="shared" si="16"/>
        <v>78.0020811574687</v>
      </c>
      <c r="X104" s="3">
        <f t="shared" si="16"/>
        <v>6.85103879865156</v>
      </c>
      <c r="Y104" s="3">
        <f t="shared" si="16"/>
        <v>5.36124785567415</v>
      </c>
      <c r="Z104" s="3">
        <f t="shared" si="16"/>
        <v>6.56282630295614</v>
      </c>
      <c r="AA104" s="3">
        <f t="shared" si="16"/>
        <v>1.55178348196831</v>
      </c>
      <c r="AB104" s="3">
        <f t="shared" si="16"/>
        <v>3.48954335122464</v>
      </c>
      <c r="AC104" s="3">
        <f t="shared" si="16"/>
        <v>4.76427497460031</v>
      </c>
      <c r="AD104" s="3">
        <f t="shared" si="16"/>
        <v>1.6003387643787</v>
      </c>
      <c r="AE104" s="3">
        <f t="shared" si="16"/>
        <v>4.80988475321424</v>
      </c>
      <c r="AF104" s="3">
        <f t="shared" si="16"/>
        <v>6.85190837070566</v>
      </c>
      <c r="AG104" s="3">
        <f t="shared" si="16"/>
        <v>16.2611461180186</v>
      </c>
      <c r="AH104" s="2">
        <v>10</v>
      </c>
    </row>
    <row r="105" spans="2:34">
      <c r="B105" s="3">
        <f t="shared" si="7"/>
        <v>7.8</v>
      </c>
      <c r="C105" s="3">
        <f t="shared" si="14"/>
        <v>0.270250983658287</v>
      </c>
      <c r="D105" s="3">
        <f t="shared" si="14"/>
        <v>10.0982650101342</v>
      </c>
      <c r="E105" s="3">
        <f t="shared" si="14"/>
        <v>0.0729602551909657</v>
      </c>
      <c r="F105" s="3">
        <f t="shared" si="14"/>
        <v>9.60525903910903</v>
      </c>
      <c r="G105" s="3">
        <f t="shared" si="14"/>
        <v>10.2194876489946</v>
      </c>
      <c r="H105" s="3">
        <f t="shared" si="15"/>
        <v>9.41317088446646</v>
      </c>
      <c r="I105" s="3">
        <f t="shared" si="15"/>
        <v>9.65414825052153</v>
      </c>
      <c r="J105" s="3">
        <f t="shared" si="15"/>
        <v>7.73166749767435</v>
      </c>
      <c r="K105" s="3">
        <f t="shared" si="13"/>
        <v>18.0545072143499</v>
      </c>
      <c r="L105" s="3">
        <f t="shared" si="13"/>
        <v>22.4606524622128</v>
      </c>
      <c r="M105" s="3">
        <f t="shared" si="13"/>
        <v>23.551424072144</v>
      </c>
      <c r="N105" s="3">
        <f t="shared" si="13"/>
        <v>4.09436647902584</v>
      </c>
      <c r="O105" s="3">
        <f t="shared" si="13"/>
        <v>1.2487718565218</v>
      </c>
      <c r="P105" s="3">
        <f t="shared" si="13"/>
        <v>3.82570704422945</v>
      </c>
      <c r="Q105" s="3">
        <f t="shared" si="13"/>
        <v>2.51356977714536</v>
      </c>
      <c r="R105" s="3">
        <f t="shared" si="13"/>
        <v>3.69903665302074</v>
      </c>
      <c r="S105" s="3">
        <f t="shared" si="16"/>
        <v>356.777409072754</v>
      </c>
      <c r="T105" s="3">
        <f t="shared" si="16"/>
        <v>103.649235202307</v>
      </c>
      <c r="U105" s="3">
        <f t="shared" si="16"/>
        <v>46.7539044629359</v>
      </c>
      <c r="V105" s="3" t="e">
        <f t="shared" si="16"/>
        <v>#DIV/0!</v>
      </c>
      <c r="W105" s="3">
        <f t="shared" si="16"/>
        <v>80.0103714467497</v>
      </c>
      <c r="X105" s="3">
        <f t="shared" si="16"/>
        <v>7.01773873018721</v>
      </c>
      <c r="Y105" s="3">
        <f t="shared" si="16"/>
        <v>5.503649115034</v>
      </c>
      <c r="Z105" s="3">
        <f t="shared" si="16"/>
        <v>6.72467371335853</v>
      </c>
      <c r="AA105" s="3">
        <f t="shared" si="16"/>
        <v>1.59206821247398</v>
      </c>
      <c r="AB105" s="3">
        <f t="shared" si="16"/>
        <v>3.58400501836213</v>
      </c>
      <c r="AC105" s="3">
        <f t="shared" si="16"/>
        <v>4.892282210774</v>
      </c>
      <c r="AD105" s="3">
        <f t="shared" si="16"/>
        <v>1.64508452133603</v>
      </c>
      <c r="AE105" s="3">
        <f t="shared" si="16"/>
        <v>4.92439765398277</v>
      </c>
      <c r="AF105" s="3">
        <f t="shared" si="16"/>
        <v>7.01863118571642</v>
      </c>
      <c r="AG105" s="3">
        <f t="shared" si="16"/>
        <v>16.6579064654063</v>
      </c>
      <c r="AH105" s="2">
        <v>10</v>
      </c>
    </row>
    <row r="106" spans="2:34">
      <c r="B106" s="3">
        <f t="shared" si="7"/>
        <v>8</v>
      </c>
      <c r="C106" s="3">
        <f t="shared" si="14"/>
        <v>0.278749176917754</v>
      </c>
      <c r="D106" s="3">
        <f t="shared" si="14"/>
        <v>10.3306795533049</v>
      </c>
      <c r="E106" s="3">
        <f t="shared" si="14"/>
        <v>0.0773803296761394</v>
      </c>
      <c r="F106" s="3">
        <f t="shared" si="14"/>
        <v>9.82085107844576</v>
      </c>
      <c r="G106" s="3">
        <f t="shared" si="14"/>
        <v>10.4479680335327</v>
      </c>
      <c r="H106" s="3">
        <f t="shared" si="15"/>
        <v>9.61317088446646</v>
      </c>
      <c r="I106" s="3">
        <f t="shared" si="15"/>
        <v>9.85414825052153</v>
      </c>
      <c r="J106" s="3">
        <f t="shared" si="15"/>
        <v>7.93166749767435</v>
      </c>
      <c r="K106" s="3">
        <f t="shared" si="13"/>
        <v>18.4654375031822</v>
      </c>
      <c r="L106" s="3">
        <f t="shared" si="13"/>
        <v>22.9634836652711</v>
      </c>
      <c r="M106" s="3">
        <f t="shared" si="13"/>
        <v>24.1574501064804</v>
      </c>
      <c r="N106" s="3">
        <f t="shared" si="13"/>
        <v>4.19440795243435</v>
      </c>
      <c r="O106" s="3">
        <f t="shared" si="13"/>
        <v>1.28335575027877</v>
      </c>
      <c r="P106" s="3">
        <f t="shared" si="13"/>
        <v>3.92636619920969</v>
      </c>
      <c r="Q106" s="3">
        <f t="shared" si="13"/>
        <v>2.58058438681575</v>
      </c>
      <c r="R106" s="3">
        <f t="shared" si="13"/>
        <v>3.79644784925204</v>
      </c>
      <c r="S106" s="3">
        <f t="shared" si="16"/>
        <v>365.928111869491</v>
      </c>
      <c r="T106" s="3">
        <f t="shared" si="16"/>
        <v>106.309472002366</v>
      </c>
      <c r="U106" s="3">
        <f t="shared" si="16"/>
        <v>47.9552866286522</v>
      </c>
      <c r="V106" s="3" t="e">
        <f t="shared" si="16"/>
        <v>#DIV/0!</v>
      </c>
      <c r="W106" s="3">
        <f t="shared" si="16"/>
        <v>82.0186617360307</v>
      </c>
      <c r="X106" s="3">
        <f t="shared" si="16"/>
        <v>7.18443866172286</v>
      </c>
      <c r="Y106" s="3">
        <f t="shared" si="16"/>
        <v>5.64605037439385</v>
      </c>
      <c r="Z106" s="3">
        <f t="shared" si="16"/>
        <v>6.88652112376091</v>
      </c>
      <c r="AA106" s="3">
        <f t="shared" si="16"/>
        <v>1.63235294297966</v>
      </c>
      <c r="AB106" s="3">
        <f t="shared" si="16"/>
        <v>3.67846668549962</v>
      </c>
      <c r="AC106" s="3">
        <f t="shared" si="16"/>
        <v>5.02028944694769</v>
      </c>
      <c r="AD106" s="3">
        <f t="shared" si="16"/>
        <v>1.68983027829337</v>
      </c>
      <c r="AE106" s="3">
        <f t="shared" si="16"/>
        <v>5.0389105547513</v>
      </c>
      <c r="AF106" s="3">
        <f t="shared" si="16"/>
        <v>7.18535400072717</v>
      </c>
      <c r="AG106" s="3">
        <f t="shared" si="16"/>
        <v>17.0546668127941</v>
      </c>
      <c r="AH106" s="2">
        <v>10</v>
      </c>
    </row>
    <row r="107" spans="2:34">
      <c r="B107" s="3">
        <f t="shared" si="7"/>
        <v>8.2</v>
      </c>
      <c r="C107" s="3">
        <f t="shared" si="14"/>
        <v>0.28724737017722</v>
      </c>
      <c r="D107" s="3">
        <f t="shared" si="14"/>
        <v>10.5630940964755</v>
      </c>
      <c r="E107" s="3">
        <f t="shared" si="14"/>
        <v>0.0818004041613132</v>
      </c>
      <c r="F107" s="3">
        <f t="shared" si="14"/>
        <v>10.0364431177825</v>
      </c>
      <c r="G107" s="3">
        <f t="shared" si="14"/>
        <v>10.6764484180707</v>
      </c>
      <c r="H107" s="3">
        <f t="shared" si="15"/>
        <v>9.81317088446646</v>
      </c>
      <c r="I107" s="3">
        <f t="shared" si="15"/>
        <v>10.0541482505215</v>
      </c>
      <c r="J107" s="3">
        <f t="shared" si="15"/>
        <v>8.13166749767435</v>
      </c>
      <c r="K107" s="3">
        <f t="shared" si="13"/>
        <v>18.8763677920145</v>
      </c>
      <c r="L107" s="3">
        <f t="shared" si="13"/>
        <v>23.4663148683294</v>
      </c>
      <c r="M107" s="3">
        <f t="shared" si="13"/>
        <v>24.7634761408168</v>
      </c>
      <c r="N107" s="3">
        <f t="shared" si="13"/>
        <v>4.29444942584285</v>
      </c>
      <c r="O107" s="3">
        <f t="shared" si="13"/>
        <v>1.31793964403573</v>
      </c>
      <c r="P107" s="3">
        <f t="shared" si="13"/>
        <v>4.02702535418993</v>
      </c>
      <c r="Q107" s="3">
        <f t="shared" si="13"/>
        <v>2.64759899648615</v>
      </c>
      <c r="R107" s="3">
        <f t="shared" si="13"/>
        <v>3.89385904548335</v>
      </c>
      <c r="S107" s="3">
        <f t="shared" si="16"/>
        <v>375.078814666228</v>
      </c>
      <c r="T107" s="3">
        <f t="shared" si="16"/>
        <v>108.969708802425</v>
      </c>
      <c r="U107" s="3">
        <f t="shared" si="16"/>
        <v>49.1566687943685</v>
      </c>
      <c r="V107" s="3" t="e">
        <f t="shared" si="16"/>
        <v>#DIV/0!</v>
      </c>
      <c r="W107" s="3">
        <f t="shared" si="16"/>
        <v>84.0269520253118</v>
      </c>
      <c r="X107" s="3">
        <f t="shared" si="16"/>
        <v>7.35113859325851</v>
      </c>
      <c r="Y107" s="3">
        <f t="shared" si="16"/>
        <v>5.78845163375369</v>
      </c>
      <c r="Z107" s="3">
        <f t="shared" si="16"/>
        <v>7.0483685341633</v>
      </c>
      <c r="AA107" s="3">
        <f t="shared" si="16"/>
        <v>1.67263767348533</v>
      </c>
      <c r="AB107" s="3">
        <f t="shared" si="16"/>
        <v>3.77292835263711</v>
      </c>
      <c r="AC107" s="3">
        <f t="shared" si="16"/>
        <v>5.14829668312139</v>
      </c>
      <c r="AD107" s="3">
        <f t="shared" si="16"/>
        <v>1.7345760352507</v>
      </c>
      <c r="AE107" s="3">
        <f t="shared" si="16"/>
        <v>5.15342345551983</v>
      </c>
      <c r="AF107" s="3">
        <f t="shared" si="16"/>
        <v>7.35207681573793</v>
      </c>
      <c r="AG107" s="3">
        <f t="shared" si="16"/>
        <v>17.4514271601818</v>
      </c>
      <c r="AH107" s="2">
        <v>10</v>
      </c>
    </row>
    <row r="108" spans="2:34">
      <c r="B108" s="3">
        <f t="shared" si="7"/>
        <v>8.4</v>
      </c>
      <c r="C108" s="3">
        <f t="shared" si="14"/>
        <v>0.295745563436687</v>
      </c>
      <c r="D108" s="3">
        <f t="shared" si="14"/>
        <v>10.7955086396462</v>
      </c>
      <c r="E108" s="3">
        <f t="shared" si="14"/>
        <v>0.0862204786464869</v>
      </c>
      <c r="F108" s="3">
        <f t="shared" si="14"/>
        <v>10.2520351571192</v>
      </c>
      <c r="G108" s="3">
        <f t="shared" si="14"/>
        <v>10.9049288026088</v>
      </c>
      <c r="H108" s="3">
        <f t="shared" si="15"/>
        <v>10.0131708844665</v>
      </c>
      <c r="I108" s="3">
        <f t="shared" si="15"/>
        <v>10.2541482505215</v>
      </c>
      <c r="J108" s="3">
        <f t="shared" si="15"/>
        <v>8.33166749767435</v>
      </c>
      <c r="K108" s="3">
        <f t="shared" si="13"/>
        <v>19.2872980808468</v>
      </c>
      <c r="L108" s="3">
        <f t="shared" si="13"/>
        <v>23.9691460713878</v>
      </c>
      <c r="M108" s="3">
        <f t="shared" si="13"/>
        <v>25.3695021751532</v>
      </c>
      <c r="N108" s="3">
        <f t="shared" si="13"/>
        <v>4.39449089925136</v>
      </c>
      <c r="O108" s="3">
        <f t="shared" si="13"/>
        <v>1.3525235377927</v>
      </c>
      <c r="P108" s="3">
        <f t="shared" si="13"/>
        <v>4.12768450917018</v>
      </c>
      <c r="Q108" s="3">
        <f t="shared" si="13"/>
        <v>2.71461360615654</v>
      </c>
      <c r="R108" s="3">
        <f t="shared" si="13"/>
        <v>3.99127024171465</v>
      </c>
      <c r="S108" s="3">
        <f t="shared" si="16"/>
        <v>384.229517462965</v>
      </c>
      <c r="T108" s="3">
        <f t="shared" si="16"/>
        <v>111.629945602484</v>
      </c>
      <c r="U108" s="3">
        <f t="shared" si="16"/>
        <v>50.3580509600848</v>
      </c>
      <c r="V108" s="3" t="e">
        <f t="shared" si="16"/>
        <v>#DIV/0!</v>
      </c>
      <c r="W108" s="3">
        <f t="shared" si="16"/>
        <v>86.0352423145928</v>
      </c>
      <c r="X108" s="3">
        <f t="shared" si="16"/>
        <v>7.51783852479416</v>
      </c>
      <c r="Y108" s="3">
        <f t="shared" si="16"/>
        <v>5.93085289311354</v>
      </c>
      <c r="Z108" s="3">
        <f t="shared" si="16"/>
        <v>7.21021594456569</v>
      </c>
      <c r="AA108" s="3">
        <f t="shared" si="16"/>
        <v>1.712922403991</v>
      </c>
      <c r="AB108" s="3">
        <f t="shared" si="16"/>
        <v>3.8673900197746</v>
      </c>
      <c r="AC108" s="3">
        <f t="shared" si="16"/>
        <v>5.27630391929508</v>
      </c>
      <c r="AD108" s="3">
        <f t="shared" si="16"/>
        <v>1.77932179220803</v>
      </c>
      <c r="AE108" s="3">
        <f t="shared" si="16"/>
        <v>5.26793635628836</v>
      </c>
      <c r="AF108" s="3">
        <f t="shared" si="16"/>
        <v>7.51879963074869</v>
      </c>
      <c r="AG108" s="3">
        <f t="shared" si="16"/>
        <v>17.8481875075695</v>
      </c>
      <c r="AH108" s="2">
        <v>10</v>
      </c>
    </row>
    <row r="109" spans="2:34">
      <c r="B109" s="3">
        <f t="shared" si="7"/>
        <v>8.6</v>
      </c>
      <c r="C109" s="3">
        <f t="shared" si="14"/>
        <v>0.304243756696153</v>
      </c>
      <c r="D109" s="3">
        <f t="shared" si="14"/>
        <v>11.0279231828169</v>
      </c>
      <c r="E109" s="3">
        <f t="shared" si="14"/>
        <v>0.0906405531316606</v>
      </c>
      <c r="F109" s="3">
        <f t="shared" si="14"/>
        <v>10.467627196456</v>
      </c>
      <c r="G109" s="3">
        <f t="shared" si="14"/>
        <v>11.1334091871468</v>
      </c>
      <c r="H109" s="3">
        <f t="shared" si="15"/>
        <v>10.2131708844665</v>
      </c>
      <c r="I109" s="3">
        <f t="shared" si="15"/>
        <v>10.4541482505215</v>
      </c>
      <c r="J109" s="3">
        <f t="shared" si="15"/>
        <v>8.53166749767435</v>
      </c>
      <c r="K109" s="3">
        <f t="shared" si="13"/>
        <v>19.6982283696791</v>
      </c>
      <c r="L109" s="3">
        <f t="shared" si="13"/>
        <v>24.4719772744461</v>
      </c>
      <c r="M109" s="3">
        <f t="shared" si="13"/>
        <v>25.9755282094896</v>
      </c>
      <c r="N109" s="3">
        <f t="shared" si="13"/>
        <v>4.49453237265986</v>
      </c>
      <c r="O109" s="3">
        <f t="shared" si="13"/>
        <v>1.38710743154967</v>
      </c>
      <c r="P109" s="3">
        <f t="shared" si="13"/>
        <v>4.22834366415042</v>
      </c>
      <c r="Q109" s="3">
        <f t="shared" si="13"/>
        <v>2.78162821582693</v>
      </c>
      <c r="R109" s="3">
        <f t="shared" si="13"/>
        <v>4.08868143794595</v>
      </c>
      <c r="S109" s="3">
        <f t="shared" si="16"/>
        <v>393.380220259703</v>
      </c>
      <c r="T109" s="3">
        <f t="shared" si="16"/>
        <v>114.290182402544</v>
      </c>
      <c r="U109" s="3">
        <f t="shared" si="16"/>
        <v>51.5594331258011</v>
      </c>
      <c r="V109" s="3" t="e">
        <f t="shared" si="16"/>
        <v>#DIV/0!</v>
      </c>
      <c r="W109" s="3">
        <f t="shared" si="16"/>
        <v>88.0435326038738</v>
      </c>
      <c r="X109" s="3">
        <f t="shared" si="16"/>
        <v>7.6845384563298</v>
      </c>
      <c r="Y109" s="3">
        <f t="shared" si="16"/>
        <v>6.07325415247338</v>
      </c>
      <c r="Z109" s="3">
        <f t="shared" si="16"/>
        <v>7.37206335496807</v>
      </c>
      <c r="AA109" s="3">
        <f t="shared" si="16"/>
        <v>1.75320713449667</v>
      </c>
      <c r="AB109" s="3">
        <f t="shared" si="16"/>
        <v>3.96185168691209</v>
      </c>
      <c r="AC109" s="3">
        <f t="shared" si="16"/>
        <v>5.40431115546877</v>
      </c>
      <c r="AD109" s="3">
        <f t="shared" si="16"/>
        <v>1.82406754916537</v>
      </c>
      <c r="AE109" s="3">
        <f t="shared" si="16"/>
        <v>5.38244925705689</v>
      </c>
      <c r="AF109" s="3">
        <f t="shared" si="16"/>
        <v>7.68552244575944</v>
      </c>
      <c r="AG109" s="3">
        <f t="shared" si="16"/>
        <v>18.2449478549572</v>
      </c>
      <c r="AH109" s="2">
        <v>10</v>
      </c>
    </row>
    <row r="110" spans="2:34">
      <c r="B110" s="3">
        <f t="shared" si="7"/>
        <v>8.8</v>
      </c>
      <c r="C110" s="3">
        <f t="shared" si="14"/>
        <v>0.312741949955619</v>
      </c>
      <c r="D110" s="3">
        <f t="shared" si="14"/>
        <v>11.2603377259875</v>
      </c>
      <c r="E110" s="3">
        <f t="shared" si="14"/>
        <v>0.0950606276168344</v>
      </c>
      <c r="F110" s="3">
        <f t="shared" si="14"/>
        <v>10.6832192357927</v>
      </c>
      <c r="G110" s="3">
        <f t="shared" si="14"/>
        <v>11.3618895716848</v>
      </c>
      <c r="H110" s="3">
        <f t="shared" si="15"/>
        <v>10.4131708844665</v>
      </c>
      <c r="I110" s="3">
        <f t="shared" si="15"/>
        <v>10.6541482505215</v>
      </c>
      <c r="J110" s="3">
        <f t="shared" si="15"/>
        <v>8.73166749767435</v>
      </c>
      <c r="K110" s="3">
        <f t="shared" si="13"/>
        <v>20.1091586585114</v>
      </c>
      <c r="L110" s="3">
        <f t="shared" si="13"/>
        <v>24.9748084775044</v>
      </c>
      <c r="M110" s="3">
        <f t="shared" si="13"/>
        <v>26.581554243826</v>
      </c>
      <c r="N110" s="3">
        <f t="shared" si="13"/>
        <v>4.59457384606837</v>
      </c>
      <c r="O110" s="3">
        <f t="shared" si="13"/>
        <v>1.42169132530664</v>
      </c>
      <c r="P110" s="3">
        <f t="shared" si="13"/>
        <v>4.32900281913066</v>
      </c>
      <c r="Q110" s="3">
        <f t="shared" si="13"/>
        <v>2.84864282549733</v>
      </c>
      <c r="R110" s="3">
        <f t="shared" si="13"/>
        <v>4.18609263417725</v>
      </c>
      <c r="S110" s="3">
        <f t="shared" si="16"/>
        <v>402.53092305644</v>
      </c>
      <c r="T110" s="3">
        <f t="shared" si="16"/>
        <v>116.950419202603</v>
      </c>
      <c r="U110" s="3">
        <f t="shared" si="16"/>
        <v>52.7608152915174</v>
      </c>
      <c r="V110" s="3" t="e">
        <f t="shared" si="16"/>
        <v>#DIV/0!</v>
      </c>
      <c r="W110" s="3">
        <f t="shared" si="16"/>
        <v>90.0518228931549</v>
      </c>
      <c r="X110" s="3">
        <f t="shared" si="16"/>
        <v>7.85123838786545</v>
      </c>
      <c r="Y110" s="3">
        <f t="shared" si="16"/>
        <v>6.21565541183323</v>
      </c>
      <c r="Z110" s="3">
        <f t="shared" si="16"/>
        <v>7.53391076537046</v>
      </c>
      <c r="AA110" s="3">
        <f t="shared" si="16"/>
        <v>1.79349186500234</v>
      </c>
      <c r="AB110" s="3">
        <f t="shared" si="16"/>
        <v>4.05631335404958</v>
      </c>
      <c r="AC110" s="3">
        <f t="shared" si="16"/>
        <v>5.53231839164246</v>
      </c>
      <c r="AD110" s="3">
        <f t="shared" si="16"/>
        <v>1.8688133061227</v>
      </c>
      <c r="AE110" s="3">
        <f t="shared" si="16"/>
        <v>5.49696215782542</v>
      </c>
      <c r="AF110" s="3">
        <f t="shared" si="16"/>
        <v>7.8522452607702</v>
      </c>
      <c r="AG110" s="3">
        <f t="shared" si="16"/>
        <v>18.6417082023449</v>
      </c>
      <c r="AH110" s="2">
        <v>10</v>
      </c>
    </row>
    <row r="111" spans="2:34">
      <c r="B111" s="3">
        <f t="shared" si="7"/>
        <v>9</v>
      </c>
      <c r="C111" s="3">
        <f t="shared" si="14"/>
        <v>0.321240143215086</v>
      </c>
      <c r="D111" s="3">
        <f t="shared" si="14"/>
        <v>11.4927522691582</v>
      </c>
      <c r="E111" s="3">
        <f t="shared" si="14"/>
        <v>0.0994807021020081</v>
      </c>
      <c r="F111" s="3">
        <f t="shared" si="14"/>
        <v>10.8988112751294</v>
      </c>
      <c r="G111" s="3">
        <f t="shared" si="14"/>
        <v>11.5903699562229</v>
      </c>
      <c r="H111" s="3">
        <f t="shared" si="15"/>
        <v>10.6131708844665</v>
      </c>
      <c r="I111" s="3">
        <f t="shared" si="15"/>
        <v>10.8541482505215</v>
      </c>
      <c r="J111" s="3">
        <f t="shared" si="15"/>
        <v>8.93166749767435</v>
      </c>
      <c r="K111" s="3">
        <f t="shared" ref="K111:R116" si="17">K110+(((K$32+0.1)-(K$31-0.1))/50)</f>
        <v>20.5200889473437</v>
      </c>
      <c r="L111" s="3">
        <f t="shared" si="17"/>
        <v>25.4776396805627</v>
      </c>
      <c r="M111" s="3">
        <f t="shared" si="17"/>
        <v>27.1875802781624</v>
      </c>
      <c r="N111" s="3">
        <f t="shared" si="17"/>
        <v>4.69461531947687</v>
      </c>
      <c r="O111" s="3">
        <f t="shared" si="17"/>
        <v>1.45627521906361</v>
      </c>
      <c r="P111" s="3">
        <f t="shared" si="17"/>
        <v>4.4296619741109</v>
      </c>
      <c r="Q111" s="3">
        <f t="shared" si="17"/>
        <v>2.91565743516772</v>
      </c>
      <c r="R111" s="3">
        <f t="shared" si="17"/>
        <v>4.28350383040855</v>
      </c>
      <c r="S111" s="3">
        <f t="shared" si="16"/>
        <v>411.681625853177</v>
      </c>
      <c r="T111" s="3">
        <f t="shared" si="16"/>
        <v>119.610656002662</v>
      </c>
      <c r="U111" s="3">
        <f t="shared" si="16"/>
        <v>53.9621974572337</v>
      </c>
      <c r="V111" s="3" t="e">
        <f t="shared" si="16"/>
        <v>#DIV/0!</v>
      </c>
      <c r="W111" s="3">
        <f t="shared" si="16"/>
        <v>92.0601131824359</v>
      </c>
      <c r="X111" s="3">
        <f t="shared" si="16"/>
        <v>8.0179383194011</v>
      </c>
      <c r="Y111" s="3">
        <f t="shared" si="16"/>
        <v>6.35805667119308</v>
      </c>
      <c r="Z111" s="3">
        <f t="shared" si="16"/>
        <v>7.69575817577285</v>
      </c>
      <c r="AA111" s="3">
        <f t="shared" si="16"/>
        <v>1.83377659550801</v>
      </c>
      <c r="AB111" s="3">
        <f t="shared" si="16"/>
        <v>4.15077502118707</v>
      </c>
      <c r="AC111" s="3">
        <f t="shared" si="16"/>
        <v>5.66032562781616</v>
      </c>
      <c r="AD111" s="3">
        <f t="shared" si="16"/>
        <v>1.91355906308004</v>
      </c>
      <c r="AE111" s="3">
        <f t="shared" si="16"/>
        <v>5.61147505859395</v>
      </c>
      <c r="AF111" s="3">
        <f t="shared" si="16"/>
        <v>8.01896807578096</v>
      </c>
      <c r="AG111" s="3">
        <f t="shared" si="16"/>
        <v>19.0384685497327</v>
      </c>
      <c r="AH111" s="2">
        <v>10</v>
      </c>
    </row>
    <row r="112" spans="2:34">
      <c r="B112" s="3">
        <f t="shared" si="7"/>
        <v>9.2</v>
      </c>
      <c r="C112" s="3">
        <f t="shared" si="14"/>
        <v>0.329738336474552</v>
      </c>
      <c r="D112" s="3">
        <f t="shared" si="14"/>
        <v>11.7251668123289</v>
      </c>
      <c r="E112" s="3">
        <f t="shared" si="14"/>
        <v>0.103900776587182</v>
      </c>
      <c r="F112" s="3">
        <f t="shared" si="14"/>
        <v>11.1144033144662</v>
      </c>
      <c r="G112" s="3">
        <f t="shared" si="14"/>
        <v>11.8188503407609</v>
      </c>
      <c r="H112" s="3">
        <f t="shared" si="15"/>
        <v>10.8131708844665</v>
      </c>
      <c r="I112" s="3">
        <f t="shared" si="15"/>
        <v>11.0541482505215</v>
      </c>
      <c r="J112" s="3">
        <f t="shared" si="15"/>
        <v>9.13166749767435</v>
      </c>
      <c r="K112" s="3">
        <f t="shared" si="17"/>
        <v>20.931019236176</v>
      </c>
      <c r="L112" s="3">
        <f t="shared" si="17"/>
        <v>25.980470883621</v>
      </c>
      <c r="M112" s="3">
        <f t="shared" si="17"/>
        <v>27.7936063124988</v>
      </c>
      <c r="N112" s="3">
        <f t="shared" si="17"/>
        <v>4.79465679288538</v>
      </c>
      <c r="O112" s="3">
        <f t="shared" si="17"/>
        <v>1.49085911282058</v>
      </c>
      <c r="P112" s="3">
        <f t="shared" si="17"/>
        <v>4.53032112909114</v>
      </c>
      <c r="Q112" s="3">
        <f t="shared" si="17"/>
        <v>2.98267204483811</v>
      </c>
      <c r="R112" s="3">
        <f t="shared" si="17"/>
        <v>4.38091502663985</v>
      </c>
      <c r="S112" s="3">
        <f t="shared" si="16"/>
        <v>420.832328649915</v>
      </c>
      <c r="T112" s="3">
        <f t="shared" si="16"/>
        <v>122.270892802721</v>
      </c>
      <c r="U112" s="3">
        <f t="shared" si="16"/>
        <v>55.16357962295</v>
      </c>
      <c r="V112" s="3" t="e">
        <f t="shared" si="16"/>
        <v>#DIV/0!</v>
      </c>
      <c r="W112" s="3">
        <f t="shared" si="16"/>
        <v>94.0684034717169</v>
      </c>
      <c r="X112" s="3">
        <f t="shared" si="16"/>
        <v>8.18463825093675</v>
      </c>
      <c r="Y112" s="3">
        <f t="shared" si="16"/>
        <v>6.50045793055292</v>
      </c>
      <c r="Z112" s="3">
        <f t="shared" si="16"/>
        <v>7.85760558617523</v>
      </c>
      <c r="AA112" s="3">
        <f t="shared" si="16"/>
        <v>1.87406132601368</v>
      </c>
      <c r="AB112" s="3">
        <f t="shared" si="16"/>
        <v>4.24523668832456</v>
      </c>
      <c r="AC112" s="3">
        <f t="shared" si="16"/>
        <v>5.78833286398985</v>
      </c>
      <c r="AD112" s="3">
        <f t="shared" si="16"/>
        <v>1.95830482003737</v>
      </c>
      <c r="AE112" s="3">
        <f t="shared" si="16"/>
        <v>5.72598795936248</v>
      </c>
      <c r="AF112" s="3">
        <f t="shared" si="16"/>
        <v>8.18569089079172</v>
      </c>
      <c r="AG112" s="3">
        <f t="shared" si="16"/>
        <v>19.4352288971204</v>
      </c>
      <c r="AH112" s="2">
        <v>10</v>
      </c>
    </row>
    <row r="113" spans="2:34">
      <c r="B113" s="3">
        <f t="shared" si="7"/>
        <v>9.4</v>
      </c>
      <c r="C113" s="3">
        <f t="shared" si="14"/>
        <v>0.338236529734018</v>
      </c>
      <c r="D113" s="3">
        <f t="shared" si="14"/>
        <v>11.9575813554995</v>
      </c>
      <c r="E113" s="3">
        <f t="shared" si="14"/>
        <v>0.108320851072356</v>
      </c>
      <c r="F113" s="3">
        <f t="shared" si="14"/>
        <v>11.3299953538029</v>
      </c>
      <c r="G113" s="3">
        <f t="shared" si="14"/>
        <v>12.047330725299</v>
      </c>
      <c r="H113" s="3">
        <f t="shared" si="15"/>
        <v>11.0131708844665</v>
      </c>
      <c r="I113" s="3">
        <f t="shared" si="15"/>
        <v>11.2541482505215</v>
      </c>
      <c r="J113" s="3">
        <f t="shared" si="15"/>
        <v>9.33166749767435</v>
      </c>
      <c r="K113" s="3">
        <f t="shared" si="17"/>
        <v>21.3419495250083</v>
      </c>
      <c r="L113" s="3">
        <f t="shared" si="17"/>
        <v>26.4833020866793</v>
      </c>
      <c r="M113" s="3">
        <f t="shared" si="17"/>
        <v>28.3996323468352</v>
      </c>
      <c r="N113" s="3">
        <f t="shared" si="17"/>
        <v>4.89469826629388</v>
      </c>
      <c r="O113" s="3">
        <f t="shared" si="17"/>
        <v>1.52544300657755</v>
      </c>
      <c r="P113" s="3">
        <f t="shared" si="17"/>
        <v>4.63098028407139</v>
      </c>
      <c r="Q113" s="3">
        <f t="shared" si="17"/>
        <v>3.04968665450851</v>
      </c>
      <c r="R113" s="3">
        <f t="shared" si="17"/>
        <v>4.47832622287115</v>
      </c>
      <c r="S113" s="3">
        <f t="shared" si="16"/>
        <v>429.983031446652</v>
      </c>
      <c r="T113" s="3">
        <f t="shared" si="16"/>
        <v>124.93112960278</v>
      </c>
      <c r="U113" s="3">
        <f t="shared" si="16"/>
        <v>56.3649617886663</v>
      </c>
      <c r="V113" s="3" t="e">
        <f t="shared" si="16"/>
        <v>#DIV/0!</v>
      </c>
      <c r="W113" s="3">
        <f t="shared" si="16"/>
        <v>96.076693760998</v>
      </c>
      <c r="X113" s="3">
        <f t="shared" si="16"/>
        <v>8.3513381824724</v>
      </c>
      <c r="Y113" s="3">
        <f t="shared" si="16"/>
        <v>6.64285918991277</v>
      </c>
      <c r="Z113" s="3">
        <f t="shared" si="16"/>
        <v>8.01945299657762</v>
      </c>
      <c r="AA113" s="3">
        <f t="shared" si="16"/>
        <v>1.91434605651935</v>
      </c>
      <c r="AB113" s="3">
        <f t="shared" si="16"/>
        <v>4.33969835546205</v>
      </c>
      <c r="AC113" s="3">
        <f t="shared" si="16"/>
        <v>5.91634010016354</v>
      </c>
      <c r="AD113" s="3">
        <f t="shared" si="16"/>
        <v>2.00305057699471</v>
      </c>
      <c r="AE113" s="3">
        <f t="shared" si="16"/>
        <v>5.84050086013101</v>
      </c>
      <c r="AF113" s="3">
        <f t="shared" si="16"/>
        <v>8.35241370580247</v>
      </c>
      <c r="AG113" s="3">
        <f t="shared" si="16"/>
        <v>19.8319892445081</v>
      </c>
      <c r="AH113" s="2">
        <v>10</v>
      </c>
    </row>
    <row r="114" spans="2:34">
      <c r="B114" s="3">
        <f t="shared" si="7"/>
        <v>9.6</v>
      </c>
      <c r="C114" s="3">
        <f t="shared" si="14"/>
        <v>0.346734722993485</v>
      </c>
      <c r="D114" s="3">
        <f t="shared" si="14"/>
        <v>12.1899958986702</v>
      </c>
      <c r="E114" s="3">
        <f t="shared" si="14"/>
        <v>0.112740925557529</v>
      </c>
      <c r="F114" s="3">
        <f t="shared" si="14"/>
        <v>11.5455873931396</v>
      </c>
      <c r="G114" s="3">
        <f t="shared" si="14"/>
        <v>12.275811109837</v>
      </c>
      <c r="H114" s="3">
        <f t="shared" si="15"/>
        <v>11.2131708844665</v>
      </c>
      <c r="I114" s="3">
        <f t="shared" si="15"/>
        <v>11.4541482505215</v>
      </c>
      <c r="J114" s="3">
        <f t="shared" si="15"/>
        <v>9.53166749767434</v>
      </c>
      <c r="K114" s="3">
        <f t="shared" si="17"/>
        <v>21.7528798138406</v>
      </c>
      <c r="L114" s="3">
        <f t="shared" si="17"/>
        <v>26.9861332897376</v>
      </c>
      <c r="M114" s="3">
        <f t="shared" si="17"/>
        <v>29.0056583811716</v>
      </c>
      <c r="N114" s="3">
        <f t="shared" si="17"/>
        <v>4.99473973970239</v>
      </c>
      <c r="O114" s="3">
        <f t="shared" si="17"/>
        <v>1.56002690033452</v>
      </c>
      <c r="P114" s="3">
        <f t="shared" si="17"/>
        <v>4.73163943905163</v>
      </c>
      <c r="Q114" s="3">
        <f t="shared" si="17"/>
        <v>3.1167012641789</v>
      </c>
      <c r="R114" s="3">
        <f t="shared" si="17"/>
        <v>4.57573741910245</v>
      </c>
      <c r="S114" s="3">
        <f t="shared" si="16"/>
        <v>439.133734243389</v>
      </c>
      <c r="T114" s="3">
        <f t="shared" si="16"/>
        <v>127.591366402839</v>
      </c>
      <c r="U114" s="3">
        <f t="shared" si="16"/>
        <v>57.5663439543826</v>
      </c>
      <c r="V114" s="3" t="e">
        <f t="shared" si="16"/>
        <v>#DIV/0!</v>
      </c>
      <c r="W114" s="3">
        <f t="shared" si="16"/>
        <v>98.084984050279</v>
      </c>
      <c r="X114" s="3">
        <f t="shared" si="16"/>
        <v>8.51803811400805</v>
      </c>
      <c r="Y114" s="3">
        <f t="shared" si="16"/>
        <v>6.78526044927261</v>
      </c>
      <c r="Z114" s="3">
        <f t="shared" si="16"/>
        <v>8.18130040698001</v>
      </c>
      <c r="AA114" s="3">
        <f t="shared" si="16"/>
        <v>1.95463078702502</v>
      </c>
      <c r="AB114" s="3">
        <f t="shared" si="16"/>
        <v>4.43416002259954</v>
      </c>
      <c r="AC114" s="3">
        <f t="shared" si="16"/>
        <v>6.04434733633723</v>
      </c>
      <c r="AD114" s="3">
        <f t="shared" si="16"/>
        <v>2.04779633395204</v>
      </c>
      <c r="AE114" s="3">
        <f t="shared" si="16"/>
        <v>5.95501376089954</v>
      </c>
      <c r="AF114" s="3">
        <f t="shared" si="16"/>
        <v>8.51913652081323</v>
      </c>
      <c r="AG114" s="3">
        <f t="shared" si="16"/>
        <v>20.2287495918958</v>
      </c>
      <c r="AH114" s="2">
        <v>10</v>
      </c>
    </row>
    <row r="115" spans="2:34">
      <c r="B115" s="3">
        <f t="shared" si="7"/>
        <v>9.8</v>
      </c>
      <c r="C115" s="3">
        <f t="shared" si="14"/>
        <v>0.355232916252951</v>
      </c>
      <c r="D115" s="3">
        <f t="shared" si="14"/>
        <v>12.4224104418409</v>
      </c>
      <c r="E115" s="3">
        <f t="shared" si="14"/>
        <v>0.117161000042703</v>
      </c>
      <c r="F115" s="3">
        <f t="shared" si="14"/>
        <v>11.7611794324763</v>
      </c>
      <c r="G115" s="3">
        <f t="shared" si="14"/>
        <v>12.5042914943751</v>
      </c>
      <c r="H115" s="3">
        <f t="shared" si="15"/>
        <v>11.4131708844665</v>
      </c>
      <c r="I115" s="3">
        <f t="shared" si="15"/>
        <v>11.6541482505215</v>
      </c>
      <c r="J115" s="3">
        <f t="shared" si="15"/>
        <v>9.73166749767434</v>
      </c>
      <c r="K115" s="3">
        <f t="shared" si="17"/>
        <v>22.1638101026729</v>
      </c>
      <c r="L115" s="3">
        <f t="shared" si="17"/>
        <v>27.488964492796</v>
      </c>
      <c r="M115" s="3">
        <f t="shared" si="17"/>
        <v>29.6116844155079</v>
      </c>
      <c r="N115" s="3">
        <f t="shared" si="17"/>
        <v>5.09478121311089</v>
      </c>
      <c r="O115" s="3">
        <f t="shared" si="17"/>
        <v>1.59461079409149</v>
      </c>
      <c r="P115" s="3">
        <f t="shared" si="17"/>
        <v>4.83229859403187</v>
      </c>
      <c r="Q115" s="3">
        <f t="shared" si="17"/>
        <v>3.18371587384929</v>
      </c>
      <c r="R115" s="3">
        <f t="shared" si="17"/>
        <v>4.67314861533375</v>
      </c>
      <c r="S115" s="3">
        <f t="shared" si="16"/>
        <v>448.284437040126</v>
      </c>
      <c r="T115" s="3">
        <f t="shared" si="16"/>
        <v>130.251603202899</v>
      </c>
      <c r="U115" s="3">
        <f t="shared" si="16"/>
        <v>58.7677261200989</v>
      </c>
      <c r="V115" s="3" t="e">
        <f t="shared" si="16"/>
        <v>#DIV/0!</v>
      </c>
      <c r="W115" s="3">
        <f t="shared" si="16"/>
        <v>100.09327433956</v>
      </c>
      <c r="X115" s="3">
        <f t="shared" si="16"/>
        <v>8.68473804554369</v>
      </c>
      <c r="Y115" s="3">
        <f t="shared" si="16"/>
        <v>6.92766170863246</v>
      </c>
      <c r="Z115" s="3">
        <f t="shared" si="16"/>
        <v>8.34314781738239</v>
      </c>
      <c r="AA115" s="3">
        <f t="shared" si="16"/>
        <v>1.99491551753069</v>
      </c>
      <c r="AB115" s="3">
        <f t="shared" si="16"/>
        <v>4.52862168973703</v>
      </c>
      <c r="AC115" s="3">
        <f t="shared" si="16"/>
        <v>6.17235457251093</v>
      </c>
      <c r="AD115" s="3">
        <f t="shared" si="16"/>
        <v>2.09254209090937</v>
      </c>
      <c r="AE115" s="3">
        <f t="shared" si="16"/>
        <v>6.06952666166807</v>
      </c>
      <c r="AF115" s="3">
        <f t="shared" si="16"/>
        <v>8.68585933582399</v>
      </c>
      <c r="AG115" s="3">
        <f t="shared" si="16"/>
        <v>20.6255099392836</v>
      </c>
      <c r="AH115" s="2">
        <v>10</v>
      </c>
    </row>
    <row r="116" spans="2:34">
      <c r="B116" s="3">
        <f t="shared" si="7"/>
        <v>10</v>
      </c>
      <c r="C116" s="3">
        <f t="shared" ref="C116:G116" si="18">C115+(((C$32+0.1)-(C$31-0.1))/50)</f>
        <v>0.363731109512418</v>
      </c>
      <c r="D116" s="3">
        <f t="shared" si="18"/>
        <v>12.6548249850115</v>
      </c>
      <c r="E116" s="3">
        <f t="shared" si="18"/>
        <v>0.121581074527877</v>
      </c>
      <c r="F116" s="3">
        <f t="shared" si="18"/>
        <v>11.9767714718131</v>
      </c>
      <c r="G116" s="3">
        <f t="shared" si="18"/>
        <v>12.7327718789131</v>
      </c>
      <c r="H116" s="3">
        <f t="shared" ref="H116:J116" si="19">H115+0.2</f>
        <v>11.6131708844665</v>
      </c>
      <c r="I116" s="3">
        <f t="shared" si="19"/>
        <v>11.8541482505215</v>
      </c>
      <c r="J116" s="3">
        <f t="shared" si="19"/>
        <v>9.93166749767434</v>
      </c>
      <c r="K116" s="3">
        <f t="shared" si="17"/>
        <v>22.5747403915052</v>
      </c>
      <c r="L116" s="3">
        <f t="shared" si="17"/>
        <v>27.9917956958543</v>
      </c>
      <c r="M116" s="3">
        <f t="shared" si="17"/>
        <v>30.2177104498443</v>
      </c>
      <c r="N116" s="3">
        <f t="shared" si="17"/>
        <v>5.1948226865194</v>
      </c>
      <c r="O116" s="3">
        <f t="shared" si="17"/>
        <v>1.62919468784846</v>
      </c>
      <c r="P116" s="3">
        <f t="shared" si="17"/>
        <v>4.93295774901211</v>
      </c>
      <c r="Q116" s="3">
        <f t="shared" si="17"/>
        <v>3.25073048351969</v>
      </c>
      <c r="R116" s="3">
        <f t="shared" si="17"/>
        <v>4.77055981156505</v>
      </c>
      <c r="S116" s="3">
        <f t="shared" si="16"/>
        <v>457.435139836864</v>
      </c>
      <c r="T116" s="3">
        <f t="shared" si="16"/>
        <v>132.911840002958</v>
      </c>
      <c r="U116" s="3">
        <f t="shared" si="16"/>
        <v>59.9691082858152</v>
      </c>
      <c r="V116" s="3" t="e">
        <f t="shared" si="16"/>
        <v>#DIV/0!</v>
      </c>
      <c r="W116" s="3">
        <f t="shared" si="16"/>
        <v>102.101564628841</v>
      </c>
      <c r="X116" s="3">
        <f t="shared" si="16"/>
        <v>8.85143797707934</v>
      </c>
      <c r="Y116" s="3">
        <f t="shared" si="16"/>
        <v>7.07006296799231</v>
      </c>
      <c r="Z116" s="3">
        <f t="shared" si="16"/>
        <v>8.50499522778478</v>
      </c>
      <c r="AA116" s="3">
        <f t="shared" si="16"/>
        <v>2.03520024803636</v>
      </c>
      <c r="AB116" s="3">
        <f t="shared" si="16"/>
        <v>4.62308335687452</v>
      </c>
      <c r="AC116" s="3">
        <f t="shared" si="16"/>
        <v>6.30036180868462</v>
      </c>
      <c r="AD116" s="3">
        <f t="shared" si="16"/>
        <v>2.13728784786671</v>
      </c>
      <c r="AE116" s="3">
        <f t="shared" si="16"/>
        <v>6.1840395624366</v>
      </c>
      <c r="AF116" s="3">
        <f t="shared" si="16"/>
        <v>8.85258215083475</v>
      </c>
      <c r="AG116" s="3">
        <f t="shared" si="16"/>
        <v>21.0222702866713</v>
      </c>
      <c r="AH116" s="2">
        <v>10</v>
      </c>
    </row>
    <row r="117" spans="2:34">
      <c r="B117" s="3"/>
    </row>
    <row r="118" spans="2:34">
      <c r="B118" s="3"/>
    </row>
    <row r="119" spans="2:34">
      <c r="B119" s="3"/>
    </row>
    <row r="120" spans="2:34">
      <c r="B120" s="3"/>
    </row>
    <row r="121" spans="2:34">
      <c r="B121" s="3"/>
    </row>
    <row r="122" spans="2:34">
      <c r="B122" s="3"/>
    </row>
  </sheetData>
  <mergeCells count="2">
    <mergeCell ref="B2:R2"/>
    <mergeCell ref="B34:R34"/>
  </mergeCells>
  <pageMargins left="0.7" right="0.7" top="0.75" bottom="0.75" header="0.3" footer="0.3"/>
  <pageSetup paperSize="1" orientation="portrait" horizontalDpi="1200" verticalDpi="12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8:AD34"/>
  <sheetViews>
    <sheetView zoomScale="190" zoomScaleNormal="190" workbookViewId="0">
      <selection activeCell="I23" sqref="I23"/>
    </sheetView>
  </sheetViews>
  <sheetFormatPr defaultColWidth="8.85185185185185" defaultRowHeight="13.8"/>
  <sheetData>
    <row r="18" spans="3:30">
      <c r="C18" s="2"/>
    </row>
    <row r="21" spans="3:30">
      <c r="C21" t="s">
        <v>1379</v>
      </c>
      <c r="D21">
        <v>56.1380231149685</v>
      </c>
      <c r="E21">
        <v>60.7593064105754</v>
      </c>
      <c r="F21">
        <v>62.7293688211074</v>
      </c>
      <c r="G21">
        <v>56.36533791862</v>
      </c>
      <c r="H21">
        <v>63.3429362937877</v>
      </c>
      <c r="I21">
        <v>61.7295231247877</v>
      </c>
      <c r="J21">
        <v>54.7182484190417</v>
      </c>
      <c r="K21">
        <v>62.2664587650275</v>
      </c>
      <c r="L21">
        <v>57.9735532503182</v>
      </c>
      <c r="M21">
        <v>59.7168751537002</v>
      </c>
      <c r="N21">
        <v>62.3791229988472</v>
      </c>
      <c r="O21">
        <v>65.6539203615649</v>
      </c>
      <c r="P21">
        <v>56.0541959951666</v>
      </c>
      <c r="Q21">
        <v>63.4549835569718</v>
      </c>
      <c r="R21">
        <v>54.7107307670736</v>
      </c>
      <c r="S21">
        <v>65.6399265451556</v>
      </c>
      <c r="T21">
        <v>63.5600678616969</v>
      </c>
      <c r="U21">
        <v>58.8228211872622</v>
      </c>
      <c r="V21">
        <v>61.6914161851672</v>
      </c>
      <c r="W21">
        <v>62.0868627368481</v>
      </c>
      <c r="X21">
        <v>59.8475864167597</v>
      </c>
      <c r="Y21">
        <v>59.2163488308969</v>
      </c>
    </row>
    <row r="22" spans="3:30">
      <c r="D22">
        <v>0.02</v>
      </c>
      <c r="E22">
        <v>0.02</v>
      </c>
      <c r="F22">
        <v>0.02</v>
      </c>
      <c r="G22">
        <v>0.02</v>
      </c>
      <c r="H22">
        <v>0.02</v>
      </c>
      <c r="I22">
        <v>0.02</v>
      </c>
      <c r="J22">
        <v>0.02</v>
      </c>
      <c r="K22">
        <v>0.02</v>
      </c>
      <c r="L22">
        <v>0.02</v>
      </c>
      <c r="M22">
        <v>0.03</v>
      </c>
      <c r="N22">
        <v>0.03</v>
      </c>
      <c r="O22">
        <v>0.03</v>
      </c>
      <c r="P22">
        <v>0.03</v>
      </c>
      <c r="Q22">
        <v>0.03</v>
      </c>
      <c r="R22">
        <v>0.03</v>
      </c>
      <c r="S22">
        <v>0.03</v>
      </c>
      <c r="T22">
        <v>0.03</v>
      </c>
      <c r="U22">
        <v>0.03</v>
      </c>
      <c r="V22">
        <v>0.03</v>
      </c>
      <c r="W22">
        <v>0.01</v>
      </c>
      <c r="X22">
        <v>0.01</v>
      </c>
      <c r="Y22">
        <v>0.01</v>
      </c>
    </row>
    <row r="23" spans="3:30">
      <c r="D23" t="s">
        <v>194</v>
      </c>
      <c r="E23" t="s">
        <v>194</v>
      </c>
      <c r="F23" t="s">
        <v>194</v>
      </c>
      <c r="G23" t="s">
        <v>194</v>
      </c>
      <c r="H23" t="s">
        <v>194</v>
      </c>
      <c r="I23" t="s">
        <v>194</v>
      </c>
      <c r="J23" t="s">
        <v>194</v>
      </c>
      <c r="K23" t="s">
        <v>194</v>
      </c>
      <c r="L23" t="s">
        <v>194</v>
      </c>
      <c r="M23" t="s">
        <v>228</v>
      </c>
      <c r="N23" t="s">
        <v>228</v>
      </c>
      <c r="O23" t="s">
        <v>228</v>
      </c>
      <c r="P23" t="s">
        <v>228</v>
      </c>
      <c r="Q23" t="s">
        <v>228</v>
      </c>
      <c r="R23" t="s">
        <v>228</v>
      </c>
      <c r="S23" t="s">
        <v>228</v>
      </c>
      <c r="T23" t="s">
        <v>228</v>
      </c>
      <c r="U23" t="s">
        <v>228</v>
      </c>
      <c r="V23" t="s">
        <v>228</v>
      </c>
      <c r="W23" t="s">
        <v>265</v>
      </c>
      <c r="X23" t="s">
        <v>265</v>
      </c>
      <c r="Y23" t="s">
        <v>265</v>
      </c>
    </row>
    <row r="24" s="1" customFormat="1" spans="3:30">
      <c r="D24" s="1" t="s">
        <v>194</v>
      </c>
      <c r="E24" s="1" t="s">
        <v>194</v>
      </c>
      <c r="F24" s="1" t="s">
        <v>194</v>
      </c>
      <c r="G24" s="1" t="s">
        <v>194</v>
      </c>
      <c r="H24" s="1" t="s">
        <v>194</v>
      </c>
      <c r="I24" s="1" t="s">
        <v>194</v>
      </c>
      <c r="J24" s="1" t="s">
        <v>194</v>
      </c>
      <c r="K24" s="1" t="s">
        <v>194</v>
      </c>
      <c r="L24" s="1" t="s">
        <v>194</v>
      </c>
      <c r="M24" s="1" t="s">
        <v>194</v>
      </c>
      <c r="N24" s="1" t="s">
        <v>228</v>
      </c>
      <c r="O24" s="1" t="s">
        <v>228</v>
      </c>
      <c r="P24" s="1" t="s">
        <v>228</v>
      </c>
      <c r="Q24" s="1" t="s">
        <v>228</v>
      </c>
      <c r="R24" s="1" t="s">
        <v>228</v>
      </c>
      <c r="S24" s="1" t="s">
        <v>228</v>
      </c>
      <c r="T24" s="1" t="s">
        <v>265</v>
      </c>
      <c r="U24" s="1" t="s">
        <v>265</v>
      </c>
      <c r="V24" s="1" t="s">
        <v>265</v>
      </c>
      <c r="W24" s="1" t="s">
        <v>265</v>
      </c>
      <c r="X24" s="1" t="s">
        <v>265</v>
      </c>
      <c r="Y24" s="1" t="s">
        <v>265</v>
      </c>
      <c r="Z24" s="1" t="s">
        <v>265</v>
      </c>
      <c r="AA24" s="1" t="s">
        <v>265</v>
      </c>
      <c r="AB24" s="1" t="s">
        <v>265</v>
      </c>
      <c r="AC24" s="1" t="s">
        <v>265</v>
      </c>
      <c r="AD24" s="1" t="s">
        <v>265</v>
      </c>
    </row>
    <row r="25" spans="3:30">
      <c r="D25">
        <v>81.3606768182236</v>
      </c>
      <c r="E25">
        <v>96.4228672155508</v>
      </c>
      <c r="F25">
        <v>94.1027920279844</v>
      </c>
      <c r="G25">
        <v>84.6140765180358</v>
      </c>
      <c r="H25">
        <v>89.6461389555555</v>
      </c>
      <c r="I25">
        <v>81.1000512512617</v>
      </c>
      <c r="J25">
        <v>82.4823900110052</v>
      </c>
      <c r="K25">
        <v>90.2981154321981</v>
      </c>
      <c r="L25">
        <v>81.3226547428706</v>
      </c>
      <c r="M25">
        <v>76.7936318080635</v>
      </c>
      <c r="N25">
        <v>84.0067531767738</v>
      </c>
      <c r="O25">
        <v>77.5768863176809</v>
      </c>
      <c r="P25">
        <v>85.5503740278113</v>
      </c>
      <c r="Q25">
        <v>79.7885400179657</v>
      </c>
      <c r="R25">
        <v>83.7022419613512</v>
      </c>
      <c r="S25">
        <v>84.4257600551253</v>
      </c>
      <c r="T25">
        <v>97.3381375787472</v>
      </c>
      <c r="U25">
        <v>98.9685916632264</v>
      </c>
      <c r="V25">
        <v>88.7318241813837</v>
      </c>
      <c r="W25">
        <v>96.0794425278401</v>
      </c>
      <c r="X25">
        <v>94.0337712552941</v>
      </c>
      <c r="Y25">
        <v>91.932849346788</v>
      </c>
      <c r="Z25">
        <v>97.639594559495</v>
      </c>
      <c r="AA25">
        <v>99.0597771898373</v>
      </c>
      <c r="AB25">
        <v>98.4239801054914</v>
      </c>
      <c r="AC25">
        <v>97.9632401951524</v>
      </c>
      <c r="AD25">
        <v>99.8301471970199</v>
      </c>
    </row>
    <row r="26" spans="3:30">
      <c r="D26">
        <v>0.02</v>
      </c>
      <c r="E26">
        <v>0.02</v>
      </c>
      <c r="F26">
        <v>0.02</v>
      </c>
      <c r="G26">
        <v>0.02</v>
      </c>
      <c r="H26">
        <v>0.02</v>
      </c>
      <c r="I26">
        <v>0.02</v>
      </c>
      <c r="J26">
        <v>0.02</v>
      </c>
      <c r="K26">
        <v>0.02</v>
      </c>
      <c r="L26">
        <v>0.02</v>
      </c>
      <c r="M26">
        <v>0.02</v>
      </c>
      <c r="N26">
        <v>0.015</v>
      </c>
      <c r="O26">
        <v>0.015</v>
      </c>
      <c r="P26">
        <v>0.015</v>
      </c>
      <c r="Q26">
        <v>0.015</v>
      </c>
      <c r="R26">
        <v>0.015</v>
      </c>
      <c r="S26">
        <v>0.015</v>
      </c>
      <c r="T26">
        <v>0.01</v>
      </c>
      <c r="U26">
        <v>0.01</v>
      </c>
      <c r="V26">
        <v>0.01</v>
      </c>
      <c r="W26">
        <v>0.01</v>
      </c>
      <c r="X26">
        <v>0.01</v>
      </c>
      <c r="Y26">
        <v>0.01</v>
      </c>
      <c r="Z26">
        <v>0.01</v>
      </c>
      <c r="AA26">
        <v>0.01</v>
      </c>
      <c r="AB26">
        <v>0.01</v>
      </c>
      <c r="AC26">
        <v>0.01</v>
      </c>
      <c r="AD26">
        <v>0.01</v>
      </c>
    </row>
    <row r="28" spans="3:30">
      <c r="C28" t="s">
        <v>1380</v>
      </c>
      <c r="D28" t="s">
        <v>228</v>
      </c>
      <c r="E28" t="s">
        <v>228</v>
      </c>
      <c r="F28" t="s">
        <v>228</v>
      </c>
      <c r="G28" t="s">
        <v>228</v>
      </c>
      <c r="H28" t="s">
        <v>228</v>
      </c>
      <c r="I28" t="s">
        <v>228</v>
      </c>
      <c r="J28" t="s">
        <v>228</v>
      </c>
      <c r="K28" t="s">
        <v>228</v>
      </c>
      <c r="L28" t="s">
        <v>265</v>
      </c>
      <c r="M28" t="s">
        <v>265</v>
      </c>
      <c r="N28" t="s">
        <v>265</v>
      </c>
      <c r="O28" t="s">
        <v>265</v>
      </c>
      <c r="P28" t="s">
        <v>265</v>
      </c>
    </row>
    <row r="29" spans="3:30">
      <c r="D29">
        <v>92.0372181593767</v>
      </c>
      <c r="E29">
        <v>98.9963374816913</v>
      </c>
      <c r="F29">
        <v>94.7843485934681</v>
      </c>
      <c r="G29">
        <v>85.3365193868596</v>
      </c>
      <c r="H29">
        <v>69.2341962085942</v>
      </c>
      <c r="I29">
        <v>79.6741967466987</v>
      </c>
      <c r="J29">
        <v>76.4298123796282</v>
      </c>
      <c r="K29">
        <v>85.3902714116185</v>
      </c>
      <c r="L29">
        <v>96.891089276345</v>
      </c>
      <c r="M29">
        <v>107.596096997461</v>
      </c>
      <c r="N29">
        <v>101.948996573081</v>
      </c>
      <c r="O29">
        <v>91.1894260583093</v>
      </c>
      <c r="P29">
        <v>93.7075305044559</v>
      </c>
    </row>
    <row r="30" spans="3:30">
      <c r="D30">
        <v>0.01</v>
      </c>
      <c r="E30">
        <v>0.01</v>
      </c>
      <c r="F30">
        <v>0.01</v>
      </c>
      <c r="G30">
        <v>0.01</v>
      </c>
      <c r="H30">
        <v>0.01</v>
      </c>
      <c r="I30">
        <v>0.01</v>
      </c>
      <c r="J30">
        <v>0.01</v>
      </c>
      <c r="K30">
        <v>0.01</v>
      </c>
      <c r="L30">
        <v>0.005</v>
      </c>
      <c r="M30">
        <v>0.005</v>
      </c>
      <c r="N30">
        <v>0.005</v>
      </c>
      <c r="O30">
        <v>0.005</v>
      </c>
      <c r="P30">
        <v>0.005</v>
      </c>
    </row>
    <row r="32" spans="3:30">
      <c r="C32" t="s">
        <v>1381</v>
      </c>
      <c r="D32" t="s">
        <v>194</v>
      </c>
      <c r="E32" t="s">
        <v>194</v>
      </c>
      <c r="F32" t="s">
        <v>194</v>
      </c>
      <c r="G32" t="s">
        <v>194</v>
      </c>
      <c r="H32" t="s">
        <v>194</v>
      </c>
      <c r="I32" t="s">
        <v>194</v>
      </c>
      <c r="J32" t="s">
        <v>194</v>
      </c>
      <c r="K32" t="s">
        <v>194</v>
      </c>
      <c r="L32" t="s">
        <v>194</v>
      </c>
      <c r="M32" t="s">
        <v>228</v>
      </c>
      <c r="N32" t="s">
        <v>228</v>
      </c>
      <c r="O32" t="s">
        <v>228</v>
      </c>
      <c r="P32" t="s">
        <v>228</v>
      </c>
      <c r="Q32" t="s">
        <v>228</v>
      </c>
      <c r="R32" t="s">
        <v>228</v>
      </c>
      <c r="S32" t="s">
        <v>228</v>
      </c>
      <c r="T32" t="s">
        <v>228</v>
      </c>
      <c r="U32" t="s">
        <v>228</v>
      </c>
      <c r="V32" t="s">
        <v>265</v>
      </c>
      <c r="W32" t="s">
        <v>265</v>
      </c>
      <c r="X32" t="s">
        <v>265</v>
      </c>
      <c r="Y32" t="s">
        <v>265</v>
      </c>
      <c r="Z32" t="s">
        <v>265</v>
      </c>
      <c r="AA32" t="s">
        <v>265</v>
      </c>
      <c r="AB32" t="s">
        <v>265</v>
      </c>
      <c r="AC32" t="s">
        <v>265</v>
      </c>
      <c r="AD32" t="s">
        <v>265</v>
      </c>
    </row>
    <row r="33" spans="4:30">
      <c r="D33">
        <v>78.0486373818223</v>
      </c>
      <c r="E33">
        <v>71.4174989029392</v>
      </c>
      <c r="F33">
        <v>75.3998831644249</v>
      </c>
      <c r="G33">
        <v>69.77017736243</v>
      </c>
      <c r="H33">
        <v>73.6329878780766</v>
      </c>
      <c r="I33">
        <v>74.473789297673</v>
      </c>
      <c r="J33">
        <v>78.6454314927179</v>
      </c>
      <c r="K33">
        <v>79.3648505325902</v>
      </c>
      <c r="L33">
        <v>82.1522566992732</v>
      </c>
      <c r="M33">
        <v>72.2532161334672</v>
      </c>
      <c r="N33">
        <v>73.6545563397673</v>
      </c>
      <c r="O33">
        <v>68.5923877858865</v>
      </c>
      <c r="P33">
        <v>75.5553229025002</v>
      </c>
      <c r="Q33">
        <v>63.8686903614047</v>
      </c>
      <c r="R33">
        <v>68.806894134779</v>
      </c>
      <c r="S33">
        <v>75.4847282347382</v>
      </c>
      <c r="T33">
        <v>63.4396367417245</v>
      </c>
      <c r="U33">
        <v>66.4527782241955</v>
      </c>
      <c r="V33">
        <v>80.4939888045661</v>
      </c>
      <c r="W33">
        <v>94.8095914770377</v>
      </c>
      <c r="X33">
        <v>94.5930344844429</v>
      </c>
      <c r="Y33">
        <v>94.5525866679839</v>
      </c>
      <c r="Z33">
        <v>93.5180524100592</v>
      </c>
      <c r="AA33">
        <v>91.9078039184957</v>
      </c>
      <c r="AB33">
        <v>87.6799226105867</v>
      </c>
      <c r="AC33">
        <v>83.7743471857845</v>
      </c>
      <c r="AD33">
        <v>85.3649145339514</v>
      </c>
    </row>
    <row r="34" spans="4:30">
      <c r="D34">
        <v>0.02</v>
      </c>
      <c r="E34">
        <v>0.02</v>
      </c>
      <c r="F34">
        <v>0.02</v>
      </c>
      <c r="G34">
        <v>0.02</v>
      </c>
      <c r="H34">
        <v>0.02</v>
      </c>
      <c r="I34">
        <v>0.02</v>
      </c>
      <c r="J34">
        <v>0.02</v>
      </c>
      <c r="K34">
        <v>0.02</v>
      </c>
      <c r="L34">
        <v>0.02</v>
      </c>
      <c r="M34">
        <v>0.01</v>
      </c>
      <c r="N34">
        <v>0.01</v>
      </c>
      <c r="O34">
        <v>0.01</v>
      </c>
      <c r="P34">
        <v>0.01</v>
      </c>
      <c r="Q34">
        <v>0.01</v>
      </c>
      <c r="R34">
        <v>0.01</v>
      </c>
      <c r="S34">
        <v>0.01</v>
      </c>
      <c r="T34">
        <v>0.01</v>
      </c>
      <c r="U34">
        <v>0.01</v>
      </c>
      <c r="V34">
        <v>0.015</v>
      </c>
      <c r="W34">
        <v>0.015</v>
      </c>
      <c r="X34">
        <v>0.015</v>
      </c>
      <c r="Y34">
        <v>0.015</v>
      </c>
      <c r="Z34">
        <v>0.015</v>
      </c>
      <c r="AA34">
        <v>0.015</v>
      </c>
      <c r="AB34">
        <v>0.015</v>
      </c>
      <c r="AC34">
        <v>0.015</v>
      </c>
      <c r="AD34">
        <v>0.015</v>
      </c>
    </row>
  </sheetData>
  <pageMargins left="0.7" right="0.7" top="0.75" bottom="0.75" header="0.3" footer="0.3"/>
  <pageSetup paperSize="1" orientation="portrait" horizontalDpi="90" verticalDpi="9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BA13C208-0A93-4C8D-B0E5-FD1C64026394}">
  <ds:schemaRefs/>
</ds:datastoreItem>
</file>

<file path=customXml/itemProps2.xml><?xml version="1.0" encoding="utf-8"?>
<ds:datastoreItem xmlns:ds="http://schemas.openxmlformats.org/officeDocument/2006/customXml" ds:itemID="{597B447C-22B9-49B7-B681-89967D208F9F}">
  <ds:schemaRefs/>
</ds:datastoreItem>
</file>

<file path=customXml/itemProps3.xml><?xml version="1.0" encoding="utf-8"?>
<ds:datastoreItem xmlns:ds="http://schemas.openxmlformats.org/officeDocument/2006/customXml" ds:itemID="{CF29534E-59BC-4EB9-A7D4-A4B24B8D80CC}">
  <ds:schemaRefs/>
</ds:datastoreItem>
</file>

<file path=customXml/itemProps4.xml><?xml version="1.0" encoding="utf-8"?>
<ds:datastoreItem xmlns:ds="http://schemas.openxmlformats.org/officeDocument/2006/customXml" ds:itemID="{176CBF57-13D9-4CF7-9849-B8A41EF10852}">
  <ds:schemaRefs/>
</ds:datastoreItem>
</file>

<file path=customXml/itemProps5.xml><?xml version="1.0" encoding="utf-8"?>
<ds:datastoreItem xmlns:ds="http://schemas.openxmlformats.org/officeDocument/2006/customXml" ds:itemID="{3367D0BC-2203-433A-B5AE-E9EA71FE7F7F}">
  <ds:schemaRefs/>
</ds:datastoreItem>
</file>

<file path=docProps/app.xml><?xml version="1.0" encoding="utf-8"?>
<Properties xmlns="http://schemas.openxmlformats.org/officeDocument/2006/extended-properties" xmlns:vt="http://schemas.openxmlformats.org/officeDocument/2006/docPropsVTypes">
  <Company>HPES ACES</Company>
  <Application>Microsoft Excel</Application>
  <HeadingPairs>
    <vt:vector size="2" baseType="variant">
      <vt:variant>
        <vt:lpstr>工作表</vt:lpstr>
      </vt:variant>
      <vt:variant>
        <vt:i4>10</vt:i4>
      </vt:variant>
    </vt:vector>
  </HeadingPairs>
  <TitlesOfParts>
    <vt:vector size="10" baseType="lpstr">
      <vt:lpstr>Read-Me</vt:lpstr>
      <vt:lpstr>Cell-Characteristics</vt:lpstr>
      <vt:lpstr>Fractional-Calorimetry-Data</vt:lpstr>
      <vt:lpstr>V&amp;V-Violence-All</vt:lpstr>
      <vt:lpstr>V&amp;V-SD-All</vt:lpstr>
      <vt:lpstr>V&amp;V Headers</vt:lpstr>
      <vt:lpstr>Sheet1</vt:lpstr>
      <vt:lpstr>V&amp;V-Violence-Global</vt:lpstr>
      <vt:lpstr>V&amp;V-SD-Global</vt:lpstr>
      <vt:lpstr>Publication Images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 William Q. (JSC-ES311)</dc:creator>
  <cp:lastModifiedBy>001</cp:lastModifiedBy>
  <dcterms:created xsi:type="dcterms:W3CDTF">2019-03-29T14:53:00Z</dcterms:created>
  <dcterms:modified xsi:type="dcterms:W3CDTF">2026-02-02T07:54:03Z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0x010100ACE1C4ECA060BA42910CFBD0513D4F06</vt:lpwstr>
  </property>
  <property fmtid="{D5CDD505-2E9C-101B-9397-08002B2CF9AE}" pid="3" name="ICV">
    <vt:lpwstr>A2154CA660424E559D395875E873CF5D_12</vt:lpwstr>
  </property>
  <property fmtid="{D5CDD505-2E9C-101B-9397-08002B2CF9AE}" pid="4" name="KSOProductBuildVer">
    <vt:lpwstr>2052-12.1.0.24657</vt:lpwstr>
  </property>
  <property fmtid="{D5CDD505-2E9C-101B-9397-08002B2CF9AE}" pid="5" name="CalculationRule">
    <vt:i4>0</vt:i4>
  </property>
</Properties>
</file>